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 defaultThemeVersion="166925"/>
  <xr:revisionPtr revIDLastSave="0" documentId="13_ncr:1_{A4C06ED1-FC94-4149-AA2A-752F7E0D5B95}" xr6:coauthVersionLast="47" xr6:coauthVersionMax="47" xr10:uidLastSave="{00000000-0000-0000-0000-000000000000}"/>
  <bookViews>
    <workbookView xWindow="-120" yWindow="-120" windowWidth="29040" windowHeight="15720" tabRatio="927" activeTab="1" xr2:uid="{00000000-000D-0000-FFFF-FFFF00000000}"/>
  </bookViews>
  <sheets>
    <sheet name="Setting " sheetId="1" r:id="rId1"/>
    <sheet name="Mark Leave" sheetId="4" r:id="rId2"/>
    <sheet name="AttendanceSheet" sheetId="3" r:id="rId3"/>
    <sheet name="SalarySlip" sheetId="7" r:id="rId4"/>
    <sheet name="Leave Credit Sheet" sheetId="5" r:id="rId5"/>
    <sheet name="Employee Details" sheetId="2" r:id="rId6"/>
    <sheet name="CTC Sheet" sheetId="9" r:id="rId7"/>
    <sheet name="OtherArrear payment" sheetId="12" r:id="rId8"/>
    <sheet name="Advance Sheet" sheetId="10" r:id="rId9"/>
    <sheet name="Summary" sheetId="11" r:id="rId10"/>
  </sheets>
  <externalReferences>
    <externalReference r:id="rId11"/>
  </externalReferences>
  <definedNames>
    <definedName name="_xlnm._FilterDatabase" localSheetId="5" hidden="1">'Employee Details'!$A$6:$S$74</definedName>
    <definedName name="dates">'Setting '!$Q$19:$Q$383</definedName>
    <definedName name="EmployeeName">SalarySlip!$G$2</definedName>
    <definedName name="PLEASE_CHANGE_THE_REQUIRED_FIELDS_BEFORE_MAKING_ANY_CHANGES_IN_SHEET">'Setting '!$B$22:$F$22</definedName>
    <definedName name="_xlnm.Print_Area" localSheetId="3">SalarySlip!$B$2:$E$28</definedName>
    <definedName name="_xlnm.Print_Area" localSheetId="0">'Setting '!$B$21:$G$28</definedName>
    <definedName name="_xlnm.Print_Area" localSheetId="9">Summary!$A$2:$J$12</definedName>
  </definedNames>
  <calcPr calcId="19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7" i="9" l="1"/>
  <c r="J20" i="9" l="1"/>
  <c r="J18" i="9"/>
  <c r="C5" i="7" l="1"/>
  <c r="F14" i="11"/>
  <c r="G14" i="11" s="1"/>
  <c r="E14" i="11"/>
  <c r="G15" i="11" l="1"/>
  <c r="C14" i="11"/>
  <c r="G7" i="11" l="1"/>
  <c r="G4" i="11"/>
  <c r="G5" i="11"/>
  <c r="X17" i="9" l="1"/>
  <c r="I20" i="9" l="1"/>
  <c r="I18" i="9"/>
  <c r="G11" i="11" l="1"/>
  <c r="J11" i="11" s="1"/>
  <c r="J10" i="11"/>
  <c r="J5" i="11"/>
  <c r="I4" i="11"/>
  <c r="J4" i="11" s="1"/>
  <c r="A4" i="11"/>
  <c r="A5" i="11" s="1"/>
  <c r="A6" i="11" s="1"/>
  <c r="A7" i="11" s="1"/>
  <c r="A8" i="11" s="1"/>
  <c r="A9" i="11" s="1"/>
  <c r="A10" i="11" s="1"/>
  <c r="A11" i="11" s="1"/>
  <c r="J7" i="11" l="1"/>
  <c r="AE42" i="10"/>
  <c r="AE41" i="10"/>
  <c r="AE40" i="10"/>
  <c r="AE39" i="10"/>
  <c r="AE38" i="10"/>
  <c r="AE37" i="10"/>
  <c r="AE36" i="10"/>
  <c r="AE35" i="10"/>
  <c r="AE34" i="10"/>
  <c r="AE33" i="10"/>
  <c r="AE32" i="10"/>
  <c r="AE31" i="10"/>
  <c r="AE30" i="10"/>
  <c r="AE29" i="10"/>
  <c r="AE28" i="10"/>
  <c r="AE27" i="10"/>
  <c r="AE26" i="10"/>
  <c r="AE25" i="10"/>
  <c r="AE24" i="10"/>
  <c r="AE23" i="10"/>
  <c r="AE5" i="10"/>
  <c r="AE6" i="10"/>
  <c r="AE7" i="10"/>
  <c r="AE8" i="10"/>
  <c r="AE9" i="10"/>
  <c r="AE10" i="10"/>
  <c r="AE11" i="10"/>
  <c r="AE12" i="10"/>
  <c r="AE13" i="10"/>
  <c r="AE14" i="10"/>
  <c r="AE15" i="10"/>
  <c r="AE16" i="10"/>
  <c r="AE17" i="10"/>
  <c r="AE18" i="10"/>
  <c r="AE19" i="10"/>
  <c r="AE20" i="10"/>
  <c r="AE21" i="10"/>
  <c r="AE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E26" i="1" l="1"/>
  <c r="R100" i="10" l="1"/>
  <c r="R99" i="10"/>
  <c r="R98" i="10"/>
  <c r="R97" i="10"/>
  <c r="R96" i="10"/>
  <c r="R95" i="10"/>
  <c r="R94" i="10"/>
  <c r="R93" i="10"/>
  <c r="R92" i="10"/>
  <c r="R91" i="10"/>
  <c r="R90" i="10"/>
  <c r="R89" i="10"/>
  <c r="R88" i="10"/>
  <c r="R87" i="10"/>
  <c r="R86" i="10"/>
  <c r="R85" i="10"/>
  <c r="R84" i="10"/>
  <c r="R83" i="10"/>
  <c r="R82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3" i="10"/>
  <c r="R62" i="10"/>
  <c r="R61" i="10"/>
  <c r="R60" i="10"/>
  <c r="R59" i="10"/>
  <c r="R58" i="10"/>
  <c r="R57" i="10"/>
  <c r="R56" i="10"/>
  <c r="R55" i="10"/>
  <c r="R54" i="10"/>
  <c r="R53" i="10"/>
  <c r="R52" i="10"/>
  <c r="R51" i="10"/>
  <c r="R50" i="10"/>
  <c r="R49" i="10"/>
  <c r="R48" i="10"/>
  <c r="R47" i="10"/>
  <c r="R46" i="10"/>
  <c r="R45" i="10"/>
  <c r="R44" i="10"/>
  <c r="R43" i="10"/>
  <c r="R42" i="10"/>
  <c r="R41" i="10"/>
  <c r="R40" i="10"/>
  <c r="R39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21" i="10"/>
  <c r="R20" i="10"/>
  <c r="R19" i="10"/>
  <c r="R18" i="10"/>
  <c r="R17" i="10"/>
  <c r="R16" i="10"/>
  <c r="R15" i="10"/>
  <c r="R14" i="10"/>
  <c r="R13" i="10"/>
  <c r="R12" i="10"/>
  <c r="R11" i="10"/>
  <c r="R10" i="10"/>
  <c r="R9" i="10"/>
  <c r="R8" i="10"/>
  <c r="R7" i="10"/>
  <c r="R6" i="10"/>
  <c r="R5" i="10"/>
  <c r="R4" i="10"/>
  <c r="Q100" i="10"/>
  <c r="Q99" i="10"/>
  <c r="Q98" i="10"/>
  <c r="Q97" i="10"/>
  <c r="Q96" i="10"/>
  <c r="Q95" i="10"/>
  <c r="Q94" i="10"/>
  <c r="Q93" i="10"/>
  <c r="Q92" i="10"/>
  <c r="Q91" i="10"/>
  <c r="Q90" i="10"/>
  <c r="Q89" i="10"/>
  <c r="Q88" i="10"/>
  <c r="Q87" i="10"/>
  <c r="Q86" i="10"/>
  <c r="Q85" i="10"/>
  <c r="Q84" i="10"/>
  <c r="Q83" i="10"/>
  <c r="Q82" i="10"/>
  <c r="Q81" i="10"/>
  <c r="Q80" i="10"/>
  <c r="Q79" i="10"/>
  <c r="Q78" i="10"/>
  <c r="Q77" i="10"/>
  <c r="Q76" i="10"/>
  <c r="Q75" i="10"/>
  <c r="Q74" i="10"/>
  <c r="Q73" i="10"/>
  <c r="Q72" i="10"/>
  <c r="Q71" i="10"/>
  <c r="Q70" i="10"/>
  <c r="Q69" i="10"/>
  <c r="Q68" i="10"/>
  <c r="Q67" i="10"/>
  <c r="Q66" i="10"/>
  <c r="Q65" i="10"/>
  <c r="Q64" i="10"/>
  <c r="Q63" i="10"/>
  <c r="Q62" i="10"/>
  <c r="Q61" i="10"/>
  <c r="Q60" i="10"/>
  <c r="Q59" i="10"/>
  <c r="Q58" i="10"/>
  <c r="Q57" i="10"/>
  <c r="Q56" i="10"/>
  <c r="Q55" i="10"/>
  <c r="Q54" i="10"/>
  <c r="Q53" i="10"/>
  <c r="Q52" i="10"/>
  <c r="Q51" i="10"/>
  <c r="Q50" i="10"/>
  <c r="Q49" i="10"/>
  <c r="Q48" i="10"/>
  <c r="Q47" i="10"/>
  <c r="Q46" i="10"/>
  <c r="Q45" i="10"/>
  <c r="Q44" i="10"/>
  <c r="Q43" i="10"/>
  <c r="Q42" i="10"/>
  <c r="Q41" i="10"/>
  <c r="Q40" i="10"/>
  <c r="Q39" i="10"/>
  <c r="Q38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Q22" i="10"/>
  <c r="Q21" i="10"/>
  <c r="Q20" i="10"/>
  <c r="Q19" i="10"/>
  <c r="Q18" i="10"/>
  <c r="Q17" i="10"/>
  <c r="Q16" i="10"/>
  <c r="Q15" i="10"/>
  <c r="Q14" i="10"/>
  <c r="Q13" i="10"/>
  <c r="Q12" i="10"/>
  <c r="Q11" i="10"/>
  <c r="Q10" i="10"/>
  <c r="Q9" i="10"/>
  <c r="Q8" i="10"/>
  <c r="Q7" i="10"/>
  <c r="Q6" i="10"/>
  <c r="Q5" i="10"/>
  <c r="Q4" i="10"/>
  <c r="AF42" i="10"/>
  <c r="AF38" i="10"/>
  <c r="AF37" i="10"/>
  <c r="AF36" i="10"/>
  <c r="AF34" i="10"/>
  <c r="AF26" i="10"/>
  <c r="AF25" i="10"/>
  <c r="AF24" i="10"/>
  <c r="AF19" i="10"/>
  <c r="AF11" i="10"/>
  <c r="AF10" i="10"/>
  <c r="AF9" i="10"/>
  <c r="AF7" i="10"/>
  <c r="AF5" i="10"/>
  <c r="AF41" i="10"/>
  <c r="AF40" i="10"/>
  <c r="AF39" i="10"/>
  <c r="AF35" i="10"/>
  <c r="AF33" i="10"/>
  <c r="AF32" i="10"/>
  <c r="AF31" i="10"/>
  <c r="AF30" i="10"/>
  <c r="AF29" i="10"/>
  <c r="AF28" i="10"/>
  <c r="AF27" i="10"/>
  <c r="AF20" i="10"/>
  <c r="AF18" i="10"/>
  <c r="AF17" i="10"/>
  <c r="AF16" i="10"/>
  <c r="AF15" i="10"/>
  <c r="AF14" i="10"/>
  <c r="AF13" i="10"/>
  <c r="AF12" i="10"/>
  <c r="AF8" i="10"/>
  <c r="AF6" i="10"/>
  <c r="P22" i="10"/>
  <c r="P21" i="10"/>
  <c r="P20" i="10"/>
  <c r="P19" i="10"/>
  <c r="P18" i="10"/>
  <c r="P17" i="10"/>
  <c r="P16" i="10"/>
  <c r="P15" i="10"/>
  <c r="P14" i="10"/>
  <c r="P13" i="10"/>
  <c r="P12" i="10"/>
  <c r="P11" i="10"/>
  <c r="P10" i="10"/>
  <c r="P9" i="10"/>
  <c r="P8" i="10"/>
  <c r="P7" i="10"/>
  <c r="P6" i="10"/>
  <c r="P5" i="10"/>
  <c r="P4" i="10"/>
  <c r="AF23" i="10" l="1"/>
  <c r="AF22" i="10"/>
  <c r="AF21" i="10"/>
  <c r="F1" i="5" l="1"/>
  <c r="D1" i="1"/>
  <c r="F74" i="2" l="1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 l="1"/>
  <c r="C100" i="3" l="1"/>
  <c r="B100" i="3" s="1"/>
  <c r="C96" i="3"/>
  <c r="B96" i="3" s="1"/>
  <c r="C92" i="3"/>
  <c r="B92" i="3" s="1"/>
  <c r="C88" i="3"/>
  <c r="B88" i="3" s="1"/>
  <c r="C84" i="3"/>
  <c r="B84" i="3" s="1"/>
  <c r="C80" i="3"/>
  <c r="B80" i="3" s="1"/>
  <c r="C76" i="3"/>
  <c r="B76" i="3" s="1"/>
  <c r="C72" i="3"/>
  <c r="B72" i="3" s="1"/>
  <c r="C68" i="3"/>
  <c r="B68" i="3" s="1"/>
  <c r="C64" i="3"/>
  <c r="B64" i="3" s="1"/>
  <c r="C60" i="3"/>
  <c r="B60" i="3" s="1"/>
  <c r="C56" i="3"/>
  <c r="B56" i="3" s="1"/>
  <c r="C52" i="3"/>
  <c r="B52" i="3" s="1"/>
  <c r="C48" i="3"/>
  <c r="B48" i="3" s="1"/>
  <c r="C44" i="3"/>
  <c r="B44" i="3" s="1"/>
  <c r="C40" i="3"/>
  <c r="B40" i="3" s="1"/>
  <c r="C36" i="3"/>
  <c r="B36" i="3" s="1"/>
  <c r="C32" i="3"/>
  <c r="B32" i="3" s="1"/>
  <c r="C28" i="3"/>
  <c r="B28" i="3" s="1"/>
  <c r="C24" i="3"/>
  <c r="B24" i="3" s="1"/>
  <c r="C20" i="3"/>
  <c r="B20" i="3" s="1"/>
  <c r="C16" i="3"/>
  <c r="B16" i="3" s="1"/>
  <c r="C12" i="3"/>
  <c r="B12" i="3" s="1"/>
  <c r="C8" i="3"/>
  <c r="B8" i="3" s="1"/>
  <c r="C97" i="3"/>
  <c r="B97" i="3" s="1"/>
  <c r="C89" i="3"/>
  <c r="B89" i="3" s="1"/>
  <c r="C81" i="3"/>
  <c r="B81" i="3" s="1"/>
  <c r="C73" i="3"/>
  <c r="B73" i="3" s="1"/>
  <c r="C65" i="3"/>
  <c r="B65" i="3" s="1"/>
  <c r="C57" i="3"/>
  <c r="B57" i="3" s="1"/>
  <c r="C49" i="3"/>
  <c r="B49" i="3" s="1"/>
  <c r="C41" i="3"/>
  <c r="B41" i="3" s="1"/>
  <c r="C33" i="3"/>
  <c r="B33" i="3" s="1"/>
  <c r="C25" i="3"/>
  <c r="B25" i="3" s="1"/>
  <c r="C17" i="3"/>
  <c r="B17" i="3" s="1"/>
  <c r="C9" i="3"/>
  <c r="B9" i="3" s="1"/>
  <c r="C95" i="3"/>
  <c r="B95" i="3" s="1"/>
  <c r="C87" i="3"/>
  <c r="B87" i="3" s="1"/>
  <c r="C79" i="3"/>
  <c r="B79" i="3" s="1"/>
  <c r="C71" i="3"/>
  <c r="B71" i="3" s="1"/>
  <c r="C63" i="3"/>
  <c r="B63" i="3" s="1"/>
  <c r="C55" i="3"/>
  <c r="B55" i="3" s="1"/>
  <c r="C47" i="3"/>
  <c r="B47" i="3" s="1"/>
  <c r="C39" i="3"/>
  <c r="B39" i="3" s="1"/>
  <c r="C31" i="3"/>
  <c r="B31" i="3" s="1"/>
  <c r="C23" i="3"/>
  <c r="B23" i="3" s="1"/>
  <c r="C15" i="3"/>
  <c r="B15" i="3" s="1"/>
  <c r="C7" i="3"/>
  <c r="C98" i="3"/>
  <c r="B98" i="3" s="1"/>
  <c r="C94" i="3"/>
  <c r="B94" i="3" s="1"/>
  <c r="C90" i="3"/>
  <c r="B90" i="3" s="1"/>
  <c r="C86" i="3"/>
  <c r="B86" i="3" s="1"/>
  <c r="C82" i="3"/>
  <c r="B82" i="3" s="1"/>
  <c r="C78" i="3"/>
  <c r="B78" i="3" s="1"/>
  <c r="C74" i="3"/>
  <c r="B74" i="3" s="1"/>
  <c r="C70" i="3"/>
  <c r="B70" i="3" s="1"/>
  <c r="C66" i="3"/>
  <c r="B66" i="3" s="1"/>
  <c r="C62" i="3"/>
  <c r="B62" i="3" s="1"/>
  <c r="C58" i="3"/>
  <c r="B58" i="3" s="1"/>
  <c r="C54" i="3"/>
  <c r="B54" i="3" s="1"/>
  <c r="C50" i="3"/>
  <c r="B50" i="3" s="1"/>
  <c r="C46" i="3"/>
  <c r="B46" i="3" s="1"/>
  <c r="C42" i="3"/>
  <c r="B42" i="3" s="1"/>
  <c r="C38" i="3"/>
  <c r="B38" i="3" s="1"/>
  <c r="C34" i="3"/>
  <c r="B34" i="3" s="1"/>
  <c r="C30" i="3"/>
  <c r="B30" i="3" s="1"/>
  <c r="C26" i="3"/>
  <c r="B26" i="3" s="1"/>
  <c r="C22" i="3"/>
  <c r="B22" i="3" s="1"/>
  <c r="C18" i="3"/>
  <c r="C14" i="3"/>
  <c r="B14" i="3" s="1"/>
  <c r="C10" i="3"/>
  <c r="B10" i="3" s="1"/>
  <c r="C99" i="3"/>
  <c r="B99" i="3" s="1"/>
  <c r="C93" i="3"/>
  <c r="B93" i="3" s="1"/>
  <c r="C85" i="3"/>
  <c r="B85" i="3" s="1"/>
  <c r="C77" i="3"/>
  <c r="B77" i="3" s="1"/>
  <c r="C69" i="3"/>
  <c r="B69" i="3" s="1"/>
  <c r="C61" i="3"/>
  <c r="B61" i="3" s="1"/>
  <c r="C53" i="3"/>
  <c r="B53" i="3" s="1"/>
  <c r="C45" i="3"/>
  <c r="B45" i="3" s="1"/>
  <c r="C37" i="3"/>
  <c r="B37" i="3" s="1"/>
  <c r="C29" i="3"/>
  <c r="B29" i="3" s="1"/>
  <c r="C21" i="3"/>
  <c r="B21" i="3" s="1"/>
  <c r="C13" i="3"/>
  <c r="B13" i="3" s="1"/>
  <c r="C91" i="3"/>
  <c r="B91" i="3" s="1"/>
  <c r="C83" i="3"/>
  <c r="B83" i="3" s="1"/>
  <c r="C75" i="3"/>
  <c r="B75" i="3" s="1"/>
  <c r="C67" i="3"/>
  <c r="B67" i="3" s="1"/>
  <c r="C59" i="3"/>
  <c r="B59" i="3" s="1"/>
  <c r="C51" i="3"/>
  <c r="B51" i="3" s="1"/>
  <c r="C43" i="3"/>
  <c r="B43" i="3" s="1"/>
  <c r="C35" i="3"/>
  <c r="B35" i="3" s="1"/>
  <c r="C27" i="3"/>
  <c r="B27" i="3" s="1"/>
  <c r="C19" i="3"/>
  <c r="B19" i="3" s="1"/>
  <c r="C11" i="3"/>
  <c r="B11" i="3" s="1"/>
  <c r="I2" i="2"/>
  <c r="C101" i="3"/>
  <c r="C115" i="3"/>
  <c r="C117" i="3"/>
  <c r="C106" i="3"/>
  <c r="C116" i="3"/>
  <c r="C120" i="3"/>
  <c r="C105" i="3"/>
  <c r="C108" i="3"/>
  <c r="C118" i="3"/>
  <c r="C107" i="3"/>
  <c r="C119" i="3"/>
  <c r="C109" i="3"/>
  <c r="C121" i="3"/>
  <c r="C111" i="3"/>
  <c r="C113" i="3"/>
  <c r="C110" i="3"/>
  <c r="C122" i="3"/>
  <c r="C114" i="3"/>
  <c r="C112" i="3"/>
  <c r="BF88" i="3" l="1"/>
  <c r="AX88" i="3"/>
  <c r="AX91" i="3"/>
  <c r="BF91" i="3"/>
  <c r="BF69" i="3"/>
  <c r="AX69" i="3"/>
  <c r="AX58" i="3"/>
  <c r="BF58" i="3"/>
  <c r="BF56" i="3"/>
  <c r="AX56" i="3"/>
  <c r="BF45" i="3"/>
  <c r="AX45" i="3"/>
  <c r="BF77" i="3"/>
  <c r="AX77" i="3"/>
  <c r="AX46" i="3"/>
  <c r="BF46" i="3"/>
  <c r="AX62" i="3"/>
  <c r="BF62" i="3"/>
  <c r="AX78" i="3"/>
  <c r="BF78" i="3"/>
  <c r="AX94" i="3"/>
  <c r="BF94" i="3"/>
  <c r="AX63" i="3"/>
  <c r="BF63" i="3"/>
  <c r="AX95" i="3"/>
  <c r="BF95" i="3"/>
  <c r="BF73" i="3"/>
  <c r="AX73" i="3"/>
  <c r="BF44" i="3"/>
  <c r="AX44" i="3"/>
  <c r="BF60" i="3"/>
  <c r="AX60" i="3"/>
  <c r="BF76" i="3"/>
  <c r="AX76" i="3"/>
  <c r="BF92" i="3"/>
  <c r="AX92" i="3"/>
  <c r="AX99" i="3"/>
  <c r="BF99" i="3"/>
  <c r="AX74" i="3"/>
  <c r="BF74" i="3"/>
  <c r="AX55" i="3"/>
  <c r="BF55" i="3"/>
  <c r="BF65" i="3"/>
  <c r="AX65" i="3"/>
  <c r="BF72" i="3"/>
  <c r="AX72" i="3"/>
  <c r="AX67" i="3"/>
  <c r="BF67" i="3"/>
  <c r="AX43" i="3"/>
  <c r="BF43" i="3"/>
  <c r="AX75" i="3"/>
  <c r="BF75" i="3"/>
  <c r="BF53" i="3"/>
  <c r="AX53" i="3"/>
  <c r="BF85" i="3"/>
  <c r="AX85" i="3"/>
  <c r="AX50" i="3"/>
  <c r="BF50" i="3"/>
  <c r="AX66" i="3"/>
  <c r="BF66" i="3"/>
  <c r="AX82" i="3"/>
  <c r="BF82" i="3"/>
  <c r="AX98" i="3"/>
  <c r="BF98" i="3"/>
  <c r="AX71" i="3"/>
  <c r="BF71" i="3"/>
  <c r="BF49" i="3"/>
  <c r="AX49" i="3"/>
  <c r="BF81" i="3"/>
  <c r="AX81" i="3"/>
  <c r="BF48" i="3"/>
  <c r="AX48" i="3"/>
  <c r="BF64" i="3"/>
  <c r="AX64" i="3"/>
  <c r="BF80" i="3"/>
  <c r="AX80" i="3"/>
  <c r="BF96" i="3"/>
  <c r="AX96" i="3"/>
  <c r="AX59" i="3"/>
  <c r="BF59" i="3"/>
  <c r="AX90" i="3"/>
  <c r="BF90" i="3"/>
  <c r="AX87" i="3"/>
  <c r="BF87" i="3"/>
  <c r="BF97" i="3"/>
  <c r="AX97" i="3"/>
  <c r="AX51" i="3"/>
  <c r="BF51" i="3"/>
  <c r="AX83" i="3"/>
  <c r="BF83" i="3"/>
  <c r="BF61" i="3"/>
  <c r="AX61" i="3"/>
  <c r="BF93" i="3"/>
  <c r="AX93" i="3"/>
  <c r="AX54" i="3"/>
  <c r="BF54" i="3"/>
  <c r="AX70" i="3"/>
  <c r="BF70" i="3"/>
  <c r="AX86" i="3"/>
  <c r="BF86" i="3"/>
  <c r="AX47" i="3"/>
  <c r="BF47" i="3"/>
  <c r="AX79" i="3"/>
  <c r="BF79" i="3"/>
  <c r="BF57" i="3"/>
  <c r="AX57" i="3"/>
  <c r="BF89" i="3"/>
  <c r="AX89" i="3"/>
  <c r="BF52" i="3"/>
  <c r="AX52" i="3"/>
  <c r="BF68" i="3"/>
  <c r="AX68" i="3"/>
  <c r="BF84" i="3"/>
  <c r="AX84" i="3"/>
  <c r="BF100" i="3"/>
  <c r="AX100" i="3"/>
  <c r="AW61" i="3"/>
  <c r="BE61" i="3"/>
  <c r="BL38" i="3"/>
  <c r="BC38" i="3" s="1"/>
  <c r="AW86" i="3"/>
  <c r="BE86" i="3"/>
  <c r="AW79" i="3"/>
  <c r="BE79" i="3"/>
  <c r="AW57" i="3"/>
  <c r="BE57" i="3"/>
  <c r="BL36" i="3"/>
  <c r="BE36" i="3"/>
  <c r="AW84" i="3"/>
  <c r="BE84" i="3"/>
  <c r="AW69" i="3"/>
  <c r="BE69" i="3"/>
  <c r="BL10" i="3"/>
  <c r="AW58" i="3"/>
  <c r="BE58" i="3"/>
  <c r="BL23" i="3"/>
  <c r="AW87" i="3"/>
  <c r="BE87" i="3"/>
  <c r="BL33" i="3"/>
  <c r="BC33" i="3" s="1"/>
  <c r="BE33" i="3"/>
  <c r="AW65" i="3"/>
  <c r="BE65" i="3"/>
  <c r="AW97" i="3"/>
  <c r="BE97" i="3"/>
  <c r="BL8" i="3"/>
  <c r="BL24" i="3"/>
  <c r="BL40" i="3"/>
  <c r="BC40" i="3" s="1"/>
  <c r="AW56" i="3"/>
  <c r="BE56" i="3"/>
  <c r="AW72" i="3"/>
  <c r="BE72" i="3"/>
  <c r="AW88" i="3"/>
  <c r="BE88" i="3"/>
  <c r="BL19" i="3"/>
  <c r="AW83" i="3"/>
  <c r="BE83" i="3"/>
  <c r="AW93" i="3"/>
  <c r="BE93" i="3"/>
  <c r="AW54" i="3"/>
  <c r="BE54" i="3"/>
  <c r="BL15" i="3"/>
  <c r="AW47" i="3"/>
  <c r="BE47" i="3"/>
  <c r="BL25" i="3"/>
  <c r="AW89" i="3"/>
  <c r="BE89" i="3"/>
  <c r="AW52" i="3"/>
  <c r="BE52" i="3"/>
  <c r="AW100" i="3"/>
  <c r="BE100" i="3"/>
  <c r="BL27" i="3"/>
  <c r="BC27" i="3" s="1"/>
  <c r="AW91" i="3"/>
  <c r="BE91" i="3"/>
  <c r="AW99" i="3"/>
  <c r="BE99" i="3"/>
  <c r="BL42" i="3"/>
  <c r="BE42" i="3"/>
  <c r="AW74" i="3"/>
  <c r="BE74" i="3"/>
  <c r="AW90" i="3"/>
  <c r="BE90" i="3"/>
  <c r="AW55" i="3"/>
  <c r="BE55" i="3"/>
  <c r="BL35" i="3"/>
  <c r="BC35" i="3" s="1"/>
  <c r="AW67" i="3"/>
  <c r="BE67" i="3"/>
  <c r="BL13" i="3"/>
  <c r="AW45" i="3"/>
  <c r="BE45" i="3"/>
  <c r="AW77" i="3"/>
  <c r="BE77" i="3"/>
  <c r="BL14" i="3"/>
  <c r="BL30" i="3"/>
  <c r="BC30" i="3" s="1"/>
  <c r="AW46" i="3"/>
  <c r="BE46" i="3"/>
  <c r="AW62" i="3"/>
  <c r="BE62" i="3"/>
  <c r="AW78" i="3"/>
  <c r="BE78" i="3"/>
  <c r="AW94" i="3"/>
  <c r="BE94" i="3"/>
  <c r="BL31" i="3"/>
  <c r="BC31" i="3" s="1"/>
  <c r="AW63" i="3"/>
  <c r="BE63" i="3"/>
  <c r="AW95" i="3"/>
  <c r="BE95" i="3"/>
  <c r="BL9" i="3"/>
  <c r="BL41" i="3"/>
  <c r="BC41" i="3" s="1"/>
  <c r="AW73" i="3"/>
  <c r="BE73" i="3"/>
  <c r="BL12" i="3"/>
  <c r="BL28" i="3"/>
  <c r="BC28" i="3" s="1"/>
  <c r="AW44" i="3"/>
  <c r="BE44" i="3"/>
  <c r="AW60" i="3"/>
  <c r="BE60" i="3"/>
  <c r="AW76" i="3"/>
  <c r="BE76" i="3"/>
  <c r="AW92" i="3"/>
  <c r="BE92" i="3"/>
  <c r="AW51" i="3"/>
  <c r="BE51" i="3"/>
  <c r="BL29" i="3"/>
  <c r="BC29" i="3" s="1"/>
  <c r="BL22" i="3"/>
  <c r="BE22" i="3"/>
  <c r="AW70" i="3"/>
  <c r="BE70" i="3"/>
  <c r="BL20" i="3"/>
  <c r="AW68" i="3"/>
  <c r="BE68" i="3"/>
  <c r="AW59" i="3"/>
  <c r="BE59" i="3"/>
  <c r="BL37" i="3"/>
  <c r="BC37" i="3" s="1"/>
  <c r="BL26" i="3"/>
  <c r="BL11" i="3"/>
  <c r="BL43" i="3"/>
  <c r="AW43" i="3"/>
  <c r="AW75" i="3"/>
  <c r="BE75" i="3"/>
  <c r="BL21" i="3"/>
  <c r="AW53" i="3"/>
  <c r="BE53" i="3"/>
  <c r="AW85" i="3"/>
  <c r="BE85" i="3"/>
  <c r="BL34" i="3"/>
  <c r="BC34" i="3" s="1"/>
  <c r="AW50" i="3"/>
  <c r="BE50" i="3"/>
  <c r="AW66" i="3"/>
  <c r="BE66" i="3"/>
  <c r="AW82" i="3"/>
  <c r="BE82" i="3"/>
  <c r="AW98" i="3"/>
  <c r="BE98" i="3"/>
  <c r="BL39" i="3"/>
  <c r="BC39" i="3" s="1"/>
  <c r="AW71" i="3"/>
  <c r="BE71" i="3"/>
  <c r="BL17" i="3"/>
  <c r="AW49" i="3"/>
  <c r="BE49" i="3"/>
  <c r="AW81" i="3"/>
  <c r="BE81" i="3"/>
  <c r="BL16" i="3"/>
  <c r="BL32" i="3"/>
  <c r="BC32" i="3" s="1"/>
  <c r="AW48" i="3"/>
  <c r="BE48" i="3"/>
  <c r="AW64" i="3"/>
  <c r="BE64" i="3"/>
  <c r="AW80" i="3"/>
  <c r="BE80" i="3"/>
  <c r="AW96" i="3"/>
  <c r="BE96" i="3"/>
  <c r="B306" i="4"/>
  <c r="A306" i="4" s="1"/>
  <c r="B295" i="4"/>
  <c r="A295" i="4" s="1"/>
  <c r="B296" i="4"/>
  <c r="A296" i="4" s="1"/>
  <c r="B297" i="4"/>
  <c r="A297" i="4" s="1"/>
  <c r="B298" i="4"/>
  <c r="A298" i="4" s="1"/>
  <c r="B299" i="4"/>
  <c r="A299" i="4" s="1"/>
  <c r="B300" i="4"/>
  <c r="A300" i="4" s="1"/>
  <c r="B301" i="4"/>
  <c r="A301" i="4" s="1"/>
  <c r="B302" i="4"/>
  <c r="A302" i="4" s="1"/>
  <c r="B303" i="4"/>
  <c r="A303" i="4" s="1"/>
  <c r="B304" i="4"/>
  <c r="A304" i="4" s="1"/>
  <c r="B305" i="4"/>
  <c r="A305" i="4" s="1"/>
  <c r="BL61" i="3"/>
  <c r="BL93" i="3"/>
  <c r="BL54" i="3"/>
  <c r="BL70" i="3"/>
  <c r="BL86" i="3"/>
  <c r="BL47" i="3"/>
  <c r="BL79" i="3"/>
  <c r="BL57" i="3"/>
  <c r="BL89" i="3"/>
  <c r="BL52" i="3"/>
  <c r="BL68" i="3"/>
  <c r="BL84" i="3"/>
  <c r="BL100" i="3"/>
  <c r="BL83" i="3"/>
  <c r="BL91" i="3"/>
  <c r="BL58" i="3"/>
  <c r="BL74" i="3"/>
  <c r="BL90" i="3"/>
  <c r="BL55" i="3"/>
  <c r="BL87" i="3"/>
  <c r="BL65" i="3"/>
  <c r="BL97" i="3"/>
  <c r="BL56" i="3"/>
  <c r="BL72" i="3"/>
  <c r="BL88" i="3"/>
  <c r="BL59" i="3"/>
  <c r="BL69" i="3"/>
  <c r="BL67" i="3"/>
  <c r="BL45" i="3"/>
  <c r="BL77" i="3"/>
  <c r="BL46" i="3"/>
  <c r="BL62" i="3"/>
  <c r="BL78" i="3"/>
  <c r="BL94" i="3"/>
  <c r="BL63" i="3"/>
  <c r="BL95" i="3"/>
  <c r="BL73" i="3"/>
  <c r="BL44" i="3"/>
  <c r="BL60" i="3"/>
  <c r="BL76" i="3"/>
  <c r="BL92" i="3"/>
  <c r="BL51" i="3"/>
  <c r="BL99" i="3"/>
  <c r="BL75" i="3"/>
  <c r="BL53" i="3"/>
  <c r="BL85" i="3"/>
  <c r="BL50" i="3"/>
  <c r="BL66" i="3"/>
  <c r="BL82" i="3"/>
  <c r="BL98" i="3"/>
  <c r="BL71" i="3"/>
  <c r="BL49" i="3"/>
  <c r="BL81" i="3"/>
  <c r="BL48" i="3"/>
  <c r="BL64" i="3"/>
  <c r="BL80" i="3"/>
  <c r="BL96" i="3"/>
  <c r="B285" i="4"/>
  <c r="A285" i="4" s="1"/>
  <c r="AN51" i="3"/>
  <c r="BC51" i="3"/>
  <c r="AN67" i="3"/>
  <c r="BC67" i="3"/>
  <c r="AN83" i="3"/>
  <c r="BC83" i="3"/>
  <c r="AN45" i="3"/>
  <c r="BC45" i="3"/>
  <c r="AN61" i="3"/>
  <c r="BC61" i="3"/>
  <c r="AN77" i="3"/>
  <c r="BC77" i="3"/>
  <c r="AN93" i="3"/>
  <c r="BC93" i="3"/>
  <c r="AN46" i="3"/>
  <c r="BC46" i="3"/>
  <c r="AN54" i="3"/>
  <c r="BC54" i="3"/>
  <c r="AN62" i="3"/>
  <c r="BC62" i="3"/>
  <c r="AN70" i="3"/>
  <c r="BC70" i="3"/>
  <c r="AN78" i="3"/>
  <c r="BC78" i="3"/>
  <c r="AN86" i="3"/>
  <c r="BC86" i="3"/>
  <c r="AN94" i="3"/>
  <c r="BC94" i="3"/>
  <c r="AN47" i="3"/>
  <c r="BC47" i="3"/>
  <c r="AN63" i="3"/>
  <c r="BC63" i="3"/>
  <c r="AN79" i="3"/>
  <c r="BC79" i="3"/>
  <c r="AN95" i="3"/>
  <c r="BC95" i="3"/>
  <c r="AN57" i="3"/>
  <c r="BC57" i="3"/>
  <c r="AN73" i="3"/>
  <c r="BC73" i="3"/>
  <c r="AN89" i="3"/>
  <c r="BC89" i="3"/>
  <c r="BC36" i="3"/>
  <c r="BC44" i="3"/>
  <c r="AN52" i="3"/>
  <c r="BC52" i="3"/>
  <c r="AN60" i="3"/>
  <c r="BC60" i="3"/>
  <c r="AN68" i="3"/>
  <c r="BC68" i="3"/>
  <c r="AN76" i="3"/>
  <c r="BC76" i="3"/>
  <c r="AN84" i="3"/>
  <c r="BC84" i="3"/>
  <c r="AN92" i="3"/>
  <c r="BC92" i="3"/>
  <c r="AN100" i="3"/>
  <c r="BC100" i="3"/>
  <c r="BC43" i="3"/>
  <c r="AN59" i="3"/>
  <c r="BC59" i="3"/>
  <c r="AN75" i="3"/>
  <c r="BC75" i="3"/>
  <c r="AN91" i="3"/>
  <c r="BC91" i="3"/>
  <c r="AN53" i="3"/>
  <c r="BC53" i="3"/>
  <c r="AN69" i="3"/>
  <c r="BC69" i="3"/>
  <c r="AN85" i="3"/>
  <c r="BC85" i="3"/>
  <c r="AN99" i="3"/>
  <c r="BC99" i="3"/>
  <c r="BC26" i="3"/>
  <c r="BC42" i="3"/>
  <c r="AN50" i="3"/>
  <c r="BC50" i="3"/>
  <c r="AN58" i="3"/>
  <c r="BC58" i="3"/>
  <c r="AN66" i="3"/>
  <c r="BC66" i="3"/>
  <c r="AN74" i="3"/>
  <c r="BC74" i="3"/>
  <c r="AN82" i="3"/>
  <c r="BC82" i="3"/>
  <c r="AN90" i="3"/>
  <c r="BC90" i="3"/>
  <c r="AN98" i="3"/>
  <c r="BC98" i="3"/>
  <c r="AN55" i="3"/>
  <c r="BC55" i="3"/>
  <c r="AN71" i="3"/>
  <c r="BC71" i="3"/>
  <c r="AN87" i="3"/>
  <c r="BC87" i="3"/>
  <c r="AN49" i="3"/>
  <c r="BC49" i="3"/>
  <c r="AN65" i="3"/>
  <c r="BC65" i="3"/>
  <c r="AN81" i="3"/>
  <c r="BC81" i="3"/>
  <c r="AN97" i="3"/>
  <c r="BC97" i="3"/>
  <c r="AN48" i="3"/>
  <c r="BC48" i="3"/>
  <c r="AN56" i="3"/>
  <c r="BC56" i="3"/>
  <c r="AN64" i="3"/>
  <c r="BC64" i="3"/>
  <c r="AN72" i="3"/>
  <c r="BC72" i="3"/>
  <c r="AN80" i="3"/>
  <c r="BC80" i="3"/>
  <c r="AN88" i="3"/>
  <c r="BC88" i="3"/>
  <c r="AN96" i="3"/>
  <c r="BC96" i="3"/>
  <c r="AM51" i="3"/>
  <c r="AM67" i="3"/>
  <c r="AM83" i="3"/>
  <c r="AM61" i="3"/>
  <c r="AM77" i="3"/>
  <c r="AM93" i="3"/>
  <c r="AM46" i="3"/>
  <c r="AM54" i="3"/>
  <c r="AM62" i="3"/>
  <c r="AM70" i="3"/>
  <c r="AM78" i="3"/>
  <c r="AM86" i="3"/>
  <c r="AM94" i="3"/>
  <c r="AM47" i="3"/>
  <c r="AM63" i="3"/>
  <c r="AM79" i="3"/>
  <c r="AM95" i="3"/>
  <c r="AM57" i="3"/>
  <c r="AM73" i="3"/>
  <c r="AM89" i="3"/>
  <c r="AM52" i="3"/>
  <c r="AM60" i="3"/>
  <c r="AM68" i="3"/>
  <c r="AM76" i="3"/>
  <c r="AM84" i="3"/>
  <c r="AM92" i="3"/>
  <c r="AM100" i="3"/>
  <c r="AM59" i="3"/>
  <c r="AM75" i="3"/>
  <c r="AM91" i="3"/>
  <c r="AM53" i="3"/>
  <c r="AM69" i="3"/>
  <c r="AM85" i="3"/>
  <c r="AM99" i="3"/>
  <c r="AM50" i="3"/>
  <c r="AM58" i="3"/>
  <c r="AM66" i="3"/>
  <c r="AM74" i="3"/>
  <c r="AM82" i="3"/>
  <c r="AM90" i="3"/>
  <c r="AM98" i="3"/>
  <c r="AM55" i="3"/>
  <c r="AM71" i="3"/>
  <c r="AM87" i="3"/>
  <c r="AM49" i="3"/>
  <c r="AM65" i="3"/>
  <c r="AM81" i="3"/>
  <c r="AM97" i="3"/>
  <c r="AM48" i="3"/>
  <c r="AM56" i="3"/>
  <c r="AM64" i="3"/>
  <c r="AM72" i="3"/>
  <c r="AM80" i="3"/>
  <c r="AM88" i="3"/>
  <c r="AM96" i="3"/>
  <c r="BK99" i="3"/>
  <c r="BJ99" i="3"/>
  <c r="C99" i="5" s="1"/>
  <c r="B99" i="5" s="1"/>
  <c r="K99" i="5" s="1"/>
  <c r="AP99" i="3"/>
  <c r="AO99" i="3"/>
  <c r="BJ43" i="3"/>
  <c r="C43" i="5" s="1"/>
  <c r="BK43" i="3"/>
  <c r="BK29" i="3"/>
  <c r="BJ29" i="3"/>
  <c r="C29" i="5" s="1"/>
  <c r="BK38" i="3"/>
  <c r="BJ38" i="3"/>
  <c r="C38" i="5" s="1"/>
  <c r="BK86" i="3"/>
  <c r="BJ86" i="3"/>
  <c r="C86" i="5" s="1"/>
  <c r="B86" i="5" s="1"/>
  <c r="D86" i="5" s="1"/>
  <c r="AO86" i="3"/>
  <c r="AP86" i="3"/>
  <c r="AP47" i="3"/>
  <c r="BK47" i="3"/>
  <c r="BJ47" i="3"/>
  <c r="C47" i="5" s="1"/>
  <c r="B47" i="5" s="1"/>
  <c r="K47" i="5" s="1"/>
  <c r="AO47" i="3"/>
  <c r="BK25" i="3"/>
  <c r="BJ25" i="3"/>
  <c r="C25" i="5" s="1"/>
  <c r="BK36" i="3"/>
  <c r="BJ36" i="3"/>
  <c r="C36" i="5" s="1"/>
  <c r="AP84" i="3"/>
  <c r="AO84" i="3"/>
  <c r="BK84" i="3"/>
  <c r="BJ84" i="3"/>
  <c r="C84" i="5" s="1"/>
  <c r="B84" i="5" s="1"/>
  <c r="K84" i="5" s="1"/>
  <c r="BK35" i="3"/>
  <c r="BJ35" i="3"/>
  <c r="C35" i="5" s="1"/>
  <c r="BK88" i="3"/>
  <c r="BJ88" i="3"/>
  <c r="C88" i="5" s="1"/>
  <c r="B88" i="5" s="1"/>
  <c r="K88" i="5" s="1"/>
  <c r="AO88" i="3"/>
  <c r="AP88" i="3"/>
  <c r="AP51" i="3"/>
  <c r="BK51" i="3"/>
  <c r="BJ51" i="3"/>
  <c r="C51" i="5" s="1"/>
  <c r="B51" i="5" s="1"/>
  <c r="K51" i="5" s="1"/>
  <c r="AO51" i="3"/>
  <c r="BJ42" i="3"/>
  <c r="C42" i="5" s="1"/>
  <c r="BK42" i="3"/>
  <c r="BJ33" i="3"/>
  <c r="C33" i="5" s="1"/>
  <c r="BK33" i="3"/>
  <c r="BK40" i="3"/>
  <c r="BJ40" i="3"/>
  <c r="C40" i="5" s="1"/>
  <c r="BJ67" i="3"/>
  <c r="C67" i="5" s="1"/>
  <c r="B67" i="5" s="1"/>
  <c r="K67" i="5" s="1"/>
  <c r="BK67" i="3"/>
  <c r="AO67" i="3"/>
  <c r="AP67" i="3"/>
  <c r="BK45" i="3"/>
  <c r="BJ45" i="3"/>
  <c r="C45" i="5" s="1"/>
  <c r="AO46" i="3"/>
  <c r="AP46" i="3"/>
  <c r="BK46" i="3"/>
  <c r="BJ46" i="3"/>
  <c r="C46" i="5" s="1"/>
  <c r="B46" i="5" s="1"/>
  <c r="K46" i="5" s="1"/>
  <c r="AO94" i="3"/>
  <c r="AP94" i="3"/>
  <c r="BK94" i="3"/>
  <c r="BJ94" i="3"/>
  <c r="C94" i="5" s="1"/>
  <c r="B94" i="5" s="1"/>
  <c r="K94" i="5" s="1"/>
  <c r="BK63" i="3"/>
  <c r="BJ63" i="3"/>
  <c r="C63" i="5" s="1"/>
  <c r="B63" i="5" s="1"/>
  <c r="K63" i="5" s="1"/>
  <c r="AP63" i="3"/>
  <c r="AO63" i="3"/>
  <c r="BK41" i="3"/>
  <c r="BJ41" i="3"/>
  <c r="C41" i="5" s="1"/>
  <c r="BK44" i="3"/>
  <c r="BJ44" i="3"/>
  <c r="C44" i="5" s="1"/>
  <c r="AO92" i="3"/>
  <c r="AP92" i="3"/>
  <c r="BK92" i="3"/>
  <c r="BJ92" i="3"/>
  <c r="C92" i="5" s="1"/>
  <c r="B92" i="5" s="1"/>
  <c r="K92" i="5" s="1"/>
  <c r="BK13" i="3"/>
  <c r="BJ13" i="3"/>
  <c r="C13" i="5" s="1"/>
  <c r="BK37" i="3"/>
  <c r="BJ37" i="3"/>
  <c r="C37" i="5" s="1"/>
  <c r="BJ55" i="3"/>
  <c r="C55" i="5" s="1"/>
  <c r="B55" i="5" s="1"/>
  <c r="K55" i="5" s="1"/>
  <c r="AO55" i="3"/>
  <c r="BK55" i="3"/>
  <c r="AP55" i="3"/>
  <c r="BK50" i="3"/>
  <c r="BJ50" i="3"/>
  <c r="C50" i="5" s="1"/>
  <c r="B50" i="5" s="1"/>
  <c r="K50" i="5" s="1"/>
  <c r="AO50" i="3"/>
  <c r="AP50" i="3"/>
  <c r="BK98" i="3"/>
  <c r="BJ98" i="3"/>
  <c r="C98" i="5" s="1"/>
  <c r="B98" i="5" s="1"/>
  <c r="K98" i="5" s="1"/>
  <c r="AO98" i="3"/>
  <c r="AP98" i="3"/>
  <c r="AP71" i="3"/>
  <c r="BK71" i="3"/>
  <c r="BJ71" i="3"/>
  <c r="C71" i="5" s="1"/>
  <c r="B71" i="5" s="1"/>
  <c r="K71" i="5" s="1"/>
  <c r="AO71" i="3"/>
  <c r="AP49" i="3"/>
  <c r="BK49" i="3"/>
  <c r="BJ49" i="3"/>
  <c r="C49" i="5" s="1"/>
  <c r="B49" i="5" s="1"/>
  <c r="K49" i="5" s="1"/>
  <c r="AO49" i="3"/>
  <c r="AP48" i="3"/>
  <c r="BK48" i="3"/>
  <c r="BJ48" i="3"/>
  <c r="C48" i="5" s="1"/>
  <c r="B48" i="5" s="1"/>
  <c r="K48" i="5" s="1"/>
  <c r="AO48" i="3"/>
  <c r="AP96" i="3"/>
  <c r="AO96" i="3"/>
  <c r="BK96" i="3"/>
  <c r="BJ96" i="3"/>
  <c r="C96" i="5" s="1"/>
  <c r="B96" i="5" s="1"/>
  <c r="G96" i="5" s="1"/>
  <c r="BJ30" i="3"/>
  <c r="C30" i="5" s="1"/>
  <c r="BK30" i="3"/>
  <c r="AP59" i="3"/>
  <c r="BK59" i="3"/>
  <c r="BJ59" i="3"/>
  <c r="C59" i="5" s="1"/>
  <c r="B59" i="5" s="1"/>
  <c r="K59" i="5" s="1"/>
  <c r="AO59" i="3"/>
  <c r="BJ90" i="3"/>
  <c r="C90" i="5" s="1"/>
  <c r="B90" i="5" s="1"/>
  <c r="K90" i="5" s="1"/>
  <c r="AO90" i="3"/>
  <c r="AP90" i="3"/>
  <c r="BK90" i="3"/>
  <c r="BK53" i="3"/>
  <c r="BJ53" i="3"/>
  <c r="C53" i="5" s="1"/>
  <c r="B53" i="5" s="1"/>
  <c r="K53" i="5" s="1"/>
  <c r="AO53" i="3"/>
  <c r="AP53" i="3"/>
  <c r="AP83" i="3"/>
  <c r="BK83" i="3"/>
  <c r="BJ83" i="3"/>
  <c r="C83" i="5" s="1"/>
  <c r="B83" i="5" s="1"/>
  <c r="K83" i="5" s="1"/>
  <c r="AO83" i="3"/>
  <c r="AP61" i="3"/>
  <c r="BK61" i="3"/>
  <c r="BJ61" i="3"/>
  <c r="C61" i="5" s="1"/>
  <c r="B61" i="5" s="1"/>
  <c r="K61" i="5" s="1"/>
  <c r="AO61" i="3"/>
  <c r="BJ54" i="3"/>
  <c r="C54" i="5" s="1"/>
  <c r="B54" i="5" s="1"/>
  <c r="K54" i="5" s="1"/>
  <c r="AO54" i="3"/>
  <c r="AP54" i="3"/>
  <c r="BK54" i="3"/>
  <c r="BJ79" i="3"/>
  <c r="C79" i="5" s="1"/>
  <c r="B79" i="5" s="1"/>
  <c r="K79" i="5" s="1"/>
  <c r="AO79" i="3"/>
  <c r="BK79" i="3"/>
  <c r="AP79" i="3"/>
  <c r="AO57" i="3"/>
  <c r="AP57" i="3"/>
  <c r="BJ57" i="3"/>
  <c r="C57" i="5" s="1"/>
  <c r="B57" i="5" s="1"/>
  <c r="K57" i="5" s="1"/>
  <c r="BK57" i="3"/>
  <c r="BK52" i="3"/>
  <c r="BJ52" i="3"/>
  <c r="C52" i="5" s="1"/>
  <c r="B52" i="5" s="1"/>
  <c r="K52" i="5" s="1"/>
  <c r="AO52" i="3"/>
  <c r="AP52" i="3"/>
  <c r="BK100" i="3"/>
  <c r="BJ100" i="3"/>
  <c r="C100" i="5" s="1"/>
  <c r="B100" i="5" s="1"/>
  <c r="D100" i="5" s="1"/>
  <c r="AO100" i="3"/>
  <c r="AP100" i="3"/>
  <c r="BJ78" i="3"/>
  <c r="C78" i="5" s="1"/>
  <c r="B78" i="5" s="1"/>
  <c r="K78" i="5" s="1"/>
  <c r="AO78" i="3"/>
  <c r="AP78" i="3"/>
  <c r="BK78" i="3"/>
  <c r="BK75" i="3"/>
  <c r="BJ75" i="3"/>
  <c r="C75" i="5" s="1"/>
  <c r="B75" i="5" s="1"/>
  <c r="K75" i="5" s="1"/>
  <c r="AP75" i="3"/>
  <c r="AO75" i="3"/>
  <c r="BJ91" i="3"/>
  <c r="C91" i="5" s="1"/>
  <c r="B91" i="5" s="1"/>
  <c r="K91" i="5" s="1"/>
  <c r="AO91" i="3"/>
  <c r="BK91" i="3"/>
  <c r="AP91" i="3"/>
  <c r="AO69" i="3"/>
  <c r="AP69" i="3"/>
  <c r="BJ69" i="3"/>
  <c r="C69" i="5" s="1"/>
  <c r="B69" i="5" s="1"/>
  <c r="K69" i="5" s="1"/>
  <c r="BK69" i="3"/>
  <c r="BK10" i="3"/>
  <c r="BJ10" i="3"/>
  <c r="C10" i="5" s="1"/>
  <c r="B10" i="5" s="1"/>
  <c r="I10" i="5" s="1"/>
  <c r="AO58" i="3"/>
  <c r="AP58" i="3"/>
  <c r="BK58" i="3"/>
  <c r="BJ58" i="3"/>
  <c r="C58" i="5" s="1"/>
  <c r="B58" i="5" s="1"/>
  <c r="K58" i="5" s="1"/>
  <c r="AP87" i="3"/>
  <c r="BK87" i="3"/>
  <c r="BJ87" i="3"/>
  <c r="C87" i="5" s="1"/>
  <c r="B87" i="5" s="1"/>
  <c r="K87" i="5" s="1"/>
  <c r="AO87" i="3"/>
  <c r="BK65" i="3"/>
  <c r="BJ65" i="3"/>
  <c r="C65" i="5" s="1"/>
  <c r="B65" i="5" s="1"/>
  <c r="K65" i="5" s="1"/>
  <c r="AO65" i="3"/>
  <c r="AP65" i="3"/>
  <c r="BK8" i="3"/>
  <c r="BJ8" i="3"/>
  <c r="C8" i="5" s="1"/>
  <c r="B8" i="5" s="1"/>
  <c r="I8" i="5" s="1"/>
  <c r="AO56" i="3"/>
  <c r="AP56" i="3"/>
  <c r="BK56" i="3"/>
  <c r="BJ56" i="3"/>
  <c r="C56" i="5" s="1"/>
  <c r="B56" i="5" s="1"/>
  <c r="D56" i="5" s="1"/>
  <c r="BK27" i="3"/>
  <c r="BJ27" i="3"/>
  <c r="C27" i="5" s="1"/>
  <c r="BK28" i="3"/>
  <c r="BJ28" i="3"/>
  <c r="C28" i="5" s="1"/>
  <c r="BK62" i="3"/>
  <c r="BJ62" i="3"/>
  <c r="C62" i="5" s="1"/>
  <c r="B62" i="5" s="1"/>
  <c r="D62" i="5" s="1"/>
  <c r="AO62" i="3"/>
  <c r="AP62" i="3"/>
  <c r="AP95" i="3"/>
  <c r="BK95" i="3"/>
  <c r="BJ95" i="3"/>
  <c r="C95" i="5" s="1"/>
  <c r="B95" i="5" s="1"/>
  <c r="K95" i="5" s="1"/>
  <c r="AO95" i="3"/>
  <c r="AP73" i="3"/>
  <c r="BK73" i="3"/>
  <c r="BJ73" i="3"/>
  <c r="C73" i="5" s="1"/>
  <c r="B73" i="5" s="1"/>
  <c r="K73" i="5" s="1"/>
  <c r="AO73" i="3"/>
  <c r="BK12" i="3"/>
  <c r="BJ12" i="3"/>
  <c r="C12" i="5" s="1"/>
  <c r="B12" i="5" s="1"/>
  <c r="I12" i="5" s="1"/>
  <c r="AP60" i="3"/>
  <c r="AO60" i="3"/>
  <c r="BK60" i="3"/>
  <c r="BJ60" i="3"/>
  <c r="C60" i="5" s="1"/>
  <c r="B60" i="5" s="1"/>
  <c r="D60" i="5" s="1"/>
  <c r="BJ9" i="3"/>
  <c r="C9" i="5" s="1"/>
  <c r="BK9" i="3"/>
  <c r="BK77" i="3"/>
  <c r="BJ77" i="3"/>
  <c r="C77" i="5" s="1"/>
  <c r="B77" i="5" s="1"/>
  <c r="G77" i="5" s="1"/>
  <c r="AO77" i="3"/>
  <c r="AP77" i="3"/>
  <c r="BK11" i="3"/>
  <c r="BJ11" i="3"/>
  <c r="C11" i="5" s="1"/>
  <c r="B11" i="5" s="1"/>
  <c r="I11" i="5" s="1"/>
  <c r="AP85" i="3"/>
  <c r="BK85" i="3"/>
  <c r="BJ85" i="3"/>
  <c r="C85" i="5" s="1"/>
  <c r="B85" i="5" s="1"/>
  <c r="K85" i="5" s="1"/>
  <c r="AO85" i="3"/>
  <c r="B18" i="3"/>
  <c r="BH18" i="3"/>
  <c r="BJ66" i="3"/>
  <c r="C66" i="5" s="1"/>
  <c r="B66" i="5" s="1"/>
  <c r="K66" i="5" s="1"/>
  <c r="AO66" i="3"/>
  <c r="AP66" i="3"/>
  <c r="BK66" i="3"/>
  <c r="AO81" i="3"/>
  <c r="BJ81" i="3"/>
  <c r="C81" i="5" s="1"/>
  <c r="B81" i="5" s="1"/>
  <c r="K81" i="5" s="1"/>
  <c r="AP81" i="3"/>
  <c r="BK81" i="3"/>
  <c r="BK16" i="3"/>
  <c r="BJ16" i="3"/>
  <c r="C16" i="5" s="1"/>
  <c r="BK64" i="3"/>
  <c r="BJ64" i="3"/>
  <c r="C64" i="5" s="1"/>
  <c r="B64" i="5" s="1"/>
  <c r="K64" i="5" s="1"/>
  <c r="AO64" i="3"/>
  <c r="AP64" i="3"/>
  <c r="BJ31" i="3"/>
  <c r="C31" i="5" s="1"/>
  <c r="BK31" i="3"/>
  <c r="BK14" i="3"/>
  <c r="BJ14" i="3"/>
  <c r="C14" i="5" s="1"/>
  <c r="B14" i="5" s="1"/>
  <c r="I14" i="5" s="1"/>
  <c r="BJ19" i="3"/>
  <c r="C19" i="5" s="1"/>
  <c r="BK19" i="3"/>
  <c r="AO93" i="3"/>
  <c r="AP93" i="3"/>
  <c r="BJ93" i="3"/>
  <c r="C93" i="5" s="1"/>
  <c r="B93" i="5" s="1"/>
  <c r="K93" i="5" s="1"/>
  <c r="BK93" i="3"/>
  <c r="BK22" i="3"/>
  <c r="BJ22" i="3"/>
  <c r="C22" i="5" s="1"/>
  <c r="AO70" i="3"/>
  <c r="AP70" i="3"/>
  <c r="BK70" i="3"/>
  <c r="BJ70" i="3"/>
  <c r="C70" i="5" s="1"/>
  <c r="B70" i="5" s="1"/>
  <c r="K70" i="5" s="1"/>
  <c r="BK15" i="3"/>
  <c r="BJ15" i="3"/>
  <c r="C15" i="5" s="1"/>
  <c r="B15" i="5" s="1"/>
  <c r="I15" i="5" s="1"/>
  <c r="BK89" i="3"/>
  <c r="BJ89" i="3"/>
  <c r="C89" i="5" s="1"/>
  <c r="B89" i="5" s="1"/>
  <c r="K89" i="5" s="1"/>
  <c r="AO89" i="3"/>
  <c r="AP89" i="3"/>
  <c r="BK20" i="3"/>
  <c r="BJ20" i="3"/>
  <c r="C20" i="5" s="1"/>
  <c r="AO68" i="3"/>
  <c r="AP68" i="3"/>
  <c r="BK68" i="3"/>
  <c r="BJ68" i="3"/>
  <c r="C68" i="5" s="1"/>
  <c r="B68" i="5" s="1"/>
  <c r="K68" i="5" s="1"/>
  <c r="BK26" i="3"/>
  <c r="BJ26" i="3"/>
  <c r="C26" i="5" s="1"/>
  <c r="BK74" i="3"/>
  <c r="BJ74" i="3"/>
  <c r="C74" i="5" s="1"/>
  <c r="B74" i="5" s="1"/>
  <c r="K74" i="5" s="1"/>
  <c r="AO74" i="3"/>
  <c r="AP74" i="3"/>
  <c r="BK23" i="3"/>
  <c r="BJ23" i="3"/>
  <c r="C23" i="5" s="1"/>
  <c r="AP97" i="3"/>
  <c r="BK97" i="3"/>
  <c r="BJ97" i="3"/>
  <c r="C97" i="5" s="1"/>
  <c r="B97" i="5" s="1"/>
  <c r="K97" i="5" s="1"/>
  <c r="AO97" i="3"/>
  <c r="BK24" i="3"/>
  <c r="BJ24" i="3"/>
  <c r="C24" i="5" s="1"/>
  <c r="AP72" i="3"/>
  <c r="BK72" i="3"/>
  <c r="AO72" i="3"/>
  <c r="BJ72" i="3"/>
  <c r="C72" i="5" s="1"/>
  <c r="B72" i="5" s="1"/>
  <c r="K72" i="5" s="1"/>
  <c r="BK76" i="3"/>
  <c r="BJ76" i="3"/>
  <c r="C76" i="5" s="1"/>
  <c r="B76" i="5" s="1"/>
  <c r="K76" i="5" s="1"/>
  <c r="AO76" i="3"/>
  <c r="AP76" i="3"/>
  <c r="BJ21" i="3"/>
  <c r="C21" i="5" s="1"/>
  <c r="BK21" i="3"/>
  <c r="BK34" i="3"/>
  <c r="BJ34" i="3"/>
  <c r="C34" i="5" s="1"/>
  <c r="B34" i="5" s="1"/>
  <c r="AO82" i="3"/>
  <c r="AP82" i="3"/>
  <c r="BK82" i="3"/>
  <c r="BJ82" i="3"/>
  <c r="C82" i="5" s="1"/>
  <c r="B82" i="5" s="1"/>
  <c r="K82" i="5" s="1"/>
  <c r="BK39" i="3"/>
  <c r="BJ39" i="3"/>
  <c r="C39" i="5" s="1"/>
  <c r="BK17" i="3"/>
  <c r="BJ17" i="3"/>
  <c r="C17" i="5" s="1"/>
  <c r="B17" i="5" s="1"/>
  <c r="I17" i="5" s="1"/>
  <c r="BK32" i="3"/>
  <c r="BJ32" i="3"/>
  <c r="C32" i="5" s="1"/>
  <c r="AO80" i="3"/>
  <c r="AP80" i="3"/>
  <c r="BK80" i="3"/>
  <c r="BJ80" i="3"/>
  <c r="C80" i="5" s="1"/>
  <c r="B80" i="5" s="1"/>
  <c r="K80" i="5" s="1"/>
  <c r="D67" i="5"/>
  <c r="J67" i="5"/>
  <c r="J61" i="5"/>
  <c r="D91" i="5"/>
  <c r="J91" i="5"/>
  <c r="D63" i="5"/>
  <c r="J63" i="5"/>
  <c r="D84" i="5"/>
  <c r="J69" i="5"/>
  <c r="D78" i="5"/>
  <c r="J78" i="5"/>
  <c r="D73" i="5"/>
  <c r="J73" i="5"/>
  <c r="D99" i="5"/>
  <c r="J99" i="5"/>
  <c r="J100" i="5"/>
  <c r="J57" i="5"/>
  <c r="D95" i="5"/>
  <c r="J95" i="5"/>
  <c r="D83" i="5"/>
  <c r="J83" i="5"/>
  <c r="D54" i="5"/>
  <c r="D48" i="5"/>
  <c r="J48" i="5"/>
  <c r="J60" i="5"/>
  <c r="D90" i="5"/>
  <c r="J90" i="5"/>
  <c r="D50" i="5"/>
  <c r="J50" i="5"/>
  <c r="J52" i="5"/>
  <c r="J62" i="5"/>
  <c r="D87" i="5"/>
  <c r="J87" i="5"/>
  <c r="D88" i="5"/>
  <c r="J88" i="5"/>
  <c r="D59" i="5"/>
  <c r="J59" i="5"/>
  <c r="D85" i="5"/>
  <c r="J85" i="5"/>
  <c r="D66" i="5"/>
  <c r="J66" i="5"/>
  <c r="D79" i="5"/>
  <c r="J79" i="5"/>
  <c r="J86" i="5"/>
  <c r="D47" i="5"/>
  <c r="J47" i="5"/>
  <c r="D51" i="5"/>
  <c r="J51" i="5"/>
  <c r="D55" i="5"/>
  <c r="J55" i="5"/>
  <c r="D49" i="5"/>
  <c r="J49" i="5"/>
  <c r="J92" i="5"/>
  <c r="D98" i="5"/>
  <c r="B149" i="4"/>
  <c r="B137" i="4"/>
  <c r="B125" i="4"/>
  <c r="A125" i="4" s="1"/>
  <c r="B113" i="4"/>
  <c r="A113" i="4" s="1"/>
  <c r="B101" i="4"/>
  <c r="B89" i="4"/>
  <c r="B77" i="4"/>
  <c r="B65" i="4"/>
  <c r="A65" i="4" s="1"/>
  <c r="B53" i="4"/>
  <c r="A53" i="4" s="1"/>
  <c r="B41" i="4"/>
  <c r="A41" i="4" s="1"/>
  <c r="B29" i="4"/>
  <c r="B5" i="4"/>
  <c r="B138" i="4"/>
  <c r="B114" i="4"/>
  <c r="A114" i="4" s="1"/>
  <c r="B90" i="4"/>
  <c r="B42" i="4"/>
  <c r="A42" i="4" s="1"/>
  <c r="B148" i="4"/>
  <c r="B136" i="4"/>
  <c r="B124" i="4"/>
  <c r="A124" i="4" s="1"/>
  <c r="B112" i="4"/>
  <c r="A112" i="4" s="1"/>
  <c r="B100" i="4"/>
  <c r="B88" i="4"/>
  <c r="B76" i="4"/>
  <c r="B64" i="4"/>
  <c r="A64" i="4" s="1"/>
  <c r="B52" i="4"/>
  <c r="A52" i="4" s="1"/>
  <c r="B40" i="4"/>
  <c r="A40" i="4" s="1"/>
  <c r="B28" i="4"/>
  <c r="B4" i="4"/>
  <c r="B147" i="4"/>
  <c r="B135" i="4"/>
  <c r="B123" i="4"/>
  <c r="A123" i="4" s="1"/>
  <c r="B111" i="4"/>
  <c r="A111" i="4" s="1"/>
  <c r="B99" i="4"/>
  <c r="B87" i="4"/>
  <c r="B75" i="4"/>
  <c r="B63" i="4"/>
  <c r="A63" i="4" s="1"/>
  <c r="B51" i="4"/>
  <c r="A51" i="4" s="1"/>
  <c r="B39" i="4"/>
  <c r="A39" i="4" s="1"/>
  <c r="B27" i="4"/>
  <c r="B15" i="4"/>
  <c r="B3" i="4"/>
  <c r="B146" i="4"/>
  <c r="B134" i="4"/>
  <c r="B122" i="4"/>
  <c r="A122" i="4" s="1"/>
  <c r="B110" i="4"/>
  <c r="A110" i="4" s="1"/>
  <c r="B98" i="4"/>
  <c r="B86" i="4"/>
  <c r="B74" i="4"/>
  <c r="B62" i="4"/>
  <c r="A62" i="4" s="1"/>
  <c r="B50" i="4"/>
  <c r="A50" i="4" s="1"/>
  <c r="B38" i="4"/>
  <c r="B26" i="4"/>
  <c r="B2" i="4"/>
  <c r="B145" i="4"/>
  <c r="B133" i="4"/>
  <c r="B121" i="4"/>
  <c r="A121" i="4" s="1"/>
  <c r="B109" i="4"/>
  <c r="A109" i="4" s="1"/>
  <c r="B97" i="4"/>
  <c r="B85" i="4"/>
  <c r="B73" i="4"/>
  <c r="B61" i="4"/>
  <c r="A61" i="4" s="1"/>
  <c r="B49" i="4"/>
  <c r="A49" i="4" s="1"/>
  <c r="B37" i="4"/>
  <c r="B25" i="4"/>
  <c r="B13" i="4"/>
  <c r="B144" i="4"/>
  <c r="B132" i="4"/>
  <c r="B120" i="4"/>
  <c r="A120" i="4" s="1"/>
  <c r="B108" i="4"/>
  <c r="A108" i="4" s="1"/>
  <c r="B96" i="4"/>
  <c r="B84" i="4"/>
  <c r="B72" i="4"/>
  <c r="B60" i="4"/>
  <c r="A60" i="4" s="1"/>
  <c r="B48" i="4"/>
  <c r="A48" i="4" s="1"/>
  <c r="B36" i="4"/>
  <c r="B24" i="4"/>
  <c r="B12" i="4"/>
  <c r="B143" i="4"/>
  <c r="B131" i="4"/>
  <c r="B119" i="4"/>
  <c r="A119" i="4" s="1"/>
  <c r="B107" i="4"/>
  <c r="A107" i="4" s="1"/>
  <c r="B95" i="4"/>
  <c r="B83" i="4"/>
  <c r="B71" i="4"/>
  <c r="B59" i="4"/>
  <c r="A59" i="4" s="1"/>
  <c r="B47" i="4"/>
  <c r="A47" i="4" s="1"/>
  <c r="B35" i="4"/>
  <c r="B23" i="4"/>
  <c r="B11" i="4"/>
  <c r="B78" i="4"/>
  <c r="B30" i="4"/>
  <c r="B142" i="4"/>
  <c r="B130" i="4"/>
  <c r="B118" i="4"/>
  <c r="A118" i="4" s="1"/>
  <c r="B106" i="4"/>
  <c r="A106" i="4" s="1"/>
  <c r="B94" i="4"/>
  <c r="B82" i="4"/>
  <c r="B70" i="4"/>
  <c r="B58" i="4"/>
  <c r="A58" i="4" s="1"/>
  <c r="B46" i="4"/>
  <c r="B34" i="4"/>
  <c r="B22" i="4"/>
  <c r="B10" i="4"/>
  <c r="B18" i="4"/>
  <c r="B141" i="4"/>
  <c r="B129" i="4"/>
  <c r="B117" i="4"/>
  <c r="A117" i="4" s="1"/>
  <c r="B105" i="4"/>
  <c r="B93" i="4"/>
  <c r="B81" i="4"/>
  <c r="B69" i="4"/>
  <c r="B57" i="4"/>
  <c r="A57" i="4" s="1"/>
  <c r="B45" i="4"/>
  <c r="B33" i="4"/>
  <c r="B21" i="4"/>
  <c r="B102" i="4"/>
  <c r="B6" i="4"/>
  <c r="B140" i="4"/>
  <c r="B128" i="4"/>
  <c r="B116" i="4"/>
  <c r="B104" i="4"/>
  <c r="B92" i="4"/>
  <c r="B80" i="4"/>
  <c r="B68" i="4"/>
  <c r="B56" i="4"/>
  <c r="A56" i="4" s="1"/>
  <c r="B44" i="4"/>
  <c r="A44" i="4" s="1"/>
  <c r="B32" i="4"/>
  <c r="B20" i="4"/>
  <c r="B8" i="4"/>
  <c r="B126" i="4"/>
  <c r="B54" i="4"/>
  <c r="A54" i="4" s="1"/>
  <c r="B139" i="4"/>
  <c r="B127" i="4"/>
  <c r="B115" i="4"/>
  <c r="A115" i="4" s="1"/>
  <c r="B103" i="4"/>
  <c r="B91" i="4"/>
  <c r="B79" i="4"/>
  <c r="B67" i="4"/>
  <c r="A67" i="4" s="1"/>
  <c r="B55" i="4"/>
  <c r="A55" i="4" s="1"/>
  <c r="B43" i="4"/>
  <c r="A43" i="4" s="1"/>
  <c r="B31" i="4"/>
  <c r="B19" i="4"/>
  <c r="B7" i="4"/>
  <c r="B66" i="4"/>
  <c r="A66" i="4" s="1"/>
  <c r="F86" i="5"/>
  <c r="BG27" i="3"/>
  <c r="BI27" i="3"/>
  <c r="BH27" i="3"/>
  <c r="BG59" i="3"/>
  <c r="AS59" i="3"/>
  <c r="AI59" i="3"/>
  <c r="BI59" i="3"/>
  <c r="AU59" i="3"/>
  <c r="AR59" i="3"/>
  <c r="AK59" i="3"/>
  <c r="AQ59" i="3"/>
  <c r="AV59" i="3"/>
  <c r="BH59" i="3"/>
  <c r="AJ59" i="3"/>
  <c r="AL59" i="3"/>
  <c r="AT59" i="3"/>
  <c r="AQ91" i="3"/>
  <c r="AU91" i="3"/>
  <c r="AK91" i="3"/>
  <c r="AV91" i="3"/>
  <c r="AL91" i="3"/>
  <c r="AI91" i="3"/>
  <c r="AT91" i="3"/>
  <c r="AR91" i="3"/>
  <c r="AS91" i="3"/>
  <c r="BH91" i="3"/>
  <c r="BI91" i="3"/>
  <c r="BG91" i="3"/>
  <c r="AJ91" i="3"/>
  <c r="G75" i="5"/>
  <c r="BG21" i="3"/>
  <c r="BI21" i="3"/>
  <c r="BH21" i="3"/>
  <c r="BH37" i="3"/>
  <c r="BG37" i="3"/>
  <c r="BI37" i="3"/>
  <c r="BI53" i="3"/>
  <c r="AU53" i="3"/>
  <c r="AK53" i="3"/>
  <c r="AR53" i="3"/>
  <c r="AJ53" i="3"/>
  <c r="AV53" i="3"/>
  <c r="AQ53" i="3"/>
  <c r="AT53" i="3"/>
  <c r="BG53" i="3"/>
  <c r="BH53" i="3"/>
  <c r="AI53" i="3"/>
  <c r="AS53" i="3"/>
  <c r="AL53" i="3"/>
  <c r="AQ69" i="3"/>
  <c r="BG69" i="3"/>
  <c r="AS69" i="3"/>
  <c r="AT69" i="3"/>
  <c r="BH69" i="3"/>
  <c r="BI69" i="3"/>
  <c r="AU69" i="3"/>
  <c r="AV69" i="3"/>
  <c r="AK69" i="3"/>
  <c r="AJ69" i="3"/>
  <c r="AL69" i="3"/>
  <c r="AR69" i="3"/>
  <c r="AI69" i="3"/>
  <c r="AQ85" i="3"/>
  <c r="AU85" i="3"/>
  <c r="BH85" i="3"/>
  <c r="AR85" i="3"/>
  <c r="BG85" i="3"/>
  <c r="AS85" i="3"/>
  <c r="AJ85" i="3"/>
  <c r="AK85" i="3"/>
  <c r="AL85" i="3"/>
  <c r="BI85" i="3"/>
  <c r="AT85" i="3"/>
  <c r="AV85" i="3"/>
  <c r="AI85" i="3"/>
  <c r="AQ99" i="3"/>
  <c r="BG99" i="3"/>
  <c r="AS99" i="3"/>
  <c r="AV99" i="3"/>
  <c r="AJ99" i="3"/>
  <c r="AK99" i="3"/>
  <c r="AR99" i="3"/>
  <c r="AL99" i="3"/>
  <c r="AU99" i="3"/>
  <c r="BI99" i="3"/>
  <c r="AT99" i="3"/>
  <c r="AI99" i="3"/>
  <c r="BH99" i="3"/>
  <c r="F95" i="5"/>
  <c r="G95" i="5"/>
  <c r="E95" i="5"/>
  <c r="L95" i="5"/>
  <c r="H95" i="5"/>
  <c r="E87" i="5"/>
  <c r="F87" i="5"/>
  <c r="H87" i="5"/>
  <c r="G87" i="5"/>
  <c r="L87" i="5"/>
  <c r="E79" i="5"/>
  <c r="F79" i="5"/>
  <c r="H79" i="5"/>
  <c r="G79" i="5"/>
  <c r="L79" i="5"/>
  <c r="BG10" i="3"/>
  <c r="BI10" i="3"/>
  <c r="BH10" i="3"/>
  <c r="BI26" i="3"/>
  <c r="BG26" i="3"/>
  <c r="BH26" i="3"/>
  <c r="BH34" i="3"/>
  <c r="BG34" i="3"/>
  <c r="BI34" i="3"/>
  <c r="BH42" i="3"/>
  <c r="BI42" i="3"/>
  <c r="BG42" i="3"/>
  <c r="AQ50" i="3"/>
  <c r="AU50" i="3"/>
  <c r="BH50" i="3"/>
  <c r="AR50" i="3"/>
  <c r="BG50" i="3"/>
  <c r="AT50" i="3"/>
  <c r="BI50" i="3"/>
  <c r="AV50" i="3"/>
  <c r="AL50" i="3"/>
  <c r="AI50" i="3"/>
  <c r="AK50" i="3"/>
  <c r="AJ50" i="3"/>
  <c r="AS50" i="3"/>
  <c r="AQ58" i="3"/>
  <c r="AV58" i="3"/>
  <c r="AK58" i="3"/>
  <c r="AL58" i="3"/>
  <c r="AS58" i="3"/>
  <c r="AU58" i="3"/>
  <c r="BH58" i="3"/>
  <c r="BG58" i="3"/>
  <c r="AI58" i="3"/>
  <c r="AJ58" i="3"/>
  <c r="AR58" i="3"/>
  <c r="AT58" i="3"/>
  <c r="BI58" i="3"/>
  <c r="AQ66" i="3"/>
  <c r="AV66" i="3"/>
  <c r="AK66" i="3"/>
  <c r="AU66" i="3"/>
  <c r="BG66" i="3"/>
  <c r="AR66" i="3"/>
  <c r="AJ66" i="3"/>
  <c r="AT66" i="3"/>
  <c r="AS66" i="3"/>
  <c r="BH66" i="3"/>
  <c r="AL66" i="3"/>
  <c r="BI66" i="3"/>
  <c r="AI66" i="3"/>
  <c r="AQ74" i="3"/>
  <c r="AV74" i="3"/>
  <c r="AK74" i="3"/>
  <c r="AU74" i="3"/>
  <c r="BG74" i="3"/>
  <c r="BH74" i="3"/>
  <c r="BI74" i="3"/>
  <c r="AI74" i="3"/>
  <c r="AL74" i="3"/>
  <c r="AJ74" i="3"/>
  <c r="AS74" i="3"/>
  <c r="AR74" i="3"/>
  <c r="AT74" i="3"/>
  <c r="AQ82" i="3"/>
  <c r="AK82" i="3"/>
  <c r="AR82" i="3"/>
  <c r="BG82" i="3"/>
  <c r="AS82" i="3"/>
  <c r="AV82" i="3"/>
  <c r="AJ82" i="3"/>
  <c r="AU82" i="3"/>
  <c r="AL82" i="3"/>
  <c r="BH82" i="3"/>
  <c r="AI82" i="3"/>
  <c r="BI82" i="3"/>
  <c r="AT82" i="3"/>
  <c r="AQ90" i="3"/>
  <c r="AV90" i="3"/>
  <c r="AL90" i="3"/>
  <c r="AU90" i="3"/>
  <c r="BG90" i="3"/>
  <c r="BH90" i="3"/>
  <c r="BI90" i="3"/>
  <c r="AJ90" i="3"/>
  <c r="AI90" i="3"/>
  <c r="AR90" i="3"/>
  <c r="AT90" i="3"/>
  <c r="AK90" i="3"/>
  <c r="AS90" i="3"/>
  <c r="AQ98" i="3"/>
  <c r="AU98" i="3"/>
  <c r="AK98" i="3"/>
  <c r="BH98" i="3"/>
  <c r="AR98" i="3"/>
  <c r="BG98" i="3"/>
  <c r="AT98" i="3"/>
  <c r="BI98" i="3"/>
  <c r="AV98" i="3"/>
  <c r="AI98" i="3"/>
  <c r="AS98" i="3"/>
  <c r="AJ98" i="3"/>
  <c r="AL98" i="3"/>
  <c r="H89" i="5"/>
  <c r="BG23" i="3"/>
  <c r="BH23" i="3"/>
  <c r="BI23" i="3"/>
  <c r="BI39" i="3"/>
  <c r="BG39" i="3"/>
  <c r="BH39" i="3"/>
  <c r="AJ55" i="3"/>
  <c r="AV55" i="3"/>
  <c r="AL55" i="3"/>
  <c r="BH55" i="3"/>
  <c r="AT55" i="3"/>
  <c r="BG55" i="3"/>
  <c r="AI55" i="3"/>
  <c r="BI55" i="3"/>
  <c r="AR55" i="3"/>
  <c r="AQ55" i="3"/>
  <c r="AK55" i="3"/>
  <c r="AU55" i="3"/>
  <c r="AS55" i="3"/>
  <c r="AQ71" i="3"/>
  <c r="AL71" i="3"/>
  <c r="AR71" i="3"/>
  <c r="AJ71" i="3"/>
  <c r="AI71" i="3"/>
  <c r="BI71" i="3"/>
  <c r="BH71" i="3"/>
  <c r="BG71" i="3"/>
  <c r="AV71" i="3"/>
  <c r="AU71" i="3"/>
  <c r="AS71" i="3"/>
  <c r="AT71" i="3"/>
  <c r="AK71" i="3"/>
  <c r="AT87" i="3"/>
  <c r="AJ87" i="3"/>
  <c r="BH87" i="3"/>
  <c r="AR87" i="3"/>
  <c r="BG87" i="3"/>
  <c r="AS87" i="3"/>
  <c r="BI87" i="3"/>
  <c r="AQ87" i="3"/>
  <c r="AK87" i="3"/>
  <c r="AL87" i="3"/>
  <c r="AU87" i="3"/>
  <c r="AI87" i="3"/>
  <c r="AV87" i="3"/>
  <c r="G94" i="5"/>
  <c r="E94" i="5"/>
  <c r="E78" i="5"/>
  <c r="F78" i="5"/>
  <c r="H78" i="5"/>
  <c r="G78" i="5"/>
  <c r="L78" i="5"/>
  <c r="BI17" i="3"/>
  <c r="BG17" i="3"/>
  <c r="BH17" i="3"/>
  <c r="BG33" i="3"/>
  <c r="BH33" i="3"/>
  <c r="BI33" i="3"/>
  <c r="AL49" i="3"/>
  <c r="AT49" i="3"/>
  <c r="BH49" i="3"/>
  <c r="BG49" i="3"/>
  <c r="AS49" i="3"/>
  <c r="AI49" i="3"/>
  <c r="BI49" i="3"/>
  <c r="AK49" i="3"/>
  <c r="AJ49" i="3"/>
  <c r="AV49" i="3"/>
  <c r="AQ49" i="3"/>
  <c r="AR49" i="3"/>
  <c r="AU49" i="3"/>
  <c r="AQ65" i="3"/>
  <c r="BI65" i="3"/>
  <c r="AU65" i="3"/>
  <c r="AK65" i="3"/>
  <c r="AT65" i="3"/>
  <c r="AR65" i="3"/>
  <c r="BH65" i="3"/>
  <c r="AV65" i="3"/>
  <c r="AS65" i="3"/>
  <c r="AI65" i="3"/>
  <c r="BG65" i="3"/>
  <c r="AJ65" i="3"/>
  <c r="AL65" i="3"/>
  <c r="BG81" i="3"/>
  <c r="AS81" i="3"/>
  <c r="AV81" i="3"/>
  <c r="AT81" i="3"/>
  <c r="BI81" i="3"/>
  <c r="AU81" i="3"/>
  <c r="BH81" i="3"/>
  <c r="AL81" i="3"/>
  <c r="AR81" i="3"/>
  <c r="AQ81" i="3"/>
  <c r="AI81" i="3"/>
  <c r="AK81" i="3"/>
  <c r="AJ81" i="3"/>
  <c r="AT97" i="3"/>
  <c r="AJ97" i="3"/>
  <c r="AS97" i="3"/>
  <c r="AQ97" i="3"/>
  <c r="AU97" i="3"/>
  <c r="AV97" i="3"/>
  <c r="AL97" i="3"/>
  <c r="BG97" i="3"/>
  <c r="AI97" i="3"/>
  <c r="AR97" i="3"/>
  <c r="AK97" i="3"/>
  <c r="BH97" i="3"/>
  <c r="BI97" i="3"/>
  <c r="E97" i="5"/>
  <c r="G88" i="5"/>
  <c r="L88" i="5"/>
  <c r="E88" i="5"/>
  <c r="H88" i="5"/>
  <c r="F88" i="5"/>
  <c r="BI8" i="3"/>
  <c r="BG8" i="3"/>
  <c r="BH8" i="3"/>
  <c r="BG16" i="3"/>
  <c r="BH16" i="3"/>
  <c r="BI16" i="3"/>
  <c r="BG24" i="3"/>
  <c r="BH24" i="3"/>
  <c r="BI24" i="3"/>
  <c r="BG32" i="3"/>
  <c r="BH32" i="3"/>
  <c r="BI32" i="3"/>
  <c r="BI40" i="3"/>
  <c r="BG40" i="3"/>
  <c r="BH40" i="3"/>
  <c r="AV48" i="3"/>
  <c r="AK48" i="3"/>
  <c r="AU48" i="3"/>
  <c r="BG48" i="3"/>
  <c r="BH48" i="3"/>
  <c r="BI48" i="3"/>
  <c r="AI48" i="3"/>
  <c r="AL48" i="3"/>
  <c r="AQ48" i="3"/>
  <c r="AJ48" i="3"/>
  <c r="AS48" i="3"/>
  <c r="AT48" i="3"/>
  <c r="AR48" i="3"/>
  <c r="AQ56" i="3"/>
  <c r="BH56" i="3"/>
  <c r="AR56" i="3"/>
  <c r="BI56" i="3"/>
  <c r="AJ56" i="3"/>
  <c r="AK56" i="3"/>
  <c r="AI56" i="3"/>
  <c r="BG56" i="3"/>
  <c r="AU56" i="3"/>
  <c r="AV56" i="3"/>
  <c r="AT56" i="3"/>
  <c r="AL56" i="3"/>
  <c r="AS56" i="3"/>
  <c r="BG64" i="3"/>
  <c r="BH64" i="3"/>
  <c r="AR64" i="3"/>
  <c r="BI64" i="3"/>
  <c r="AJ64" i="3"/>
  <c r="AT64" i="3"/>
  <c r="AS64" i="3"/>
  <c r="AV64" i="3"/>
  <c r="AQ64" i="3"/>
  <c r="AI64" i="3"/>
  <c r="AK64" i="3"/>
  <c r="AU64" i="3"/>
  <c r="AL64" i="3"/>
  <c r="AQ72" i="3"/>
  <c r="AT72" i="3"/>
  <c r="AI72" i="3"/>
  <c r="AV72" i="3"/>
  <c r="AK72" i="3"/>
  <c r="AL72" i="3"/>
  <c r="BI72" i="3"/>
  <c r="AU72" i="3"/>
  <c r="BH72" i="3"/>
  <c r="BG72" i="3"/>
  <c r="AJ72" i="3"/>
  <c r="AR72" i="3"/>
  <c r="AS72" i="3"/>
  <c r="AQ80" i="3"/>
  <c r="AI80" i="3"/>
  <c r="AL80" i="3"/>
  <c r="AT80" i="3"/>
  <c r="AK80" i="3"/>
  <c r="AR80" i="3"/>
  <c r="AS80" i="3"/>
  <c r="AJ80" i="3"/>
  <c r="AU80" i="3"/>
  <c r="BG80" i="3"/>
  <c r="AV80" i="3"/>
  <c r="BI80" i="3"/>
  <c r="BH80" i="3"/>
  <c r="AQ88" i="3"/>
  <c r="AT88" i="3"/>
  <c r="AJ88" i="3"/>
  <c r="AS88" i="3"/>
  <c r="AI88" i="3"/>
  <c r="AV88" i="3"/>
  <c r="AL88" i="3"/>
  <c r="AU88" i="3"/>
  <c r="BH88" i="3"/>
  <c r="BI88" i="3"/>
  <c r="BG88" i="3"/>
  <c r="AR88" i="3"/>
  <c r="AK88" i="3"/>
  <c r="AQ96" i="3"/>
  <c r="BH96" i="3"/>
  <c r="AR96" i="3"/>
  <c r="BI96" i="3"/>
  <c r="BG96" i="3"/>
  <c r="AL96" i="3"/>
  <c r="AK96" i="3"/>
  <c r="AJ96" i="3"/>
  <c r="AS96" i="3"/>
  <c r="AV96" i="3"/>
  <c r="AU96" i="3"/>
  <c r="AT96" i="3"/>
  <c r="AI96" i="3"/>
  <c r="BH11" i="3"/>
  <c r="BI11" i="3"/>
  <c r="BG11" i="3"/>
  <c r="BG43" i="3"/>
  <c r="BI43" i="3"/>
  <c r="BH43" i="3"/>
  <c r="AQ75" i="3"/>
  <c r="AL75" i="3"/>
  <c r="AR75" i="3"/>
  <c r="AK75" i="3"/>
  <c r="BG75" i="3"/>
  <c r="AS75" i="3"/>
  <c r="AV75" i="3"/>
  <c r="BI75" i="3"/>
  <c r="BH75" i="3"/>
  <c r="AJ75" i="3"/>
  <c r="AU75" i="3"/>
  <c r="AT75" i="3"/>
  <c r="AI75" i="3"/>
  <c r="E91" i="5"/>
  <c r="F91" i="5"/>
  <c r="H91" i="5"/>
  <c r="G91" i="5"/>
  <c r="L91" i="5"/>
  <c r="L92" i="5"/>
  <c r="BI19" i="3"/>
  <c r="BG19" i="3"/>
  <c r="BH19" i="3"/>
  <c r="BH35" i="3"/>
  <c r="BI35" i="3"/>
  <c r="BG35" i="3"/>
  <c r="AJ51" i="3"/>
  <c r="AV51" i="3"/>
  <c r="AL51" i="3"/>
  <c r="BH51" i="3"/>
  <c r="AT51" i="3"/>
  <c r="AQ51" i="3"/>
  <c r="AS51" i="3"/>
  <c r="AU51" i="3"/>
  <c r="AK51" i="3"/>
  <c r="BG51" i="3"/>
  <c r="BI51" i="3"/>
  <c r="AI51" i="3"/>
  <c r="AR51" i="3"/>
  <c r="BI67" i="3"/>
  <c r="AU67" i="3"/>
  <c r="BH67" i="3"/>
  <c r="BG67" i="3"/>
  <c r="AS67" i="3"/>
  <c r="AV67" i="3"/>
  <c r="AT67" i="3"/>
  <c r="AQ67" i="3"/>
  <c r="AR67" i="3"/>
  <c r="AJ67" i="3"/>
  <c r="AK67" i="3"/>
  <c r="AI67" i="3"/>
  <c r="AL67" i="3"/>
  <c r="BI83" i="3"/>
  <c r="AU83" i="3"/>
  <c r="BH83" i="3"/>
  <c r="AT83" i="3"/>
  <c r="AI83" i="3"/>
  <c r="AL83" i="3"/>
  <c r="AK83" i="3"/>
  <c r="AJ83" i="3"/>
  <c r="AS83" i="3"/>
  <c r="AQ83" i="3"/>
  <c r="AR83" i="3"/>
  <c r="AV83" i="3"/>
  <c r="BG83" i="3"/>
  <c r="H96" i="5"/>
  <c r="F96" i="5"/>
  <c r="L81" i="5"/>
  <c r="BH13" i="3"/>
  <c r="BG13" i="3"/>
  <c r="BI13" i="3"/>
  <c r="BH29" i="3"/>
  <c r="BG29" i="3"/>
  <c r="BI29" i="3"/>
  <c r="BH45" i="3"/>
  <c r="BI45" i="3"/>
  <c r="BG45" i="3"/>
  <c r="AQ61" i="3"/>
  <c r="BI61" i="3"/>
  <c r="AU61" i="3"/>
  <c r="AK61" i="3"/>
  <c r="AR61" i="3"/>
  <c r="AJ61" i="3"/>
  <c r="AV61" i="3"/>
  <c r="AL61" i="3"/>
  <c r="BH61" i="3"/>
  <c r="AS61" i="3"/>
  <c r="AI61" i="3"/>
  <c r="BG61" i="3"/>
  <c r="AT61" i="3"/>
  <c r="AQ77" i="3"/>
  <c r="AI77" i="3"/>
  <c r="AL77" i="3"/>
  <c r="AJ77" i="3"/>
  <c r="AK77" i="3"/>
  <c r="AR77" i="3"/>
  <c r="BG77" i="3"/>
  <c r="AV77" i="3"/>
  <c r="BI77" i="3"/>
  <c r="BH77" i="3"/>
  <c r="AT77" i="3"/>
  <c r="AS77" i="3"/>
  <c r="AU77" i="3"/>
  <c r="AQ93" i="3"/>
  <c r="AT93" i="3"/>
  <c r="AJ93" i="3"/>
  <c r="AK93" i="3"/>
  <c r="BH93" i="3"/>
  <c r="AR93" i="3"/>
  <c r="BG93" i="3"/>
  <c r="AS93" i="3"/>
  <c r="AV93" i="3"/>
  <c r="AI93" i="3"/>
  <c r="AU93" i="3"/>
  <c r="AL93" i="3"/>
  <c r="BI93" i="3"/>
  <c r="G99" i="5"/>
  <c r="F99" i="5"/>
  <c r="H99" i="5"/>
  <c r="L99" i="5"/>
  <c r="E99" i="5"/>
  <c r="E90" i="5"/>
  <c r="F90" i="5"/>
  <c r="H90" i="5"/>
  <c r="L90" i="5"/>
  <c r="G90" i="5"/>
  <c r="E82" i="5"/>
  <c r="L82" i="5"/>
  <c r="G82" i="5"/>
  <c r="L74" i="5"/>
  <c r="BI14" i="3"/>
  <c r="BG14" i="3"/>
  <c r="BH14" i="3"/>
  <c r="BI22" i="3"/>
  <c r="BG22" i="3"/>
  <c r="BH22" i="3"/>
  <c r="BI30" i="3"/>
  <c r="BG30" i="3"/>
  <c r="BH30" i="3"/>
  <c r="BH38" i="3"/>
  <c r="BG38" i="3"/>
  <c r="BI38" i="3"/>
  <c r="BI46" i="3"/>
  <c r="BG46" i="3"/>
  <c r="BH46" i="3"/>
  <c r="AU54" i="3"/>
  <c r="AQ54" i="3"/>
  <c r="AV54" i="3"/>
  <c r="AK54" i="3"/>
  <c r="AL54" i="3"/>
  <c r="AS54" i="3"/>
  <c r="AT54" i="3"/>
  <c r="BI54" i="3"/>
  <c r="BH54" i="3"/>
  <c r="BG54" i="3"/>
  <c r="AJ54" i="3"/>
  <c r="AI54" i="3"/>
  <c r="AR54" i="3"/>
  <c r="BH62" i="3"/>
  <c r="AR62" i="3"/>
  <c r="BG62" i="3"/>
  <c r="AT62" i="3"/>
  <c r="AI62" i="3"/>
  <c r="BI62" i="3"/>
  <c r="AJ62" i="3"/>
  <c r="AQ62" i="3"/>
  <c r="AK62" i="3"/>
  <c r="AS62" i="3"/>
  <c r="AL62" i="3"/>
  <c r="AU62" i="3"/>
  <c r="AV62" i="3"/>
  <c r="BH70" i="3"/>
  <c r="AR70" i="3"/>
  <c r="BI70" i="3"/>
  <c r="AJ70" i="3"/>
  <c r="AT70" i="3"/>
  <c r="AI70" i="3"/>
  <c r="AS70" i="3"/>
  <c r="AL70" i="3"/>
  <c r="AV70" i="3"/>
  <c r="AK70" i="3"/>
  <c r="AQ70" i="3"/>
  <c r="AU70" i="3"/>
  <c r="BG70" i="3"/>
  <c r="BI78" i="3"/>
  <c r="AU78" i="3"/>
  <c r="BH78" i="3"/>
  <c r="AI78" i="3"/>
  <c r="AL78" i="3"/>
  <c r="AT78" i="3"/>
  <c r="AQ78" i="3"/>
  <c r="AK78" i="3"/>
  <c r="AS78" i="3"/>
  <c r="AJ78" i="3"/>
  <c r="BG78" i="3"/>
  <c r="AR78" i="3"/>
  <c r="AV78" i="3"/>
  <c r="BH86" i="3"/>
  <c r="AR86" i="3"/>
  <c r="BI86" i="3"/>
  <c r="AK86" i="3"/>
  <c r="AT86" i="3"/>
  <c r="AJ86" i="3"/>
  <c r="AS86" i="3"/>
  <c r="AI86" i="3"/>
  <c r="AV86" i="3"/>
  <c r="AQ86" i="3"/>
  <c r="AU86" i="3"/>
  <c r="BG86" i="3"/>
  <c r="AL86" i="3"/>
  <c r="BH94" i="3"/>
  <c r="AT94" i="3"/>
  <c r="AJ94" i="3"/>
  <c r="AK94" i="3"/>
  <c r="AV94" i="3"/>
  <c r="AL94" i="3"/>
  <c r="AS94" i="3"/>
  <c r="AQ94" i="3"/>
  <c r="AI94" i="3"/>
  <c r="AR94" i="3"/>
  <c r="AU94" i="3"/>
  <c r="BI94" i="3"/>
  <c r="BG94" i="3"/>
  <c r="H98" i="5"/>
  <c r="L98" i="5"/>
  <c r="E98" i="5"/>
  <c r="G98" i="5"/>
  <c r="F98" i="5"/>
  <c r="E83" i="5"/>
  <c r="F83" i="5"/>
  <c r="H83" i="5"/>
  <c r="G83" i="5"/>
  <c r="L83" i="5"/>
  <c r="BI15" i="3"/>
  <c r="BH15" i="3"/>
  <c r="BG15" i="3"/>
  <c r="BG31" i="3"/>
  <c r="BH31" i="3"/>
  <c r="BI31" i="3"/>
  <c r="AJ47" i="3"/>
  <c r="AV47" i="3"/>
  <c r="AL47" i="3"/>
  <c r="BH47" i="3"/>
  <c r="AT47" i="3"/>
  <c r="BG47" i="3"/>
  <c r="AI47" i="3"/>
  <c r="BI47" i="3"/>
  <c r="AR47" i="3"/>
  <c r="AQ47" i="3"/>
  <c r="AK47" i="3"/>
  <c r="AS47" i="3"/>
  <c r="AU47" i="3"/>
  <c r="AQ63" i="3"/>
  <c r="BG63" i="3"/>
  <c r="AS63" i="3"/>
  <c r="AI63" i="3"/>
  <c r="BI63" i="3"/>
  <c r="AU63" i="3"/>
  <c r="AR63" i="3"/>
  <c r="AK63" i="3"/>
  <c r="AJ63" i="3"/>
  <c r="AL63" i="3"/>
  <c r="AT63" i="3"/>
  <c r="AV63" i="3"/>
  <c r="BH63" i="3"/>
  <c r="BI79" i="3"/>
  <c r="AU79" i="3"/>
  <c r="BH79" i="3"/>
  <c r="AT79" i="3"/>
  <c r="AI79" i="3"/>
  <c r="AL79" i="3"/>
  <c r="AQ79" i="3"/>
  <c r="AK79" i="3"/>
  <c r="AJ79" i="3"/>
  <c r="AS79" i="3"/>
  <c r="AR79" i="3"/>
  <c r="AV79" i="3"/>
  <c r="BG79" i="3"/>
  <c r="AQ95" i="3"/>
  <c r="AI95" i="3"/>
  <c r="AV95" i="3"/>
  <c r="AL95" i="3"/>
  <c r="BG95" i="3"/>
  <c r="AT95" i="3"/>
  <c r="AS95" i="3"/>
  <c r="AR95" i="3"/>
  <c r="AK95" i="3"/>
  <c r="BH95" i="3"/>
  <c r="AU95" i="3"/>
  <c r="AJ95" i="3"/>
  <c r="BI95" i="3"/>
  <c r="F84" i="5"/>
  <c r="H84" i="5"/>
  <c r="E84" i="5"/>
  <c r="L84" i="5"/>
  <c r="G84" i="5"/>
  <c r="BH9" i="3"/>
  <c r="BI9" i="3"/>
  <c r="BG9" i="3"/>
  <c r="BH25" i="3"/>
  <c r="BG25" i="3"/>
  <c r="BI25" i="3"/>
  <c r="BH41" i="3"/>
  <c r="BG41" i="3"/>
  <c r="BI41" i="3"/>
  <c r="BI57" i="3"/>
  <c r="AU57" i="3"/>
  <c r="AK57" i="3"/>
  <c r="AR57" i="3"/>
  <c r="AJ57" i="3"/>
  <c r="AV57" i="3"/>
  <c r="AQ57" i="3"/>
  <c r="AT57" i="3"/>
  <c r="BG57" i="3"/>
  <c r="BH57" i="3"/>
  <c r="AI57" i="3"/>
  <c r="AL57" i="3"/>
  <c r="AS57" i="3"/>
  <c r="BG73" i="3"/>
  <c r="AS73" i="3"/>
  <c r="AT73" i="3"/>
  <c r="AI73" i="3"/>
  <c r="BI73" i="3"/>
  <c r="AU73" i="3"/>
  <c r="AR73" i="3"/>
  <c r="AJ73" i="3"/>
  <c r="AV73" i="3"/>
  <c r="AL73" i="3"/>
  <c r="BH73" i="3"/>
  <c r="AQ73" i="3"/>
  <c r="AK73" i="3"/>
  <c r="AT89" i="3"/>
  <c r="AJ89" i="3"/>
  <c r="AK89" i="3"/>
  <c r="BH89" i="3"/>
  <c r="AR89" i="3"/>
  <c r="BG89" i="3"/>
  <c r="AS89" i="3"/>
  <c r="AV89" i="3"/>
  <c r="AI89" i="3"/>
  <c r="AQ89" i="3"/>
  <c r="AU89" i="3"/>
  <c r="AL89" i="3"/>
  <c r="BI89" i="3"/>
  <c r="E100" i="5"/>
  <c r="G100" i="5"/>
  <c r="G93" i="5"/>
  <c r="L93" i="5"/>
  <c r="E93" i="5"/>
  <c r="H93" i="5"/>
  <c r="F93" i="5"/>
  <c r="G85" i="5"/>
  <c r="L85" i="5"/>
  <c r="E85" i="5"/>
  <c r="H85" i="5"/>
  <c r="F85" i="5"/>
  <c r="L77" i="5"/>
  <c r="BI12" i="3"/>
  <c r="BG12" i="3"/>
  <c r="BH12" i="3"/>
  <c r="BG20" i="3"/>
  <c r="BH20" i="3"/>
  <c r="BI20" i="3"/>
  <c r="BG28" i="3"/>
  <c r="BH28" i="3"/>
  <c r="BI28" i="3"/>
  <c r="BI36" i="3"/>
  <c r="BG36" i="3"/>
  <c r="BH36" i="3"/>
  <c r="BI44" i="3"/>
  <c r="BG44" i="3"/>
  <c r="BH44" i="3"/>
  <c r="AV52" i="3"/>
  <c r="AK52" i="3"/>
  <c r="AU52" i="3"/>
  <c r="BG52" i="3"/>
  <c r="AQ52" i="3"/>
  <c r="BH52" i="3"/>
  <c r="BI52" i="3"/>
  <c r="AI52" i="3"/>
  <c r="AL52" i="3"/>
  <c r="AR52" i="3"/>
  <c r="AJ52" i="3"/>
  <c r="AT52" i="3"/>
  <c r="AS52" i="3"/>
  <c r="AQ60" i="3"/>
  <c r="AT60" i="3"/>
  <c r="AI60" i="3"/>
  <c r="AS60" i="3"/>
  <c r="AL60" i="3"/>
  <c r="AV60" i="3"/>
  <c r="AK60" i="3"/>
  <c r="AU60" i="3"/>
  <c r="BG60" i="3"/>
  <c r="AR60" i="3"/>
  <c r="AJ60" i="3"/>
  <c r="BH60" i="3"/>
  <c r="BI60" i="3"/>
  <c r="AV68" i="3"/>
  <c r="AK68" i="3"/>
  <c r="AL68" i="3"/>
  <c r="AU68" i="3"/>
  <c r="AR68" i="3"/>
  <c r="BI68" i="3"/>
  <c r="AT68" i="3"/>
  <c r="AQ68" i="3"/>
  <c r="BH68" i="3"/>
  <c r="BG68" i="3"/>
  <c r="AJ68" i="3"/>
  <c r="AI68" i="3"/>
  <c r="AS68" i="3"/>
  <c r="BG76" i="3"/>
  <c r="AS76" i="3"/>
  <c r="AV76" i="3"/>
  <c r="AJ76" i="3"/>
  <c r="BI76" i="3"/>
  <c r="AU76" i="3"/>
  <c r="BH76" i="3"/>
  <c r="AQ76" i="3"/>
  <c r="AI76" i="3"/>
  <c r="AT76" i="3"/>
  <c r="AK76" i="3"/>
  <c r="AL76" i="3"/>
  <c r="AR76" i="3"/>
  <c r="AK84" i="3"/>
  <c r="AV84" i="3"/>
  <c r="AJ84" i="3"/>
  <c r="BG84" i="3"/>
  <c r="AS84" i="3"/>
  <c r="BH84" i="3"/>
  <c r="AU84" i="3"/>
  <c r="AL84" i="3"/>
  <c r="AR84" i="3"/>
  <c r="AQ84" i="3"/>
  <c r="BI84" i="3"/>
  <c r="AT84" i="3"/>
  <c r="AI84" i="3"/>
  <c r="AV92" i="3"/>
  <c r="AL92" i="3"/>
  <c r="BG92" i="3"/>
  <c r="BI92" i="3"/>
  <c r="AK92" i="3"/>
  <c r="AQ92" i="3"/>
  <c r="BH92" i="3"/>
  <c r="AI92" i="3"/>
  <c r="AJ92" i="3"/>
  <c r="AU92" i="3"/>
  <c r="AR92" i="3"/>
  <c r="AS92" i="3"/>
  <c r="AT92" i="3"/>
  <c r="AI100" i="3"/>
  <c r="AL100" i="3"/>
  <c r="AK100" i="3"/>
  <c r="AR100" i="3"/>
  <c r="AT100" i="3"/>
  <c r="AS100" i="3"/>
  <c r="AJ100" i="3"/>
  <c r="AU100" i="3"/>
  <c r="AQ100" i="3"/>
  <c r="BG100" i="3"/>
  <c r="AV100" i="3"/>
  <c r="BI100" i="3"/>
  <c r="BH100" i="3"/>
  <c r="B332" i="4"/>
  <c r="A332" i="4" s="1"/>
  <c r="B778" i="4"/>
  <c r="A778" i="4" s="1"/>
  <c r="B780" i="4"/>
  <c r="A780" i="4" s="1"/>
  <c r="B783" i="4"/>
  <c r="A783" i="4" s="1"/>
  <c r="B785" i="4"/>
  <c r="A785" i="4" s="1"/>
  <c r="B786" i="4"/>
  <c r="A786" i="4" s="1"/>
  <c r="B205" i="4"/>
  <c r="A205" i="4" s="1"/>
  <c r="B249" i="4"/>
  <c r="A249" i="4" s="1"/>
  <c r="B281" i="4"/>
  <c r="A281" i="4" s="1"/>
  <c r="B313" i="4"/>
  <c r="A313" i="4" s="1"/>
  <c r="B348" i="4"/>
  <c r="A348" i="4" s="1"/>
  <c r="B364" i="4"/>
  <c r="A364" i="4" s="1"/>
  <c r="B779" i="4"/>
  <c r="A779" i="4" s="1"/>
  <c r="B781" i="4"/>
  <c r="A781" i="4" s="1"/>
  <c r="B782" i="4"/>
  <c r="A782" i="4" s="1"/>
  <c r="B784" i="4"/>
  <c r="A784" i="4" s="1"/>
  <c r="B787" i="4"/>
  <c r="A787" i="4" s="1"/>
  <c r="B789" i="4"/>
  <c r="A789" i="4" s="1"/>
  <c r="B791" i="4"/>
  <c r="A791" i="4" s="1"/>
  <c r="B793" i="4"/>
  <c r="A793" i="4" s="1"/>
  <c r="B795" i="4"/>
  <c r="A795" i="4" s="1"/>
  <c r="B797" i="4"/>
  <c r="A797" i="4" s="1"/>
  <c r="B799" i="4"/>
  <c r="A799" i="4" s="1"/>
  <c r="B801" i="4"/>
  <c r="A801" i="4" s="1"/>
  <c r="B803" i="4"/>
  <c r="A803" i="4" s="1"/>
  <c r="B805" i="4"/>
  <c r="A805" i="4" s="1"/>
  <c r="B807" i="4"/>
  <c r="A807" i="4" s="1"/>
  <c r="B809" i="4"/>
  <c r="A809" i="4" s="1"/>
  <c r="B811" i="4"/>
  <c r="A811" i="4" s="1"/>
  <c r="B813" i="4"/>
  <c r="A813" i="4" s="1"/>
  <c r="B815" i="4"/>
  <c r="A815" i="4" s="1"/>
  <c r="B817" i="4"/>
  <c r="A817" i="4" s="1"/>
  <c r="B819" i="4"/>
  <c r="A819" i="4" s="1"/>
  <c r="B821" i="4"/>
  <c r="A821" i="4" s="1"/>
  <c r="B823" i="4"/>
  <c r="A823" i="4" s="1"/>
  <c r="B825" i="4"/>
  <c r="A825" i="4" s="1"/>
  <c r="B827" i="4"/>
  <c r="A827" i="4" s="1"/>
  <c r="B829" i="4"/>
  <c r="A829" i="4" s="1"/>
  <c r="B831" i="4"/>
  <c r="A831" i="4" s="1"/>
  <c r="B833" i="4"/>
  <c r="A833" i="4" s="1"/>
  <c r="B835" i="4"/>
  <c r="A835" i="4" s="1"/>
  <c r="B837" i="4"/>
  <c r="A837" i="4" s="1"/>
  <c r="B839" i="4"/>
  <c r="A839" i="4" s="1"/>
  <c r="B841" i="4"/>
  <c r="A841" i="4" s="1"/>
  <c r="B843" i="4"/>
  <c r="A843" i="4" s="1"/>
  <c r="B845" i="4"/>
  <c r="A845" i="4" s="1"/>
  <c r="B847" i="4"/>
  <c r="A847" i="4" s="1"/>
  <c r="B849" i="4"/>
  <c r="A849" i="4" s="1"/>
  <c r="B851" i="4"/>
  <c r="A851" i="4" s="1"/>
  <c r="B853" i="4"/>
  <c r="A853" i="4" s="1"/>
  <c r="B855" i="4"/>
  <c r="A855" i="4" s="1"/>
  <c r="B857" i="4"/>
  <c r="A857" i="4" s="1"/>
  <c r="B859" i="4"/>
  <c r="A859" i="4" s="1"/>
  <c r="B861" i="4"/>
  <c r="A861" i="4" s="1"/>
  <c r="B863" i="4"/>
  <c r="A863" i="4" s="1"/>
  <c r="B865" i="4"/>
  <c r="A865" i="4" s="1"/>
  <c r="B867" i="4"/>
  <c r="A867" i="4" s="1"/>
  <c r="B869" i="4"/>
  <c r="A869" i="4" s="1"/>
  <c r="B871" i="4"/>
  <c r="A871" i="4" s="1"/>
  <c r="B873" i="4"/>
  <c r="A873" i="4" s="1"/>
  <c r="B875" i="4"/>
  <c r="A875" i="4" s="1"/>
  <c r="B877" i="4"/>
  <c r="A877" i="4" s="1"/>
  <c r="B879" i="4"/>
  <c r="A879" i="4" s="1"/>
  <c r="B881" i="4"/>
  <c r="A881" i="4" s="1"/>
  <c r="B883" i="4"/>
  <c r="A883" i="4" s="1"/>
  <c r="B885" i="4"/>
  <c r="A885" i="4" s="1"/>
  <c r="B887" i="4"/>
  <c r="A887" i="4" s="1"/>
  <c r="B889" i="4"/>
  <c r="A889" i="4" s="1"/>
  <c r="B891" i="4"/>
  <c r="A891" i="4" s="1"/>
  <c r="B893" i="4"/>
  <c r="A893" i="4" s="1"/>
  <c r="B895" i="4"/>
  <c r="A895" i="4" s="1"/>
  <c r="B897" i="4"/>
  <c r="A897" i="4" s="1"/>
  <c r="B899" i="4"/>
  <c r="A899" i="4" s="1"/>
  <c r="B901" i="4"/>
  <c r="A901" i="4" s="1"/>
  <c r="B903" i="4"/>
  <c r="A903" i="4" s="1"/>
  <c r="B905" i="4"/>
  <c r="A905" i="4" s="1"/>
  <c r="B907" i="4"/>
  <c r="A907" i="4" s="1"/>
  <c r="B909" i="4"/>
  <c r="A909" i="4" s="1"/>
  <c r="B911" i="4"/>
  <c r="A911" i="4" s="1"/>
  <c r="B913" i="4"/>
  <c r="A913" i="4" s="1"/>
  <c r="B915" i="4"/>
  <c r="A915" i="4" s="1"/>
  <c r="B917" i="4"/>
  <c r="A917" i="4" s="1"/>
  <c r="B919" i="4"/>
  <c r="A919" i="4" s="1"/>
  <c r="B921" i="4"/>
  <c r="A921" i="4" s="1"/>
  <c r="B923" i="4"/>
  <c r="A923" i="4" s="1"/>
  <c r="B925" i="4"/>
  <c r="A925" i="4" s="1"/>
  <c r="B927" i="4"/>
  <c r="A927" i="4" s="1"/>
  <c r="B929" i="4"/>
  <c r="A929" i="4" s="1"/>
  <c r="B931" i="4"/>
  <c r="A931" i="4" s="1"/>
  <c r="B933" i="4"/>
  <c r="A933" i="4" s="1"/>
  <c r="B935" i="4"/>
  <c r="A935" i="4" s="1"/>
  <c r="B937" i="4"/>
  <c r="A937" i="4" s="1"/>
  <c r="B939" i="4"/>
  <c r="A939" i="4" s="1"/>
  <c r="B941" i="4"/>
  <c r="A941" i="4" s="1"/>
  <c r="B943" i="4"/>
  <c r="A943" i="4" s="1"/>
  <c r="B945" i="4"/>
  <c r="A945" i="4" s="1"/>
  <c r="B947" i="4"/>
  <c r="A947" i="4" s="1"/>
  <c r="B949" i="4"/>
  <c r="A949" i="4" s="1"/>
  <c r="B951" i="4"/>
  <c r="A951" i="4" s="1"/>
  <c r="B953" i="4"/>
  <c r="A953" i="4" s="1"/>
  <c r="B955" i="4"/>
  <c r="A955" i="4" s="1"/>
  <c r="B957" i="4"/>
  <c r="A957" i="4" s="1"/>
  <c r="B959" i="4"/>
  <c r="A959" i="4" s="1"/>
  <c r="B961" i="4"/>
  <c r="A961" i="4" s="1"/>
  <c r="B963" i="4"/>
  <c r="A963" i="4" s="1"/>
  <c r="B965" i="4"/>
  <c r="A965" i="4" s="1"/>
  <c r="B967" i="4"/>
  <c r="A967" i="4" s="1"/>
  <c r="B969" i="4"/>
  <c r="A969" i="4" s="1"/>
  <c r="B971" i="4"/>
  <c r="A971" i="4" s="1"/>
  <c r="B973" i="4"/>
  <c r="A973" i="4" s="1"/>
  <c r="B975" i="4"/>
  <c r="A975" i="4" s="1"/>
  <c r="B977" i="4"/>
  <c r="A977" i="4" s="1"/>
  <c r="B979" i="4"/>
  <c r="A979" i="4" s="1"/>
  <c r="B981" i="4"/>
  <c r="A981" i="4" s="1"/>
  <c r="B983" i="4"/>
  <c r="A983" i="4" s="1"/>
  <c r="B985" i="4"/>
  <c r="A985" i="4" s="1"/>
  <c r="B987" i="4"/>
  <c r="A987" i="4" s="1"/>
  <c r="B989" i="4"/>
  <c r="A989" i="4" s="1"/>
  <c r="B991" i="4"/>
  <c r="A991" i="4" s="1"/>
  <c r="B993" i="4"/>
  <c r="A993" i="4" s="1"/>
  <c r="B995" i="4"/>
  <c r="A995" i="4" s="1"/>
  <c r="B997" i="4"/>
  <c r="A997" i="4" s="1"/>
  <c r="B999" i="4"/>
  <c r="A999" i="4" s="1"/>
  <c r="B788" i="4"/>
  <c r="A788" i="4" s="1"/>
  <c r="B790" i="4"/>
  <c r="A790" i="4" s="1"/>
  <c r="B792" i="4"/>
  <c r="A792" i="4" s="1"/>
  <c r="B794" i="4"/>
  <c r="A794" i="4" s="1"/>
  <c r="B796" i="4"/>
  <c r="A796" i="4" s="1"/>
  <c r="B798" i="4"/>
  <c r="A798" i="4" s="1"/>
  <c r="B800" i="4"/>
  <c r="A800" i="4" s="1"/>
  <c r="B802" i="4"/>
  <c r="A802" i="4" s="1"/>
  <c r="B804" i="4"/>
  <c r="A804" i="4" s="1"/>
  <c r="B806" i="4"/>
  <c r="A806" i="4" s="1"/>
  <c r="B808" i="4"/>
  <c r="A808" i="4" s="1"/>
  <c r="B810" i="4"/>
  <c r="A810" i="4" s="1"/>
  <c r="B812" i="4"/>
  <c r="A812" i="4" s="1"/>
  <c r="B814" i="4"/>
  <c r="A814" i="4" s="1"/>
  <c r="B816" i="4"/>
  <c r="A816" i="4" s="1"/>
  <c r="B818" i="4"/>
  <c r="A818" i="4" s="1"/>
  <c r="B820" i="4"/>
  <c r="A820" i="4" s="1"/>
  <c r="B822" i="4"/>
  <c r="A822" i="4" s="1"/>
  <c r="B824" i="4"/>
  <c r="A824" i="4" s="1"/>
  <c r="B826" i="4"/>
  <c r="A826" i="4" s="1"/>
  <c r="B828" i="4"/>
  <c r="A828" i="4" s="1"/>
  <c r="B830" i="4"/>
  <c r="A830" i="4" s="1"/>
  <c r="B832" i="4"/>
  <c r="A832" i="4" s="1"/>
  <c r="B834" i="4"/>
  <c r="A834" i="4" s="1"/>
  <c r="B836" i="4"/>
  <c r="A836" i="4" s="1"/>
  <c r="B838" i="4"/>
  <c r="A838" i="4" s="1"/>
  <c r="B840" i="4"/>
  <c r="A840" i="4" s="1"/>
  <c r="B842" i="4"/>
  <c r="A842" i="4" s="1"/>
  <c r="B844" i="4"/>
  <c r="A844" i="4" s="1"/>
  <c r="B846" i="4"/>
  <c r="A846" i="4" s="1"/>
  <c r="B848" i="4"/>
  <c r="A848" i="4" s="1"/>
  <c r="B850" i="4"/>
  <c r="A850" i="4" s="1"/>
  <c r="B852" i="4"/>
  <c r="A852" i="4" s="1"/>
  <c r="B854" i="4"/>
  <c r="A854" i="4" s="1"/>
  <c r="B856" i="4"/>
  <c r="A856" i="4" s="1"/>
  <c r="B858" i="4"/>
  <c r="A858" i="4" s="1"/>
  <c r="B860" i="4"/>
  <c r="A860" i="4" s="1"/>
  <c r="B862" i="4"/>
  <c r="A862" i="4" s="1"/>
  <c r="B864" i="4"/>
  <c r="A864" i="4" s="1"/>
  <c r="B866" i="4"/>
  <c r="A866" i="4" s="1"/>
  <c r="B868" i="4"/>
  <c r="A868" i="4" s="1"/>
  <c r="B870" i="4"/>
  <c r="A870" i="4" s="1"/>
  <c r="B872" i="4"/>
  <c r="A872" i="4" s="1"/>
  <c r="B874" i="4"/>
  <c r="A874" i="4" s="1"/>
  <c r="B876" i="4"/>
  <c r="A876" i="4" s="1"/>
  <c r="B878" i="4"/>
  <c r="A878" i="4" s="1"/>
  <c r="B880" i="4"/>
  <c r="A880" i="4" s="1"/>
  <c r="B882" i="4"/>
  <c r="A882" i="4" s="1"/>
  <c r="B884" i="4"/>
  <c r="A884" i="4" s="1"/>
  <c r="B886" i="4"/>
  <c r="A886" i="4" s="1"/>
  <c r="B888" i="4"/>
  <c r="A888" i="4" s="1"/>
  <c r="B890" i="4"/>
  <c r="A890" i="4" s="1"/>
  <c r="B892" i="4"/>
  <c r="A892" i="4" s="1"/>
  <c r="B894" i="4"/>
  <c r="A894" i="4" s="1"/>
  <c r="B896" i="4"/>
  <c r="A896" i="4" s="1"/>
  <c r="B898" i="4"/>
  <c r="A898" i="4" s="1"/>
  <c r="B900" i="4"/>
  <c r="A900" i="4" s="1"/>
  <c r="B902" i="4"/>
  <c r="A902" i="4" s="1"/>
  <c r="B904" i="4"/>
  <c r="A904" i="4" s="1"/>
  <c r="B906" i="4"/>
  <c r="A906" i="4" s="1"/>
  <c r="B908" i="4"/>
  <c r="A908" i="4" s="1"/>
  <c r="B910" i="4"/>
  <c r="A910" i="4" s="1"/>
  <c r="B912" i="4"/>
  <c r="A912" i="4" s="1"/>
  <c r="B914" i="4"/>
  <c r="A914" i="4" s="1"/>
  <c r="B916" i="4"/>
  <c r="A916" i="4" s="1"/>
  <c r="B918" i="4"/>
  <c r="A918" i="4" s="1"/>
  <c r="B920" i="4"/>
  <c r="A920" i="4" s="1"/>
  <c r="B922" i="4"/>
  <c r="A922" i="4" s="1"/>
  <c r="B924" i="4"/>
  <c r="A924" i="4" s="1"/>
  <c r="B926" i="4"/>
  <c r="A926" i="4" s="1"/>
  <c r="B928" i="4"/>
  <c r="A928" i="4" s="1"/>
  <c r="B930" i="4"/>
  <c r="A930" i="4" s="1"/>
  <c r="B932" i="4"/>
  <c r="A932" i="4" s="1"/>
  <c r="B934" i="4"/>
  <c r="A934" i="4" s="1"/>
  <c r="B936" i="4"/>
  <c r="A936" i="4" s="1"/>
  <c r="B938" i="4"/>
  <c r="A938" i="4" s="1"/>
  <c r="B940" i="4"/>
  <c r="A940" i="4" s="1"/>
  <c r="B942" i="4"/>
  <c r="A942" i="4" s="1"/>
  <c r="B944" i="4"/>
  <c r="A944" i="4" s="1"/>
  <c r="B946" i="4"/>
  <c r="A946" i="4" s="1"/>
  <c r="B948" i="4"/>
  <c r="A948" i="4" s="1"/>
  <c r="B950" i="4"/>
  <c r="A950" i="4" s="1"/>
  <c r="B952" i="4"/>
  <c r="A952" i="4" s="1"/>
  <c r="B954" i="4"/>
  <c r="A954" i="4" s="1"/>
  <c r="B956" i="4"/>
  <c r="A956" i="4" s="1"/>
  <c r="B958" i="4"/>
  <c r="A958" i="4" s="1"/>
  <c r="B960" i="4"/>
  <c r="A960" i="4" s="1"/>
  <c r="B962" i="4"/>
  <c r="A962" i="4" s="1"/>
  <c r="B964" i="4"/>
  <c r="A964" i="4" s="1"/>
  <c r="B966" i="4"/>
  <c r="A966" i="4" s="1"/>
  <c r="B968" i="4"/>
  <c r="A968" i="4" s="1"/>
  <c r="B970" i="4"/>
  <c r="A970" i="4" s="1"/>
  <c r="B972" i="4"/>
  <c r="A972" i="4" s="1"/>
  <c r="B974" i="4"/>
  <c r="A974" i="4" s="1"/>
  <c r="B976" i="4"/>
  <c r="A976" i="4" s="1"/>
  <c r="B978" i="4"/>
  <c r="A978" i="4" s="1"/>
  <c r="B980" i="4"/>
  <c r="A980" i="4" s="1"/>
  <c r="B982" i="4"/>
  <c r="A982" i="4" s="1"/>
  <c r="B984" i="4"/>
  <c r="A984" i="4" s="1"/>
  <c r="B986" i="4"/>
  <c r="A986" i="4" s="1"/>
  <c r="B988" i="4"/>
  <c r="A988" i="4" s="1"/>
  <c r="B990" i="4"/>
  <c r="A990" i="4" s="1"/>
  <c r="B992" i="4"/>
  <c r="A992" i="4" s="1"/>
  <c r="B994" i="4"/>
  <c r="A994" i="4" s="1"/>
  <c r="B996" i="4"/>
  <c r="A996" i="4" s="1"/>
  <c r="B998" i="4"/>
  <c r="A998" i="4" s="1"/>
  <c r="B1000" i="4"/>
  <c r="A1000" i="4" s="1"/>
  <c r="B161" i="4"/>
  <c r="A161" i="4" s="1"/>
  <c r="B177" i="4"/>
  <c r="A177" i="4" s="1"/>
  <c r="B193" i="4"/>
  <c r="A193" i="4" s="1"/>
  <c r="B209" i="4"/>
  <c r="A209" i="4" s="1"/>
  <c r="B225" i="4"/>
  <c r="A225" i="4" s="1"/>
  <c r="B235" i="4"/>
  <c r="A235" i="4" s="1"/>
  <c r="B243" i="4"/>
  <c r="A243" i="4" s="1"/>
  <c r="B251" i="4"/>
  <c r="A251" i="4" s="1"/>
  <c r="B259" i="4"/>
  <c r="A259" i="4" s="1"/>
  <c r="B267" i="4"/>
  <c r="A267" i="4" s="1"/>
  <c r="B275" i="4"/>
  <c r="A275" i="4" s="1"/>
  <c r="B283" i="4"/>
  <c r="A283" i="4" s="1"/>
  <c r="B307" i="4"/>
  <c r="A307" i="4" s="1"/>
  <c r="B315" i="4"/>
  <c r="A315" i="4" s="1"/>
  <c r="B321" i="4"/>
  <c r="A321" i="4" s="1"/>
  <c r="B325" i="4"/>
  <c r="A325" i="4" s="1"/>
  <c r="B329" i="4"/>
  <c r="A329" i="4" s="1"/>
  <c r="B333" i="4"/>
  <c r="A333" i="4" s="1"/>
  <c r="B337" i="4"/>
  <c r="A337" i="4" s="1"/>
  <c r="B341" i="4"/>
  <c r="A341" i="4" s="1"/>
  <c r="B345" i="4"/>
  <c r="A345" i="4" s="1"/>
  <c r="B349" i="4"/>
  <c r="A349" i="4" s="1"/>
  <c r="B353" i="4"/>
  <c r="A353" i="4" s="1"/>
  <c r="B357" i="4"/>
  <c r="A357" i="4" s="1"/>
  <c r="B361" i="4"/>
  <c r="A361" i="4" s="1"/>
  <c r="B365" i="4"/>
  <c r="A365" i="4" s="1"/>
  <c r="B369" i="4"/>
  <c r="A369" i="4" s="1"/>
  <c r="B373" i="4"/>
  <c r="A373" i="4" s="1"/>
  <c r="B377" i="4"/>
  <c r="A377" i="4" s="1"/>
  <c r="B379" i="4"/>
  <c r="A379" i="4" s="1"/>
  <c r="B381" i="4"/>
  <c r="A381" i="4" s="1"/>
  <c r="B383" i="4"/>
  <c r="A383" i="4" s="1"/>
  <c r="B385" i="4"/>
  <c r="A385" i="4" s="1"/>
  <c r="B387" i="4"/>
  <c r="A387" i="4" s="1"/>
  <c r="B165" i="4"/>
  <c r="A165" i="4" s="1"/>
  <c r="B197" i="4"/>
  <c r="A197" i="4" s="1"/>
  <c r="B229" i="4"/>
  <c r="A229" i="4" s="1"/>
  <c r="B245" i="4"/>
  <c r="A245" i="4" s="1"/>
  <c r="B277" i="4"/>
  <c r="A277" i="4" s="1"/>
  <c r="B293" i="4"/>
  <c r="A293" i="4" s="1"/>
  <c r="B309" i="4"/>
  <c r="A309" i="4" s="1"/>
  <c r="B322" i="4"/>
  <c r="A322" i="4" s="1"/>
  <c r="B330" i="4"/>
  <c r="A330" i="4" s="1"/>
  <c r="B338" i="4"/>
  <c r="A338" i="4" s="1"/>
  <c r="B346" i="4"/>
  <c r="A346" i="4" s="1"/>
  <c r="B354" i="4"/>
  <c r="A354" i="4" s="1"/>
  <c r="B362" i="4"/>
  <c r="A362" i="4" s="1"/>
  <c r="B370" i="4"/>
  <c r="A370" i="4" s="1"/>
  <c r="B389" i="4"/>
  <c r="A389" i="4" s="1"/>
  <c r="B391" i="4"/>
  <c r="A391" i="4" s="1"/>
  <c r="B393" i="4"/>
  <c r="A393" i="4" s="1"/>
  <c r="B395" i="4"/>
  <c r="A395" i="4" s="1"/>
  <c r="B397" i="4"/>
  <c r="A397" i="4" s="1"/>
  <c r="B399" i="4"/>
  <c r="A399" i="4" s="1"/>
  <c r="B401" i="4"/>
  <c r="A401" i="4" s="1"/>
  <c r="B403" i="4"/>
  <c r="A403" i="4" s="1"/>
  <c r="B405" i="4"/>
  <c r="A405" i="4" s="1"/>
  <c r="B407" i="4"/>
  <c r="A407" i="4" s="1"/>
  <c r="B409" i="4"/>
  <c r="A409" i="4" s="1"/>
  <c r="B411" i="4"/>
  <c r="A411" i="4" s="1"/>
  <c r="B413" i="4"/>
  <c r="A413" i="4" s="1"/>
  <c r="B415" i="4"/>
  <c r="A415" i="4" s="1"/>
  <c r="B417" i="4"/>
  <c r="A417" i="4" s="1"/>
  <c r="B419" i="4"/>
  <c r="A419" i="4" s="1"/>
  <c r="B421" i="4"/>
  <c r="A421" i="4" s="1"/>
  <c r="B423" i="4"/>
  <c r="A423" i="4" s="1"/>
  <c r="B425" i="4"/>
  <c r="A425" i="4" s="1"/>
  <c r="B427" i="4"/>
  <c r="A427" i="4" s="1"/>
  <c r="B429" i="4"/>
  <c r="A429" i="4" s="1"/>
  <c r="B431" i="4"/>
  <c r="A431" i="4" s="1"/>
  <c r="B433" i="4"/>
  <c r="A433" i="4" s="1"/>
  <c r="B435" i="4"/>
  <c r="A435" i="4" s="1"/>
  <c r="B437" i="4"/>
  <c r="A437" i="4" s="1"/>
  <c r="B439" i="4"/>
  <c r="A439" i="4" s="1"/>
  <c r="B441" i="4"/>
  <c r="A441" i="4" s="1"/>
  <c r="B443" i="4"/>
  <c r="A443" i="4" s="1"/>
  <c r="B445" i="4"/>
  <c r="A445" i="4" s="1"/>
  <c r="B447" i="4"/>
  <c r="A447" i="4" s="1"/>
  <c r="B449" i="4"/>
  <c r="A449" i="4" s="1"/>
  <c r="B451" i="4"/>
  <c r="A451" i="4" s="1"/>
  <c r="B453" i="4"/>
  <c r="A453" i="4" s="1"/>
  <c r="B457" i="4"/>
  <c r="A457" i="4" s="1"/>
  <c r="B459" i="4"/>
  <c r="A459" i="4" s="1"/>
  <c r="B461" i="4"/>
  <c r="A461" i="4" s="1"/>
  <c r="B463" i="4"/>
  <c r="A463" i="4" s="1"/>
  <c r="B465" i="4"/>
  <c r="A465" i="4" s="1"/>
  <c r="B467" i="4"/>
  <c r="A467" i="4" s="1"/>
  <c r="B469" i="4"/>
  <c r="A469" i="4" s="1"/>
  <c r="B471" i="4"/>
  <c r="A471" i="4" s="1"/>
  <c r="B473" i="4"/>
  <c r="A473" i="4" s="1"/>
  <c r="B475" i="4"/>
  <c r="A475" i="4" s="1"/>
  <c r="B477" i="4"/>
  <c r="A477" i="4" s="1"/>
  <c r="B479" i="4"/>
  <c r="A479" i="4" s="1"/>
  <c r="B481" i="4"/>
  <c r="A481" i="4" s="1"/>
  <c r="B483" i="4"/>
  <c r="A483" i="4" s="1"/>
  <c r="B485" i="4"/>
  <c r="A485" i="4" s="1"/>
  <c r="B487" i="4"/>
  <c r="A487" i="4" s="1"/>
  <c r="B489" i="4"/>
  <c r="A489" i="4" s="1"/>
  <c r="B491" i="4"/>
  <c r="A491" i="4" s="1"/>
  <c r="B493" i="4"/>
  <c r="A493" i="4" s="1"/>
  <c r="B495" i="4"/>
  <c r="A495" i="4" s="1"/>
  <c r="B497" i="4"/>
  <c r="A497" i="4" s="1"/>
  <c r="B499" i="4"/>
  <c r="A499" i="4" s="1"/>
  <c r="B501" i="4"/>
  <c r="A501" i="4" s="1"/>
  <c r="B503" i="4"/>
  <c r="A503" i="4" s="1"/>
  <c r="B505" i="4"/>
  <c r="A505" i="4" s="1"/>
  <c r="B507" i="4"/>
  <c r="A507" i="4" s="1"/>
  <c r="B509" i="4"/>
  <c r="A509" i="4" s="1"/>
  <c r="B511" i="4"/>
  <c r="A511" i="4" s="1"/>
  <c r="B513" i="4"/>
  <c r="A513" i="4" s="1"/>
  <c r="B515" i="4"/>
  <c r="A515" i="4" s="1"/>
  <c r="B517" i="4"/>
  <c r="A517" i="4" s="1"/>
  <c r="B519" i="4"/>
  <c r="A519" i="4" s="1"/>
  <c r="B521" i="4"/>
  <c r="A521" i="4" s="1"/>
  <c r="B189" i="4"/>
  <c r="A189" i="4" s="1"/>
  <c r="B241" i="4"/>
  <c r="A241" i="4" s="1"/>
  <c r="B273" i="4"/>
  <c r="A273" i="4" s="1"/>
  <c r="B328" i="4"/>
  <c r="A328" i="4" s="1"/>
  <c r="B344" i="4"/>
  <c r="A344" i="4" s="1"/>
  <c r="B360" i="4"/>
  <c r="A360" i="4" s="1"/>
  <c r="B376" i="4"/>
  <c r="A376" i="4" s="1"/>
  <c r="B523" i="4"/>
  <c r="A523" i="4" s="1"/>
  <c r="B525" i="4"/>
  <c r="A525" i="4" s="1"/>
  <c r="B527" i="4"/>
  <c r="A527" i="4" s="1"/>
  <c r="B529" i="4"/>
  <c r="A529" i="4" s="1"/>
  <c r="B531" i="4"/>
  <c r="A531" i="4" s="1"/>
  <c r="B533" i="4"/>
  <c r="A533" i="4" s="1"/>
  <c r="B535" i="4"/>
  <c r="A535" i="4" s="1"/>
  <c r="B537" i="4"/>
  <c r="A537" i="4" s="1"/>
  <c r="B539" i="4"/>
  <c r="A539" i="4" s="1"/>
  <c r="B541" i="4"/>
  <c r="A541" i="4" s="1"/>
  <c r="B543" i="4"/>
  <c r="A543" i="4" s="1"/>
  <c r="B545" i="4"/>
  <c r="A545" i="4" s="1"/>
  <c r="B547" i="4"/>
  <c r="A547" i="4" s="1"/>
  <c r="B549" i="4"/>
  <c r="A549" i="4" s="1"/>
  <c r="B551" i="4"/>
  <c r="A551" i="4" s="1"/>
  <c r="B553" i="4"/>
  <c r="A553" i="4" s="1"/>
  <c r="B555" i="4"/>
  <c r="A555" i="4" s="1"/>
  <c r="B557" i="4"/>
  <c r="A557" i="4" s="1"/>
  <c r="B559" i="4"/>
  <c r="A559" i="4" s="1"/>
  <c r="B561" i="4"/>
  <c r="A561" i="4" s="1"/>
  <c r="B563" i="4"/>
  <c r="A563" i="4" s="1"/>
  <c r="B565" i="4"/>
  <c r="A565" i="4" s="1"/>
  <c r="B567" i="4"/>
  <c r="A567" i="4" s="1"/>
  <c r="B569" i="4"/>
  <c r="A569" i="4" s="1"/>
  <c r="B571" i="4"/>
  <c r="A571" i="4" s="1"/>
  <c r="B573" i="4"/>
  <c r="A573" i="4" s="1"/>
  <c r="B575" i="4"/>
  <c r="A575" i="4" s="1"/>
  <c r="B577" i="4"/>
  <c r="A577" i="4" s="1"/>
  <c r="B579" i="4"/>
  <c r="A579" i="4" s="1"/>
  <c r="B581" i="4"/>
  <c r="A581" i="4" s="1"/>
  <c r="B583" i="4"/>
  <c r="A583" i="4" s="1"/>
  <c r="B585" i="4"/>
  <c r="A585" i="4" s="1"/>
  <c r="B587" i="4"/>
  <c r="A587" i="4" s="1"/>
  <c r="B589" i="4"/>
  <c r="A589" i="4" s="1"/>
  <c r="B591" i="4"/>
  <c r="A591" i="4" s="1"/>
  <c r="B593" i="4"/>
  <c r="A593" i="4" s="1"/>
  <c r="B595" i="4"/>
  <c r="A595" i="4" s="1"/>
  <c r="B597" i="4"/>
  <c r="A597" i="4" s="1"/>
  <c r="B599" i="4"/>
  <c r="A599" i="4" s="1"/>
  <c r="B601" i="4"/>
  <c r="A601" i="4" s="1"/>
  <c r="B603" i="4"/>
  <c r="A603" i="4" s="1"/>
  <c r="B605" i="4"/>
  <c r="A605" i="4" s="1"/>
  <c r="B607" i="4"/>
  <c r="A607" i="4" s="1"/>
  <c r="B609" i="4"/>
  <c r="A609" i="4" s="1"/>
  <c r="B611" i="4"/>
  <c r="A611" i="4" s="1"/>
  <c r="B613" i="4"/>
  <c r="A613" i="4" s="1"/>
  <c r="B153" i="4"/>
  <c r="A153" i="4" s="1"/>
  <c r="B169" i="4"/>
  <c r="A169" i="4" s="1"/>
  <c r="B185" i="4"/>
  <c r="A185" i="4" s="1"/>
  <c r="B201" i="4"/>
  <c r="A201" i="4" s="1"/>
  <c r="B217" i="4"/>
  <c r="A217" i="4" s="1"/>
  <c r="B231" i="4"/>
  <c r="A231" i="4" s="1"/>
  <c r="B239" i="4"/>
  <c r="A239" i="4" s="1"/>
  <c r="B247" i="4"/>
  <c r="A247" i="4" s="1"/>
  <c r="B255" i="4"/>
  <c r="A255" i="4" s="1"/>
  <c r="B263" i="4"/>
  <c r="A263" i="4" s="1"/>
  <c r="B271" i="4"/>
  <c r="A271" i="4" s="1"/>
  <c r="B279" i="4"/>
  <c r="A279" i="4" s="1"/>
  <c r="B287" i="4"/>
  <c r="A287" i="4" s="1"/>
  <c r="B311" i="4"/>
  <c r="A311" i="4" s="1"/>
  <c r="B319" i="4"/>
  <c r="A319" i="4" s="1"/>
  <c r="B323" i="4"/>
  <c r="A323" i="4" s="1"/>
  <c r="B327" i="4"/>
  <c r="A327" i="4" s="1"/>
  <c r="B331" i="4"/>
  <c r="A331" i="4" s="1"/>
  <c r="B335" i="4"/>
  <c r="A335" i="4" s="1"/>
  <c r="B339" i="4"/>
  <c r="A339" i="4" s="1"/>
  <c r="B343" i="4"/>
  <c r="A343" i="4" s="1"/>
  <c r="B347" i="4"/>
  <c r="A347" i="4" s="1"/>
  <c r="B351" i="4"/>
  <c r="A351" i="4" s="1"/>
  <c r="B355" i="4"/>
  <c r="A355" i="4" s="1"/>
  <c r="B359" i="4"/>
  <c r="A359" i="4" s="1"/>
  <c r="B363" i="4"/>
  <c r="A363" i="4" s="1"/>
  <c r="B367" i="4"/>
  <c r="A367" i="4" s="1"/>
  <c r="B371" i="4"/>
  <c r="A371" i="4" s="1"/>
  <c r="B375" i="4"/>
  <c r="A375" i="4" s="1"/>
  <c r="B378" i="4"/>
  <c r="A378" i="4" s="1"/>
  <c r="B380" i="4"/>
  <c r="A380" i="4" s="1"/>
  <c r="B382" i="4"/>
  <c r="A382" i="4" s="1"/>
  <c r="B384" i="4"/>
  <c r="A384" i="4" s="1"/>
  <c r="B386" i="4"/>
  <c r="A386" i="4" s="1"/>
  <c r="B388" i="4"/>
  <c r="A388" i="4" s="1"/>
  <c r="B181" i="4"/>
  <c r="A181" i="4" s="1"/>
  <c r="B213" i="4"/>
  <c r="A213" i="4" s="1"/>
  <c r="B237" i="4"/>
  <c r="A237" i="4" s="1"/>
  <c r="B253" i="4"/>
  <c r="A253" i="4" s="1"/>
  <c r="B269" i="4"/>
  <c r="A269" i="4" s="1"/>
  <c r="B317" i="4"/>
  <c r="A317" i="4" s="1"/>
  <c r="B326" i="4"/>
  <c r="A326" i="4" s="1"/>
  <c r="B334" i="4"/>
  <c r="A334" i="4" s="1"/>
  <c r="B342" i="4"/>
  <c r="A342" i="4" s="1"/>
  <c r="B350" i="4"/>
  <c r="A350" i="4" s="1"/>
  <c r="B358" i="4"/>
  <c r="A358" i="4" s="1"/>
  <c r="B366" i="4"/>
  <c r="A366" i="4" s="1"/>
  <c r="B374" i="4"/>
  <c r="A374" i="4" s="1"/>
  <c r="B390" i="4"/>
  <c r="A390" i="4" s="1"/>
  <c r="B392" i="4"/>
  <c r="A392" i="4" s="1"/>
  <c r="B394" i="4"/>
  <c r="A394" i="4" s="1"/>
  <c r="B396" i="4"/>
  <c r="A396" i="4" s="1"/>
  <c r="B398" i="4"/>
  <c r="A398" i="4" s="1"/>
  <c r="B400" i="4"/>
  <c r="A400" i="4" s="1"/>
  <c r="B402" i="4"/>
  <c r="A402" i="4" s="1"/>
  <c r="B404" i="4"/>
  <c r="A404" i="4" s="1"/>
  <c r="B406" i="4"/>
  <c r="A406" i="4" s="1"/>
  <c r="B408" i="4"/>
  <c r="A408" i="4" s="1"/>
  <c r="B410" i="4"/>
  <c r="A410" i="4" s="1"/>
  <c r="B412" i="4"/>
  <c r="A412" i="4" s="1"/>
  <c r="B414" i="4"/>
  <c r="A414" i="4" s="1"/>
  <c r="B416" i="4"/>
  <c r="A416" i="4" s="1"/>
  <c r="B418" i="4"/>
  <c r="A418" i="4" s="1"/>
  <c r="B420" i="4"/>
  <c r="A420" i="4" s="1"/>
  <c r="B422" i="4"/>
  <c r="A422" i="4" s="1"/>
  <c r="B424" i="4"/>
  <c r="A424" i="4" s="1"/>
  <c r="B426" i="4"/>
  <c r="A426" i="4" s="1"/>
  <c r="B428" i="4"/>
  <c r="A428" i="4" s="1"/>
  <c r="B430" i="4"/>
  <c r="A430" i="4" s="1"/>
  <c r="B432" i="4"/>
  <c r="A432" i="4" s="1"/>
  <c r="B436" i="4"/>
  <c r="A436" i="4" s="1"/>
  <c r="B438" i="4"/>
  <c r="A438" i="4" s="1"/>
  <c r="B440" i="4"/>
  <c r="A440" i="4" s="1"/>
  <c r="B442" i="4"/>
  <c r="A442" i="4" s="1"/>
  <c r="B444" i="4"/>
  <c r="A444" i="4" s="1"/>
  <c r="B446" i="4"/>
  <c r="A446" i="4" s="1"/>
  <c r="B448" i="4"/>
  <c r="A448" i="4" s="1"/>
  <c r="B450" i="4"/>
  <c r="A450" i="4" s="1"/>
  <c r="B452" i="4"/>
  <c r="A452" i="4" s="1"/>
  <c r="B454" i="4"/>
  <c r="A454" i="4" s="1"/>
  <c r="B456" i="4"/>
  <c r="A456" i="4" s="1"/>
  <c r="B458" i="4"/>
  <c r="A458" i="4" s="1"/>
  <c r="B460" i="4"/>
  <c r="A460" i="4" s="1"/>
  <c r="B462" i="4"/>
  <c r="A462" i="4" s="1"/>
  <c r="B464" i="4"/>
  <c r="A464" i="4" s="1"/>
  <c r="B466" i="4"/>
  <c r="A466" i="4" s="1"/>
  <c r="B468" i="4"/>
  <c r="A468" i="4" s="1"/>
  <c r="B470" i="4"/>
  <c r="A470" i="4" s="1"/>
  <c r="B472" i="4"/>
  <c r="A472" i="4" s="1"/>
  <c r="B474" i="4"/>
  <c r="A474" i="4" s="1"/>
  <c r="B476" i="4"/>
  <c r="A476" i="4" s="1"/>
  <c r="B478" i="4"/>
  <c r="A478" i="4" s="1"/>
  <c r="B480" i="4"/>
  <c r="A480" i="4" s="1"/>
  <c r="B482" i="4"/>
  <c r="A482" i="4" s="1"/>
  <c r="B484" i="4"/>
  <c r="A484" i="4" s="1"/>
  <c r="B486" i="4"/>
  <c r="A486" i="4" s="1"/>
  <c r="B488" i="4"/>
  <c r="A488" i="4" s="1"/>
  <c r="B490" i="4"/>
  <c r="A490" i="4" s="1"/>
  <c r="B492" i="4"/>
  <c r="A492" i="4" s="1"/>
  <c r="B494" i="4"/>
  <c r="A494" i="4" s="1"/>
  <c r="B496" i="4"/>
  <c r="A496" i="4" s="1"/>
  <c r="B498" i="4"/>
  <c r="A498" i="4" s="1"/>
  <c r="B500" i="4"/>
  <c r="A500" i="4" s="1"/>
  <c r="B502" i="4"/>
  <c r="A502" i="4" s="1"/>
  <c r="B504" i="4"/>
  <c r="A504" i="4" s="1"/>
  <c r="B506" i="4"/>
  <c r="A506" i="4" s="1"/>
  <c r="B508" i="4"/>
  <c r="A508" i="4" s="1"/>
  <c r="B510" i="4"/>
  <c r="A510" i="4" s="1"/>
  <c r="B512" i="4"/>
  <c r="A512" i="4" s="1"/>
  <c r="B514" i="4"/>
  <c r="A514" i="4" s="1"/>
  <c r="B516" i="4"/>
  <c r="A516" i="4" s="1"/>
  <c r="B518" i="4"/>
  <c r="A518" i="4" s="1"/>
  <c r="B520" i="4"/>
  <c r="A520" i="4" s="1"/>
  <c r="B157" i="4"/>
  <c r="A157" i="4" s="1"/>
  <c r="B221" i="4"/>
  <c r="A221" i="4" s="1"/>
  <c r="B257" i="4"/>
  <c r="A257" i="4" s="1"/>
  <c r="B289" i="4"/>
  <c r="A289" i="4" s="1"/>
  <c r="B320" i="4"/>
  <c r="A320" i="4" s="1"/>
  <c r="B336" i="4"/>
  <c r="A336" i="4" s="1"/>
  <c r="B352" i="4"/>
  <c r="A352" i="4" s="1"/>
  <c r="B368" i="4"/>
  <c r="A368" i="4" s="1"/>
  <c r="B522" i="4"/>
  <c r="A522" i="4" s="1"/>
  <c r="B524" i="4"/>
  <c r="A524" i="4" s="1"/>
  <c r="B526" i="4"/>
  <c r="A526" i="4" s="1"/>
  <c r="B528" i="4"/>
  <c r="A528" i="4" s="1"/>
  <c r="B530" i="4"/>
  <c r="A530" i="4" s="1"/>
  <c r="B532" i="4"/>
  <c r="A532" i="4" s="1"/>
  <c r="B534" i="4"/>
  <c r="A534" i="4" s="1"/>
  <c r="B536" i="4"/>
  <c r="A536" i="4" s="1"/>
  <c r="B538" i="4"/>
  <c r="A538" i="4" s="1"/>
  <c r="B540" i="4"/>
  <c r="A540" i="4" s="1"/>
  <c r="B542" i="4"/>
  <c r="A542" i="4" s="1"/>
  <c r="B544" i="4"/>
  <c r="A544" i="4" s="1"/>
  <c r="B546" i="4"/>
  <c r="A546" i="4" s="1"/>
  <c r="B548" i="4"/>
  <c r="A548" i="4" s="1"/>
  <c r="B550" i="4"/>
  <c r="A550" i="4" s="1"/>
  <c r="B552" i="4"/>
  <c r="A552" i="4" s="1"/>
  <c r="B554" i="4"/>
  <c r="A554" i="4" s="1"/>
  <c r="B556" i="4"/>
  <c r="A556" i="4" s="1"/>
  <c r="B558" i="4"/>
  <c r="A558" i="4" s="1"/>
  <c r="B560" i="4"/>
  <c r="A560" i="4" s="1"/>
  <c r="B562" i="4"/>
  <c r="A562" i="4" s="1"/>
  <c r="B564" i="4"/>
  <c r="A564" i="4" s="1"/>
  <c r="B566" i="4"/>
  <c r="A566" i="4" s="1"/>
  <c r="B568" i="4"/>
  <c r="A568" i="4" s="1"/>
  <c r="B570" i="4"/>
  <c r="A570" i="4" s="1"/>
  <c r="B572" i="4"/>
  <c r="A572" i="4" s="1"/>
  <c r="B574" i="4"/>
  <c r="A574" i="4" s="1"/>
  <c r="B576" i="4"/>
  <c r="A576" i="4" s="1"/>
  <c r="B578" i="4"/>
  <c r="A578" i="4" s="1"/>
  <c r="B580" i="4"/>
  <c r="A580" i="4" s="1"/>
  <c r="B582" i="4"/>
  <c r="A582" i="4" s="1"/>
  <c r="B584" i="4"/>
  <c r="A584" i="4" s="1"/>
  <c r="B586" i="4"/>
  <c r="A586" i="4" s="1"/>
  <c r="B588" i="4"/>
  <c r="A588" i="4" s="1"/>
  <c r="B590" i="4"/>
  <c r="A590" i="4" s="1"/>
  <c r="B592" i="4"/>
  <c r="A592" i="4" s="1"/>
  <c r="B594" i="4"/>
  <c r="A594" i="4" s="1"/>
  <c r="B596" i="4"/>
  <c r="A596" i="4" s="1"/>
  <c r="B598" i="4"/>
  <c r="A598" i="4" s="1"/>
  <c r="B600" i="4"/>
  <c r="A600" i="4" s="1"/>
  <c r="B602" i="4"/>
  <c r="A602" i="4" s="1"/>
  <c r="B604" i="4"/>
  <c r="A604" i="4" s="1"/>
  <c r="B606" i="4"/>
  <c r="A606" i="4" s="1"/>
  <c r="B608" i="4"/>
  <c r="A608" i="4" s="1"/>
  <c r="B612" i="4"/>
  <c r="A612" i="4" s="1"/>
  <c r="B615" i="4"/>
  <c r="A615" i="4" s="1"/>
  <c r="B617" i="4"/>
  <c r="A617" i="4" s="1"/>
  <c r="B619" i="4"/>
  <c r="A619" i="4" s="1"/>
  <c r="B621" i="4"/>
  <c r="A621" i="4" s="1"/>
  <c r="B623" i="4"/>
  <c r="A623" i="4" s="1"/>
  <c r="B625" i="4"/>
  <c r="A625" i="4" s="1"/>
  <c r="B627" i="4"/>
  <c r="A627" i="4" s="1"/>
  <c r="B629" i="4"/>
  <c r="A629" i="4" s="1"/>
  <c r="B631" i="4"/>
  <c r="A631" i="4" s="1"/>
  <c r="B633" i="4"/>
  <c r="A633" i="4" s="1"/>
  <c r="B635" i="4"/>
  <c r="A635" i="4" s="1"/>
  <c r="B637" i="4"/>
  <c r="A637" i="4" s="1"/>
  <c r="B639" i="4"/>
  <c r="A639" i="4" s="1"/>
  <c r="B641" i="4"/>
  <c r="A641" i="4" s="1"/>
  <c r="B643" i="4"/>
  <c r="A643" i="4" s="1"/>
  <c r="B645" i="4"/>
  <c r="A645" i="4" s="1"/>
  <c r="B647" i="4"/>
  <c r="A647" i="4" s="1"/>
  <c r="B649" i="4"/>
  <c r="A649" i="4" s="1"/>
  <c r="B651" i="4"/>
  <c r="A651" i="4" s="1"/>
  <c r="B653" i="4"/>
  <c r="A653" i="4" s="1"/>
  <c r="B655" i="4"/>
  <c r="A655" i="4" s="1"/>
  <c r="B657" i="4"/>
  <c r="A657" i="4" s="1"/>
  <c r="B659" i="4"/>
  <c r="A659" i="4" s="1"/>
  <c r="B661" i="4"/>
  <c r="A661" i="4" s="1"/>
  <c r="B663" i="4"/>
  <c r="A663" i="4" s="1"/>
  <c r="B665" i="4"/>
  <c r="A665" i="4" s="1"/>
  <c r="B667" i="4"/>
  <c r="A667" i="4" s="1"/>
  <c r="B669" i="4"/>
  <c r="A669" i="4" s="1"/>
  <c r="B671" i="4"/>
  <c r="A671" i="4" s="1"/>
  <c r="B673" i="4"/>
  <c r="A673" i="4" s="1"/>
  <c r="B675" i="4"/>
  <c r="A675" i="4" s="1"/>
  <c r="B677" i="4"/>
  <c r="A677" i="4" s="1"/>
  <c r="B679" i="4"/>
  <c r="A679" i="4" s="1"/>
  <c r="B681" i="4"/>
  <c r="A681" i="4" s="1"/>
  <c r="B683" i="4"/>
  <c r="A683" i="4" s="1"/>
  <c r="B685" i="4"/>
  <c r="A685" i="4" s="1"/>
  <c r="B687" i="4"/>
  <c r="A687" i="4" s="1"/>
  <c r="B689" i="4"/>
  <c r="A689" i="4" s="1"/>
  <c r="B691" i="4"/>
  <c r="A691" i="4" s="1"/>
  <c r="B693" i="4"/>
  <c r="A693" i="4" s="1"/>
  <c r="B695" i="4"/>
  <c r="A695" i="4" s="1"/>
  <c r="B697" i="4"/>
  <c r="A697" i="4" s="1"/>
  <c r="B699" i="4"/>
  <c r="A699" i="4" s="1"/>
  <c r="B701" i="4"/>
  <c r="A701" i="4" s="1"/>
  <c r="B703" i="4"/>
  <c r="A703" i="4" s="1"/>
  <c r="B705" i="4"/>
  <c r="A705" i="4" s="1"/>
  <c r="B707" i="4"/>
  <c r="A707" i="4" s="1"/>
  <c r="B709" i="4"/>
  <c r="A709" i="4" s="1"/>
  <c r="B711" i="4"/>
  <c r="A711" i="4" s="1"/>
  <c r="B713" i="4"/>
  <c r="A713" i="4" s="1"/>
  <c r="B715" i="4"/>
  <c r="A715" i="4" s="1"/>
  <c r="B717" i="4"/>
  <c r="A717" i="4" s="1"/>
  <c r="B719" i="4"/>
  <c r="A719" i="4" s="1"/>
  <c r="B721" i="4"/>
  <c r="A721" i="4" s="1"/>
  <c r="B723" i="4"/>
  <c r="A723" i="4" s="1"/>
  <c r="B725" i="4"/>
  <c r="A725" i="4" s="1"/>
  <c r="B727" i="4"/>
  <c r="A727" i="4" s="1"/>
  <c r="B729" i="4"/>
  <c r="A729" i="4" s="1"/>
  <c r="B731" i="4"/>
  <c r="A731" i="4" s="1"/>
  <c r="B733" i="4"/>
  <c r="A733" i="4" s="1"/>
  <c r="B735" i="4"/>
  <c r="A735" i="4" s="1"/>
  <c r="B737" i="4"/>
  <c r="A737" i="4" s="1"/>
  <c r="B739" i="4"/>
  <c r="A739" i="4" s="1"/>
  <c r="B741" i="4"/>
  <c r="A741" i="4" s="1"/>
  <c r="B743" i="4"/>
  <c r="A743" i="4" s="1"/>
  <c r="B745" i="4"/>
  <c r="A745" i="4" s="1"/>
  <c r="B747" i="4"/>
  <c r="A747" i="4" s="1"/>
  <c r="B749" i="4"/>
  <c r="A749" i="4" s="1"/>
  <c r="B751" i="4"/>
  <c r="A751" i="4" s="1"/>
  <c r="B753" i="4"/>
  <c r="A753" i="4" s="1"/>
  <c r="B755" i="4"/>
  <c r="A755" i="4" s="1"/>
  <c r="B757" i="4"/>
  <c r="A757" i="4" s="1"/>
  <c r="B759" i="4"/>
  <c r="A759" i="4" s="1"/>
  <c r="B761" i="4"/>
  <c r="A761" i="4" s="1"/>
  <c r="B763" i="4"/>
  <c r="A763" i="4" s="1"/>
  <c r="B765" i="4"/>
  <c r="A765" i="4" s="1"/>
  <c r="B767" i="4"/>
  <c r="A767" i="4" s="1"/>
  <c r="B769" i="4"/>
  <c r="A769" i="4" s="1"/>
  <c r="B771" i="4"/>
  <c r="A771" i="4" s="1"/>
  <c r="B773" i="4"/>
  <c r="A773" i="4" s="1"/>
  <c r="B775" i="4"/>
  <c r="A775" i="4" s="1"/>
  <c r="B777" i="4"/>
  <c r="A777" i="4" s="1"/>
  <c r="B356" i="4"/>
  <c r="A356" i="4" s="1"/>
  <c r="B324" i="4"/>
  <c r="A324" i="4" s="1"/>
  <c r="B265" i="4"/>
  <c r="A265" i="4" s="1"/>
  <c r="B173" i="4"/>
  <c r="A173" i="4" s="1"/>
  <c r="B223" i="4"/>
  <c r="A223" i="4" s="1"/>
  <c r="B215" i="4"/>
  <c r="A215" i="4" s="1"/>
  <c r="B207" i="4"/>
  <c r="A207" i="4" s="1"/>
  <c r="B199" i="4"/>
  <c r="A199" i="4" s="1"/>
  <c r="B191" i="4"/>
  <c r="A191" i="4" s="1"/>
  <c r="B183" i="4"/>
  <c r="A183" i="4" s="1"/>
  <c r="B175" i="4"/>
  <c r="A175" i="4" s="1"/>
  <c r="B167" i="4"/>
  <c r="A167" i="4" s="1"/>
  <c r="B159" i="4"/>
  <c r="A159" i="4" s="1"/>
  <c r="B150" i="4"/>
  <c r="A150" i="4" s="1"/>
  <c r="B154" i="4"/>
  <c r="A154" i="4" s="1"/>
  <c r="B158" i="4"/>
  <c r="A158" i="4" s="1"/>
  <c r="B162" i="4"/>
  <c r="A162" i="4" s="1"/>
  <c r="B166" i="4"/>
  <c r="A166" i="4" s="1"/>
  <c r="B170" i="4"/>
  <c r="A170" i="4" s="1"/>
  <c r="B174" i="4"/>
  <c r="A174" i="4" s="1"/>
  <c r="B178" i="4"/>
  <c r="A178" i="4" s="1"/>
  <c r="B182" i="4"/>
  <c r="A182" i="4" s="1"/>
  <c r="B186" i="4"/>
  <c r="A186" i="4" s="1"/>
  <c r="B190" i="4"/>
  <c r="A190" i="4" s="1"/>
  <c r="B194" i="4"/>
  <c r="A194" i="4" s="1"/>
  <c r="B198" i="4"/>
  <c r="A198" i="4" s="1"/>
  <c r="B202" i="4"/>
  <c r="A202" i="4" s="1"/>
  <c r="B206" i="4"/>
  <c r="A206" i="4" s="1"/>
  <c r="B210" i="4"/>
  <c r="A210" i="4" s="1"/>
  <c r="B214" i="4"/>
  <c r="A214" i="4" s="1"/>
  <c r="B218" i="4"/>
  <c r="A218" i="4" s="1"/>
  <c r="B222" i="4"/>
  <c r="A222" i="4" s="1"/>
  <c r="B226" i="4"/>
  <c r="A226" i="4" s="1"/>
  <c r="B230" i="4"/>
  <c r="A230" i="4" s="1"/>
  <c r="B234" i="4"/>
  <c r="A234" i="4" s="1"/>
  <c r="B238" i="4"/>
  <c r="A238" i="4" s="1"/>
  <c r="B242" i="4"/>
  <c r="A242" i="4" s="1"/>
  <c r="B246" i="4"/>
  <c r="A246" i="4" s="1"/>
  <c r="B250" i="4"/>
  <c r="A250" i="4" s="1"/>
  <c r="B254" i="4"/>
  <c r="A254" i="4" s="1"/>
  <c r="B258" i="4"/>
  <c r="A258" i="4" s="1"/>
  <c r="B262" i="4"/>
  <c r="A262" i="4" s="1"/>
  <c r="B266" i="4"/>
  <c r="A266" i="4" s="1"/>
  <c r="B270" i="4"/>
  <c r="A270" i="4" s="1"/>
  <c r="B274" i="4"/>
  <c r="A274" i="4" s="1"/>
  <c r="B278" i="4"/>
  <c r="A278" i="4" s="1"/>
  <c r="B282" i="4"/>
  <c r="A282" i="4" s="1"/>
  <c r="B286" i="4"/>
  <c r="A286" i="4" s="1"/>
  <c r="B290" i="4"/>
  <c r="A290" i="4" s="1"/>
  <c r="B294" i="4"/>
  <c r="A294" i="4" s="1"/>
  <c r="B310" i="4"/>
  <c r="A310" i="4" s="1"/>
  <c r="B314" i="4"/>
  <c r="A314" i="4" s="1"/>
  <c r="B318" i="4"/>
  <c r="A318" i="4" s="1"/>
  <c r="B756" i="4"/>
  <c r="A756" i="4" s="1"/>
  <c r="B758" i="4"/>
  <c r="A758" i="4" s="1"/>
  <c r="B760" i="4"/>
  <c r="A760" i="4" s="1"/>
  <c r="B762" i="4"/>
  <c r="A762" i="4" s="1"/>
  <c r="B764" i="4"/>
  <c r="A764" i="4" s="1"/>
  <c r="B766" i="4"/>
  <c r="A766" i="4" s="1"/>
  <c r="B768" i="4"/>
  <c r="A768" i="4" s="1"/>
  <c r="B770" i="4"/>
  <c r="A770" i="4" s="1"/>
  <c r="B772" i="4"/>
  <c r="A772" i="4" s="1"/>
  <c r="B774" i="4"/>
  <c r="A774" i="4" s="1"/>
  <c r="B776" i="4"/>
  <c r="A776" i="4" s="1"/>
  <c r="B372" i="4"/>
  <c r="A372" i="4" s="1"/>
  <c r="B340" i="4"/>
  <c r="A340" i="4" s="1"/>
  <c r="B233" i="4"/>
  <c r="A233" i="4" s="1"/>
  <c r="B151" i="4"/>
  <c r="A151" i="4" s="1"/>
  <c r="B227" i="4"/>
  <c r="A227" i="4" s="1"/>
  <c r="B219" i="4"/>
  <c r="A219" i="4" s="1"/>
  <c r="B211" i="4"/>
  <c r="A211" i="4" s="1"/>
  <c r="B203" i="4"/>
  <c r="A203" i="4" s="1"/>
  <c r="B195" i="4"/>
  <c r="A195" i="4" s="1"/>
  <c r="B187" i="4"/>
  <c r="A187" i="4" s="1"/>
  <c r="B179" i="4"/>
  <c r="A179" i="4" s="1"/>
  <c r="B171" i="4"/>
  <c r="A171" i="4" s="1"/>
  <c r="B163" i="4"/>
  <c r="A163" i="4" s="1"/>
  <c r="B155" i="4"/>
  <c r="A155" i="4" s="1"/>
  <c r="B152" i="4"/>
  <c r="A152" i="4" s="1"/>
  <c r="B156" i="4"/>
  <c r="A156" i="4" s="1"/>
  <c r="B160" i="4"/>
  <c r="A160" i="4" s="1"/>
  <c r="B164" i="4"/>
  <c r="A164" i="4" s="1"/>
  <c r="B168" i="4"/>
  <c r="A168" i="4" s="1"/>
  <c r="B172" i="4"/>
  <c r="A172" i="4" s="1"/>
  <c r="B176" i="4"/>
  <c r="A176" i="4" s="1"/>
  <c r="B180" i="4"/>
  <c r="A180" i="4" s="1"/>
  <c r="B184" i="4"/>
  <c r="A184" i="4" s="1"/>
  <c r="B188" i="4"/>
  <c r="A188" i="4" s="1"/>
  <c r="B192" i="4"/>
  <c r="A192" i="4" s="1"/>
  <c r="B196" i="4"/>
  <c r="A196" i="4" s="1"/>
  <c r="B200" i="4"/>
  <c r="A200" i="4" s="1"/>
  <c r="B204" i="4"/>
  <c r="A204" i="4" s="1"/>
  <c r="B208" i="4"/>
  <c r="A208" i="4" s="1"/>
  <c r="B212" i="4"/>
  <c r="A212" i="4" s="1"/>
  <c r="B216" i="4"/>
  <c r="A216" i="4" s="1"/>
  <c r="B220" i="4"/>
  <c r="A220" i="4" s="1"/>
  <c r="B224" i="4"/>
  <c r="A224" i="4" s="1"/>
  <c r="B228" i="4"/>
  <c r="A228" i="4" s="1"/>
  <c r="B232" i="4"/>
  <c r="A232" i="4" s="1"/>
  <c r="B236" i="4"/>
  <c r="A236" i="4" s="1"/>
  <c r="B240" i="4"/>
  <c r="A240" i="4" s="1"/>
  <c r="B244" i="4"/>
  <c r="A244" i="4" s="1"/>
  <c r="B248" i="4"/>
  <c r="A248" i="4" s="1"/>
  <c r="B252" i="4"/>
  <c r="A252" i="4" s="1"/>
  <c r="B256" i="4"/>
  <c r="A256" i="4" s="1"/>
  <c r="B260" i="4"/>
  <c r="A260" i="4" s="1"/>
  <c r="B264" i="4"/>
  <c r="A264" i="4" s="1"/>
  <c r="B268" i="4"/>
  <c r="A268" i="4" s="1"/>
  <c r="B272" i="4"/>
  <c r="A272" i="4" s="1"/>
  <c r="B276" i="4"/>
  <c r="A276" i="4" s="1"/>
  <c r="B280" i="4"/>
  <c r="A280" i="4" s="1"/>
  <c r="B284" i="4"/>
  <c r="A284" i="4" s="1"/>
  <c r="B288" i="4"/>
  <c r="A288" i="4" s="1"/>
  <c r="B308" i="4"/>
  <c r="A308" i="4" s="1"/>
  <c r="B312" i="4"/>
  <c r="A312" i="4" s="1"/>
  <c r="B316" i="4"/>
  <c r="A316" i="4" s="1"/>
  <c r="B610" i="4"/>
  <c r="A610" i="4" s="1"/>
  <c r="B614" i="4"/>
  <c r="A614" i="4" s="1"/>
  <c r="B616" i="4"/>
  <c r="A616" i="4" s="1"/>
  <c r="B618" i="4"/>
  <c r="A618" i="4" s="1"/>
  <c r="B620" i="4"/>
  <c r="A620" i="4" s="1"/>
  <c r="B622" i="4"/>
  <c r="A622" i="4" s="1"/>
  <c r="B624" i="4"/>
  <c r="A624" i="4" s="1"/>
  <c r="B626" i="4"/>
  <c r="A626" i="4" s="1"/>
  <c r="B628" i="4"/>
  <c r="A628" i="4" s="1"/>
  <c r="B630" i="4"/>
  <c r="A630" i="4" s="1"/>
  <c r="B632" i="4"/>
  <c r="A632" i="4" s="1"/>
  <c r="B634" i="4"/>
  <c r="A634" i="4" s="1"/>
  <c r="B636" i="4"/>
  <c r="A636" i="4" s="1"/>
  <c r="B638" i="4"/>
  <c r="A638" i="4" s="1"/>
  <c r="B640" i="4"/>
  <c r="A640" i="4" s="1"/>
  <c r="B642" i="4"/>
  <c r="A642" i="4" s="1"/>
  <c r="B644" i="4"/>
  <c r="A644" i="4" s="1"/>
  <c r="B646" i="4"/>
  <c r="A646" i="4" s="1"/>
  <c r="B648" i="4"/>
  <c r="A648" i="4" s="1"/>
  <c r="B650" i="4"/>
  <c r="A650" i="4" s="1"/>
  <c r="B652" i="4"/>
  <c r="A652" i="4" s="1"/>
  <c r="B654" i="4"/>
  <c r="A654" i="4" s="1"/>
  <c r="B656" i="4"/>
  <c r="A656" i="4" s="1"/>
  <c r="B658" i="4"/>
  <c r="A658" i="4" s="1"/>
  <c r="B660" i="4"/>
  <c r="A660" i="4" s="1"/>
  <c r="B662" i="4"/>
  <c r="A662" i="4" s="1"/>
  <c r="B664" i="4"/>
  <c r="A664" i="4" s="1"/>
  <c r="B666" i="4"/>
  <c r="A666" i="4" s="1"/>
  <c r="B668" i="4"/>
  <c r="A668" i="4" s="1"/>
  <c r="B670" i="4"/>
  <c r="A670" i="4" s="1"/>
  <c r="B672" i="4"/>
  <c r="A672" i="4" s="1"/>
  <c r="B674" i="4"/>
  <c r="A674" i="4" s="1"/>
  <c r="B676" i="4"/>
  <c r="A676" i="4" s="1"/>
  <c r="B678" i="4"/>
  <c r="A678" i="4" s="1"/>
  <c r="B680" i="4"/>
  <c r="A680" i="4" s="1"/>
  <c r="B682" i="4"/>
  <c r="A682" i="4" s="1"/>
  <c r="B684" i="4"/>
  <c r="A684" i="4" s="1"/>
  <c r="B686" i="4"/>
  <c r="A686" i="4" s="1"/>
  <c r="B688" i="4"/>
  <c r="A688" i="4" s="1"/>
  <c r="B690" i="4"/>
  <c r="A690" i="4" s="1"/>
  <c r="B692" i="4"/>
  <c r="A692" i="4" s="1"/>
  <c r="B694" i="4"/>
  <c r="A694" i="4" s="1"/>
  <c r="B696" i="4"/>
  <c r="A696" i="4" s="1"/>
  <c r="B698" i="4"/>
  <c r="A698" i="4" s="1"/>
  <c r="B700" i="4"/>
  <c r="A700" i="4" s="1"/>
  <c r="B702" i="4"/>
  <c r="A702" i="4" s="1"/>
  <c r="B704" i="4"/>
  <c r="A704" i="4" s="1"/>
  <c r="B706" i="4"/>
  <c r="A706" i="4" s="1"/>
  <c r="B708" i="4"/>
  <c r="A708" i="4" s="1"/>
  <c r="B710" i="4"/>
  <c r="A710" i="4" s="1"/>
  <c r="B712" i="4"/>
  <c r="A712" i="4" s="1"/>
  <c r="B714" i="4"/>
  <c r="A714" i="4" s="1"/>
  <c r="B716" i="4"/>
  <c r="A716" i="4" s="1"/>
  <c r="B718" i="4"/>
  <c r="A718" i="4" s="1"/>
  <c r="B720" i="4"/>
  <c r="A720" i="4" s="1"/>
  <c r="B722" i="4"/>
  <c r="A722" i="4" s="1"/>
  <c r="B724" i="4"/>
  <c r="A724" i="4" s="1"/>
  <c r="B726" i="4"/>
  <c r="A726" i="4" s="1"/>
  <c r="B728" i="4"/>
  <c r="A728" i="4" s="1"/>
  <c r="B730" i="4"/>
  <c r="A730" i="4" s="1"/>
  <c r="B732" i="4"/>
  <c r="A732" i="4" s="1"/>
  <c r="B734" i="4"/>
  <c r="A734" i="4" s="1"/>
  <c r="B736" i="4"/>
  <c r="A736" i="4" s="1"/>
  <c r="B738" i="4"/>
  <c r="A738" i="4" s="1"/>
  <c r="B740" i="4"/>
  <c r="A740" i="4" s="1"/>
  <c r="B742" i="4"/>
  <c r="A742" i="4" s="1"/>
  <c r="B744" i="4"/>
  <c r="A744" i="4" s="1"/>
  <c r="B746" i="4"/>
  <c r="A746" i="4" s="1"/>
  <c r="B748" i="4"/>
  <c r="A748" i="4" s="1"/>
  <c r="B750" i="4"/>
  <c r="A750" i="4" s="1"/>
  <c r="B752" i="4"/>
  <c r="A752" i="4" s="1"/>
  <c r="B754" i="4"/>
  <c r="A754" i="4" s="1"/>
  <c r="B45" i="5"/>
  <c r="I45" i="5" s="1"/>
  <c r="B44" i="5"/>
  <c r="B35" i="5"/>
  <c r="B9" i="5"/>
  <c r="I9" i="5" s="1"/>
  <c r="B42" i="5"/>
  <c r="B33" i="5"/>
  <c r="A116" i="4"/>
  <c r="A45" i="4"/>
  <c r="A46" i="4"/>
  <c r="B19" i="5"/>
  <c r="I19" i="5" s="1"/>
  <c r="L47" i="5"/>
  <c r="G47" i="5"/>
  <c r="E47" i="5"/>
  <c r="F47" i="5"/>
  <c r="H47" i="5"/>
  <c r="L63" i="5"/>
  <c r="G63" i="5"/>
  <c r="E63" i="5"/>
  <c r="F63" i="5"/>
  <c r="H63" i="5"/>
  <c r="B20" i="5"/>
  <c r="I20" i="5" s="1"/>
  <c r="B36" i="5"/>
  <c r="L52" i="5"/>
  <c r="H52" i="5"/>
  <c r="F52" i="5"/>
  <c r="E52" i="5"/>
  <c r="G52" i="5"/>
  <c r="L68" i="5"/>
  <c r="H68" i="5"/>
  <c r="F68" i="5"/>
  <c r="E68" i="5"/>
  <c r="G68" i="5"/>
  <c r="B27" i="5"/>
  <c r="B43" i="5"/>
  <c r="L51" i="5"/>
  <c r="G51" i="5"/>
  <c r="E51" i="5"/>
  <c r="F51" i="5"/>
  <c r="H51" i="5"/>
  <c r="L59" i="5"/>
  <c r="G59" i="5"/>
  <c r="E59" i="5"/>
  <c r="F59" i="5"/>
  <c r="H59" i="5"/>
  <c r="L67" i="5"/>
  <c r="G67" i="5"/>
  <c r="E67" i="5"/>
  <c r="F67" i="5"/>
  <c r="H67" i="5"/>
  <c r="B13" i="5"/>
  <c r="I13" i="5" s="1"/>
  <c r="B22" i="5"/>
  <c r="I22" i="5" s="1"/>
  <c r="B30" i="5"/>
  <c r="B38" i="5"/>
  <c r="L54" i="5"/>
  <c r="H54" i="5"/>
  <c r="F54" i="5"/>
  <c r="G54" i="5"/>
  <c r="E54" i="5"/>
  <c r="L62" i="5"/>
  <c r="H62" i="5"/>
  <c r="F62" i="5"/>
  <c r="G62" i="5"/>
  <c r="E62" i="5"/>
  <c r="L70" i="5"/>
  <c r="H70" i="5"/>
  <c r="F70" i="5"/>
  <c r="G70" i="5"/>
  <c r="E70" i="5"/>
  <c r="B21" i="5"/>
  <c r="I21" i="5" s="1"/>
  <c r="B29" i="5"/>
  <c r="B37" i="5"/>
  <c r="L53" i="5"/>
  <c r="G53" i="5"/>
  <c r="E53" i="5"/>
  <c r="H53" i="5"/>
  <c r="F53" i="5"/>
  <c r="L61" i="5"/>
  <c r="G61" i="5"/>
  <c r="E61" i="5"/>
  <c r="H61" i="5"/>
  <c r="F61" i="5"/>
  <c r="L69" i="5"/>
  <c r="G69" i="5"/>
  <c r="E69" i="5"/>
  <c r="H69" i="5"/>
  <c r="F69" i="5"/>
  <c r="B16" i="5"/>
  <c r="I16" i="5" s="1"/>
  <c r="B32" i="5"/>
  <c r="L48" i="5"/>
  <c r="H48" i="5"/>
  <c r="F48" i="5"/>
  <c r="E48" i="5"/>
  <c r="G48" i="5"/>
  <c r="L64" i="5"/>
  <c r="H64" i="5"/>
  <c r="F64" i="5"/>
  <c r="E64" i="5"/>
  <c r="G64" i="5"/>
  <c r="B23" i="5"/>
  <c r="I23" i="5" s="1"/>
  <c r="B39" i="5"/>
  <c r="B28" i="5"/>
  <c r="L60" i="5"/>
  <c r="H60" i="5"/>
  <c r="F60" i="5"/>
  <c r="E60" i="5"/>
  <c r="G60" i="5"/>
  <c r="L55" i="5"/>
  <c r="G55" i="5"/>
  <c r="E55" i="5"/>
  <c r="F55" i="5"/>
  <c r="H55" i="5"/>
  <c r="L71" i="5"/>
  <c r="G71" i="5"/>
  <c r="E71" i="5"/>
  <c r="F71" i="5"/>
  <c r="H71" i="5"/>
  <c r="B26" i="5"/>
  <c r="L50" i="5"/>
  <c r="H50" i="5"/>
  <c r="F50" i="5"/>
  <c r="G50" i="5"/>
  <c r="E50" i="5"/>
  <c r="L58" i="5"/>
  <c r="H58" i="5"/>
  <c r="F58" i="5"/>
  <c r="G58" i="5"/>
  <c r="E58" i="5"/>
  <c r="L66" i="5"/>
  <c r="H66" i="5"/>
  <c r="F66" i="5"/>
  <c r="G66" i="5"/>
  <c r="E66" i="5"/>
  <c r="B25" i="5"/>
  <c r="B41" i="5"/>
  <c r="L49" i="5"/>
  <c r="G49" i="5"/>
  <c r="E49" i="5"/>
  <c r="H49" i="5"/>
  <c r="F49" i="5"/>
  <c r="L57" i="5"/>
  <c r="G57" i="5"/>
  <c r="E57" i="5"/>
  <c r="H57" i="5"/>
  <c r="F57" i="5"/>
  <c r="L65" i="5"/>
  <c r="G65" i="5"/>
  <c r="E65" i="5"/>
  <c r="H65" i="5"/>
  <c r="F65" i="5"/>
  <c r="L73" i="5"/>
  <c r="G73" i="5"/>
  <c r="E73" i="5"/>
  <c r="H73" i="5"/>
  <c r="F73" i="5"/>
  <c r="B24" i="5"/>
  <c r="I24" i="5" s="1"/>
  <c r="B40" i="5"/>
  <c r="L56" i="5"/>
  <c r="H56" i="5"/>
  <c r="F56" i="5"/>
  <c r="E56" i="5"/>
  <c r="G56" i="5"/>
  <c r="L72" i="5"/>
  <c r="H72" i="5"/>
  <c r="F72" i="5"/>
  <c r="E72" i="5"/>
  <c r="G72" i="5"/>
  <c r="B31" i="5"/>
  <c r="B7" i="3"/>
  <c r="H97" i="5" l="1"/>
  <c r="J71" i="5"/>
  <c r="L97" i="5"/>
  <c r="D71" i="5"/>
  <c r="F97" i="5"/>
  <c r="G97" i="5"/>
  <c r="D93" i="5"/>
  <c r="D61" i="5"/>
  <c r="J97" i="5"/>
  <c r="D97" i="5"/>
  <c r="H82" i="5"/>
  <c r="J56" i="5"/>
  <c r="D69" i="5"/>
  <c r="F82" i="5"/>
  <c r="J84" i="5"/>
  <c r="D57" i="5"/>
  <c r="J65" i="5"/>
  <c r="J98" i="5"/>
  <c r="J64" i="5"/>
  <c r="J54" i="5"/>
  <c r="J81" i="5"/>
  <c r="J93" i="5"/>
  <c r="J82" i="5"/>
  <c r="E76" i="5"/>
  <c r="F80" i="5"/>
  <c r="J72" i="5"/>
  <c r="I25" i="5"/>
  <c r="K25" i="5"/>
  <c r="H77" i="5"/>
  <c r="L100" i="5"/>
  <c r="F74" i="5"/>
  <c r="F81" i="5"/>
  <c r="E96" i="5"/>
  <c r="G76" i="5"/>
  <c r="F76" i="5"/>
  <c r="H92" i="5"/>
  <c r="H80" i="5"/>
  <c r="G80" i="5"/>
  <c r="F94" i="5"/>
  <c r="L89" i="5"/>
  <c r="E89" i="5"/>
  <c r="F75" i="5"/>
  <c r="G86" i="5"/>
  <c r="J77" i="5"/>
  <c r="J74" i="5"/>
  <c r="J70" i="5"/>
  <c r="J89" i="5"/>
  <c r="J80" i="5"/>
  <c r="J68" i="5"/>
  <c r="J58" i="5"/>
  <c r="J53" i="5"/>
  <c r="J75" i="5"/>
  <c r="J46" i="5"/>
  <c r="J96" i="5"/>
  <c r="J94" i="5"/>
  <c r="J76" i="5"/>
  <c r="I97" i="5"/>
  <c r="I79" i="5"/>
  <c r="I91" i="5"/>
  <c r="I61" i="5"/>
  <c r="I54" i="5"/>
  <c r="I51" i="5"/>
  <c r="I77" i="5"/>
  <c r="I98" i="5"/>
  <c r="I90" i="5"/>
  <c r="I56" i="5"/>
  <c r="I49" i="5"/>
  <c r="I71" i="5"/>
  <c r="I60" i="5"/>
  <c r="I100" i="5"/>
  <c r="I82" i="5"/>
  <c r="I96" i="5"/>
  <c r="I72" i="5"/>
  <c r="I57" i="5"/>
  <c r="I50" i="5"/>
  <c r="I47" i="5"/>
  <c r="I78" i="5"/>
  <c r="I87" i="5"/>
  <c r="I86" i="5"/>
  <c r="I69" i="5"/>
  <c r="I62" i="5"/>
  <c r="I59" i="5"/>
  <c r="I84" i="5"/>
  <c r="B455" i="4"/>
  <c r="A455" i="4" s="1"/>
  <c r="F77" i="5"/>
  <c r="F100" i="5"/>
  <c r="G74" i="5"/>
  <c r="E74" i="5"/>
  <c r="G81" i="5"/>
  <c r="E81" i="5"/>
  <c r="L96" i="5"/>
  <c r="L76" i="5"/>
  <c r="G92" i="5"/>
  <c r="F92" i="5"/>
  <c r="E80" i="5"/>
  <c r="L94" i="5"/>
  <c r="G89" i="5"/>
  <c r="L75" i="5"/>
  <c r="E75" i="5"/>
  <c r="H86" i="5"/>
  <c r="D77" i="5"/>
  <c r="D74" i="5"/>
  <c r="D70" i="5"/>
  <c r="D82" i="5"/>
  <c r="D89" i="5"/>
  <c r="D80" i="5"/>
  <c r="D72" i="5"/>
  <c r="D64" i="5"/>
  <c r="D68" i="5"/>
  <c r="D58" i="5"/>
  <c r="D53" i="5"/>
  <c r="D75" i="5"/>
  <c r="D46" i="5"/>
  <c r="D96" i="5"/>
  <c r="D94" i="5"/>
  <c r="D76" i="5"/>
  <c r="K77" i="5"/>
  <c r="K56" i="5"/>
  <c r="K60" i="5"/>
  <c r="K100" i="5"/>
  <c r="K96" i="5"/>
  <c r="K86" i="5"/>
  <c r="K62" i="5"/>
  <c r="I80" i="5"/>
  <c r="I94" i="5"/>
  <c r="I95" i="5"/>
  <c r="I48" i="5"/>
  <c r="I70" i="5"/>
  <c r="I67" i="5"/>
  <c r="I52" i="5"/>
  <c r="I93" i="5"/>
  <c r="I74" i="5"/>
  <c r="I92" i="5"/>
  <c r="I65" i="5"/>
  <c r="I58" i="5"/>
  <c r="I55" i="5"/>
  <c r="I85" i="5"/>
  <c r="I83" i="5"/>
  <c r="I99" i="5"/>
  <c r="I76" i="5"/>
  <c r="I73" i="5"/>
  <c r="I66" i="5"/>
  <c r="I63" i="5"/>
  <c r="I88" i="5"/>
  <c r="I89" i="5"/>
  <c r="I75" i="5"/>
  <c r="I64" i="5"/>
  <c r="I53" i="5"/>
  <c r="I46" i="5"/>
  <c r="I68" i="5"/>
  <c r="I81" i="5"/>
  <c r="E77" i="5"/>
  <c r="H100" i="5"/>
  <c r="H74" i="5"/>
  <c r="H81" i="5"/>
  <c r="H76" i="5"/>
  <c r="E92" i="5"/>
  <c r="L80" i="5"/>
  <c r="H94" i="5"/>
  <c r="F89" i="5"/>
  <c r="H75" i="5"/>
  <c r="L86" i="5"/>
  <c r="E86" i="5"/>
  <c r="D92" i="5"/>
  <c r="D52" i="5"/>
  <c r="D81" i="5"/>
  <c r="D65" i="5"/>
  <c r="K43" i="5"/>
  <c r="I43" i="5"/>
  <c r="I42" i="5"/>
  <c r="I31" i="5"/>
  <c r="I40" i="5"/>
  <c r="I32" i="5"/>
  <c r="I41" i="5"/>
  <c r="I39" i="5"/>
  <c r="K44" i="5"/>
  <c r="I44" i="5"/>
  <c r="I27" i="5"/>
  <c r="I34" i="5"/>
  <c r="I37" i="5"/>
  <c r="I30" i="5"/>
  <c r="I33" i="5"/>
  <c r="I38" i="5"/>
  <c r="I36" i="5"/>
  <c r="I26" i="5"/>
  <c r="I28" i="5"/>
  <c r="I29" i="5"/>
  <c r="I35" i="5"/>
  <c r="B434" i="4"/>
  <c r="A434" i="4" s="1"/>
  <c r="AM45" i="3"/>
  <c r="K45" i="5"/>
  <c r="B9" i="4"/>
  <c r="A9" i="4" s="1"/>
  <c r="B291" i="4"/>
  <c r="A291" i="4" s="1"/>
  <c r="BL18" i="3"/>
  <c r="G3" i="7"/>
  <c r="C6" i="7" s="1"/>
  <c r="BI18" i="3"/>
  <c r="B292" i="4"/>
  <c r="A292" i="4" s="1"/>
  <c r="BL7" i="3"/>
  <c r="AM43" i="3"/>
  <c r="AM44" i="3"/>
  <c r="B261" i="4"/>
  <c r="A261" i="4" s="1"/>
  <c r="B14" i="4"/>
  <c r="A14" i="4" s="1"/>
  <c r="BJ18" i="3"/>
  <c r="C18" i="5" s="1"/>
  <c r="B18" i="5" s="1"/>
  <c r="I18" i="5" s="1"/>
  <c r="BG18" i="3"/>
  <c r="AY18" i="3" s="1"/>
  <c r="BK18" i="3"/>
  <c r="B16" i="4"/>
  <c r="A16" i="4" s="1"/>
  <c r="BJ7" i="3"/>
  <c r="C7" i="5" s="1"/>
  <c r="B7" i="5" s="1"/>
  <c r="I7" i="5" s="1"/>
  <c r="BK7" i="3"/>
  <c r="D31" i="5"/>
  <c r="D40" i="5"/>
  <c r="D32" i="5"/>
  <c r="D38" i="5"/>
  <c r="D39" i="5"/>
  <c r="D41" i="5"/>
  <c r="D30" i="5"/>
  <c r="D33" i="5"/>
  <c r="D42" i="5"/>
  <c r="D28" i="5"/>
  <c r="D34" i="5"/>
  <c r="D37" i="5"/>
  <c r="D26" i="5"/>
  <c r="D29" i="5"/>
  <c r="D35" i="5"/>
  <c r="D43" i="5"/>
  <c r="J43" i="5"/>
  <c r="D36" i="5"/>
  <c r="D27" i="5"/>
  <c r="D44" i="5"/>
  <c r="J44" i="5"/>
  <c r="D45" i="5"/>
  <c r="J45" i="5"/>
  <c r="B17" i="4"/>
  <c r="A17" i="4" s="1"/>
  <c r="AY100" i="3"/>
  <c r="AZ100" i="3"/>
  <c r="BA92" i="3"/>
  <c r="BB92" i="3"/>
  <c r="AZ92" i="3"/>
  <c r="AY92" i="3"/>
  <c r="BB84" i="3"/>
  <c r="BA84" i="3"/>
  <c r="AY84" i="3"/>
  <c r="AZ84" i="3"/>
  <c r="BA68" i="3"/>
  <c r="BB68" i="3"/>
  <c r="BB60" i="3"/>
  <c r="BA60" i="3"/>
  <c r="AZ60" i="3"/>
  <c r="AY60" i="3"/>
  <c r="AY89" i="3"/>
  <c r="AZ89" i="3"/>
  <c r="BB89" i="3"/>
  <c r="BA89" i="3"/>
  <c r="AY73" i="3"/>
  <c r="AZ73" i="3"/>
  <c r="BA57" i="3"/>
  <c r="BB57" i="3"/>
  <c r="BA95" i="3"/>
  <c r="BB95" i="3"/>
  <c r="BB63" i="3"/>
  <c r="BA63" i="3"/>
  <c r="AZ63" i="3"/>
  <c r="AY63" i="3"/>
  <c r="BB47" i="3"/>
  <c r="BA47" i="3"/>
  <c r="AZ15" i="3"/>
  <c r="AY15" i="3"/>
  <c r="BB94" i="3"/>
  <c r="BA94" i="3"/>
  <c r="BA78" i="3"/>
  <c r="BB78" i="3"/>
  <c r="AZ62" i="3"/>
  <c r="AY62" i="3"/>
  <c r="BB62" i="3"/>
  <c r="BA62" i="3"/>
  <c r="AZ54" i="3"/>
  <c r="AY54" i="3"/>
  <c r="AY38" i="3"/>
  <c r="AZ38" i="3"/>
  <c r="BB77" i="3"/>
  <c r="BA77" i="3"/>
  <c r="BB67" i="3"/>
  <c r="BA67" i="3"/>
  <c r="BA51" i="3"/>
  <c r="BB51" i="3"/>
  <c r="BB75" i="3"/>
  <c r="BA75" i="3"/>
  <c r="AY75" i="3"/>
  <c r="AZ75" i="3"/>
  <c r="AY88" i="3"/>
  <c r="AZ88" i="3"/>
  <c r="BB88" i="3"/>
  <c r="BA88" i="3"/>
  <c r="AY80" i="3"/>
  <c r="AZ80" i="3"/>
  <c r="BB72" i="3"/>
  <c r="BA72" i="3"/>
  <c r="AY64" i="3"/>
  <c r="AZ64" i="3"/>
  <c r="BA56" i="3"/>
  <c r="BB56" i="3"/>
  <c r="BB48" i="3"/>
  <c r="BA48" i="3"/>
  <c r="AY48" i="3"/>
  <c r="AZ48" i="3"/>
  <c r="BA16" i="3"/>
  <c r="BB16" i="3"/>
  <c r="BA97" i="3"/>
  <c r="BB97" i="3"/>
  <c r="BA65" i="3"/>
  <c r="BB65" i="3"/>
  <c r="BB49" i="3"/>
  <c r="BA49" i="3"/>
  <c r="BB17" i="3"/>
  <c r="BA17" i="3"/>
  <c r="AY87" i="3"/>
  <c r="AZ87" i="3"/>
  <c r="BB87" i="3"/>
  <c r="BA87" i="3"/>
  <c r="AZ71" i="3"/>
  <c r="AY71" i="3"/>
  <c r="AZ55" i="3"/>
  <c r="AY55" i="3"/>
  <c r="AZ39" i="3"/>
  <c r="AY39" i="3"/>
  <c r="BB66" i="3"/>
  <c r="BA66" i="3"/>
  <c r="AY66" i="3"/>
  <c r="AZ66" i="3"/>
  <c r="AZ58" i="3"/>
  <c r="AY58" i="3"/>
  <c r="BA18" i="3"/>
  <c r="BB18" i="3"/>
  <c r="BA99" i="3"/>
  <c r="BB99" i="3"/>
  <c r="AZ99" i="3"/>
  <c r="AY99" i="3"/>
  <c r="AY69" i="3"/>
  <c r="AZ69" i="3"/>
  <c r="BB53" i="3"/>
  <c r="BA53" i="3"/>
  <c r="BB37" i="3"/>
  <c r="BA37" i="3"/>
  <c r="BA91" i="3"/>
  <c r="BB91" i="3"/>
  <c r="BA100" i="3"/>
  <c r="BB100" i="3"/>
  <c r="BB76" i="3"/>
  <c r="BA76" i="3"/>
  <c r="AZ76" i="3"/>
  <c r="AY76" i="3"/>
  <c r="AY68" i="3"/>
  <c r="AZ68" i="3"/>
  <c r="BB52" i="3"/>
  <c r="BA52" i="3"/>
  <c r="AY52" i="3"/>
  <c r="AZ52" i="3"/>
  <c r="BA44" i="3"/>
  <c r="BB44" i="3"/>
  <c r="AY44" i="3"/>
  <c r="AZ44" i="3"/>
  <c r="BA73" i="3"/>
  <c r="BB73" i="3"/>
  <c r="AY57" i="3"/>
  <c r="AZ57" i="3"/>
  <c r="AY95" i="3"/>
  <c r="AZ95" i="3"/>
  <c r="AZ79" i="3"/>
  <c r="AY79" i="3"/>
  <c r="BB79" i="3"/>
  <c r="BA79" i="3"/>
  <c r="AZ47" i="3"/>
  <c r="AY47" i="3"/>
  <c r="BA15" i="3"/>
  <c r="BB15" i="3"/>
  <c r="AY94" i="3"/>
  <c r="AZ94" i="3"/>
  <c r="AY86" i="3"/>
  <c r="AZ86" i="3"/>
  <c r="BB86" i="3"/>
  <c r="BA86" i="3"/>
  <c r="AY78" i="3"/>
  <c r="AZ78" i="3"/>
  <c r="AZ70" i="3"/>
  <c r="AY70" i="3"/>
  <c r="BB70" i="3"/>
  <c r="BA70" i="3"/>
  <c r="BB54" i="3"/>
  <c r="BA54" i="3"/>
  <c r="BB46" i="3"/>
  <c r="BA46" i="3"/>
  <c r="AZ46" i="3"/>
  <c r="AY46" i="3"/>
  <c r="BA38" i="3"/>
  <c r="BB38" i="3"/>
  <c r="AZ93" i="3"/>
  <c r="AY93" i="3"/>
  <c r="BA93" i="3"/>
  <c r="BB93" i="3"/>
  <c r="AZ77" i="3"/>
  <c r="AY77" i="3"/>
  <c r="AY61" i="3"/>
  <c r="AZ61" i="3"/>
  <c r="BB61" i="3"/>
  <c r="BA61" i="3"/>
  <c r="AZ45" i="3"/>
  <c r="AY45" i="3"/>
  <c r="BB45" i="3"/>
  <c r="BA45" i="3"/>
  <c r="AZ83" i="3"/>
  <c r="AY83" i="3"/>
  <c r="BB83" i="3"/>
  <c r="BA83" i="3"/>
  <c r="AY67" i="3"/>
  <c r="AZ67" i="3"/>
  <c r="AZ51" i="3"/>
  <c r="AY51" i="3"/>
  <c r="AZ96" i="3"/>
  <c r="AY96" i="3"/>
  <c r="BB96" i="3"/>
  <c r="BA96" i="3"/>
  <c r="BA80" i="3"/>
  <c r="BB80" i="3"/>
  <c r="AZ72" i="3"/>
  <c r="AY72" i="3"/>
  <c r="BA64" i="3"/>
  <c r="BB64" i="3"/>
  <c r="AY56" i="3"/>
  <c r="AZ56" i="3"/>
  <c r="AY97" i="3"/>
  <c r="AZ97" i="3"/>
  <c r="BA81" i="3"/>
  <c r="BB81" i="3"/>
  <c r="AY81" i="3"/>
  <c r="AZ81" i="3"/>
  <c r="AZ65" i="3"/>
  <c r="AY65" i="3"/>
  <c r="AZ49" i="3"/>
  <c r="AY49" i="3"/>
  <c r="BA71" i="3"/>
  <c r="BB71" i="3"/>
  <c r="BA55" i="3"/>
  <c r="BB55" i="3"/>
  <c r="BB39" i="3"/>
  <c r="BA39" i="3"/>
  <c r="AY98" i="3"/>
  <c r="AZ98" i="3"/>
  <c r="BB98" i="3"/>
  <c r="BA98" i="3"/>
  <c r="BB90" i="3"/>
  <c r="BA90" i="3"/>
  <c r="AY90" i="3"/>
  <c r="AZ90" i="3"/>
  <c r="BA82" i="3"/>
  <c r="BB82" i="3"/>
  <c r="AY82" i="3"/>
  <c r="AZ82" i="3"/>
  <c r="BB74" i="3"/>
  <c r="BA74" i="3"/>
  <c r="AY74" i="3"/>
  <c r="AZ74" i="3"/>
  <c r="BB58" i="3"/>
  <c r="BA58" i="3"/>
  <c r="AZ50" i="3"/>
  <c r="AY50" i="3"/>
  <c r="BB50" i="3"/>
  <c r="BA50" i="3"/>
  <c r="AZ85" i="3"/>
  <c r="AY85" i="3"/>
  <c r="BA85" i="3"/>
  <c r="BB85" i="3"/>
  <c r="BA69" i="3"/>
  <c r="BB69" i="3"/>
  <c r="AY53" i="3"/>
  <c r="AZ53" i="3"/>
  <c r="AZ37" i="3"/>
  <c r="AY37" i="3"/>
  <c r="AZ91" i="3"/>
  <c r="AY91" i="3"/>
  <c r="BA59" i="3"/>
  <c r="BB59" i="3"/>
  <c r="AZ59" i="3"/>
  <c r="AY59" i="3"/>
  <c r="A27" i="4"/>
  <c r="A130" i="4"/>
  <c r="A7" i="4"/>
  <c r="A101" i="4"/>
  <c r="A78" i="4"/>
  <c r="A147" i="4"/>
  <c r="A91" i="4"/>
  <c r="A132" i="4"/>
  <c r="A76" i="4"/>
  <c r="A79" i="4"/>
  <c r="A81" i="4"/>
  <c r="A104" i="4"/>
  <c r="A30" i="4"/>
  <c r="A87" i="4"/>
  <c r="A99" i="4"/>
  <c r="A6" i="4"/>
  <c r="A24" i="4"/>
  <c r="A68" i="4"/>
  <c r="A72" i="4"/>
  <c r="A85" i="4"/>
  <c r="A94" i="4"/>
  <c r="A29" i="4"/>
  <c r="A25" i="4"/>
  <c r="A73" i="4"/>
  <c r="A69" i="4"/>
  <c r="A86" i="4"/>
  <c r="A96" i="4"/>
  <c r="A135" i="4"/>
  <c r="A26" i="4"/>
  <c r="A31" i="4"/>
  <c r="A74" i="4"/>
  <c r="A83" i="4"/>
  <c r="A95" i="4"/>
  <c r="A133" i="4"/>
  <c r="A70" i="4"/>
  <c r="A28" i="4"/>
  <c r="A97" i="4"/>
  <c r="A82" i="4"/>
  <c r="A75" i="4"/>
  <c r="A71" i="4"/>
  <c r="A88" i="4"/>
  <c r="A84" i="4"/>
  <c r="A98" i="4"/>
  <c r="A105" i="4"/>
  <c r="A134" i="4"/>
  <c r="A143" i="4"/>
  <c r="A139" i="4"/>
  <c r="A18" i="4"/>
  <c r="A35" i="4"/>
  <c r="A144" i="4"/>
  <c r="A8" i="4"/>
  <c r="A33" i="4"/>
  <c r="A90" i="4"/>
  <c r="A131" i="4"/>
  <c r="A138" i="4"/>
  <c r="A21" i="4"/>
  <c r="A13" i="4"/>
  <c r="A38" i="4"/>
  <c r="A34" i="4"/>
  <c r="A10" i="4"/>
  <c r="A92" i="4"/>
  <c r="A140" i="4"/>
  <c r="A22" i="4"/>
  <c r="A100" i="4"/>
  <c r="A102" i="4"/>
  <c r="A129" i="4"/>
  <c r="A136" i="4"/>
  <c r="A20" i="4"/>
  <c r="A12" i="4"/>
  <c r="A37" i="4"/>
  <c r="A77" i="4"/>
  <c r="A126" i="4"/>
  <c r="A127" i="4"/>
  <c r="A142" i="4"/>
  <c r="A148" i="4"/>
  <c r="A5" i="4"/>
  <c r="A23" i="4"/>
  <c r="A19" i="4"/>
  <c r="A15" i="4"/>
  <c r="A11" i="4"/>
  <c r="A32" i="4"/>
  <c r="A36" i="4"/>
  <c r="A80" i="4"/>
  <c r="A93" i="4"/>
  <c r="A89" i="4"/>
  <c r="A103" i="4"/>
  <c r="A128" i="4"/>
  <c r="A146" i="4"/>
  <c r="A145" i="4"/>
  <c r="A141" i="4"/>
  <c r="A137" i="4"/>
  <c r="A149" i="4"/>
  <c r="BG7" i="3"/>
  <c r="BH7" i="3"/>
  <c r="BI7" i="3"/>
  <c r="A4" i="4"/>
  <c r="BB7" i="3" l="1"/>
  <c r="BA7" i="3"/>
  <c r="E19" i="7"/>
  <c r="AY7" i="3"/>
  <c r="AZ7" i="3"/>
  <c r="C8" i="7"/>
  <c r="C7" i="7"/>
  <c r="C26" i="7"/>
  <c r="AZ18" i="3"/>
  <c r="C25" i="7"/>
  <c r="E6" i="7"/>
  <c r="E7" i="7"/>
  <c r="E25" i="7"/>
  <c r="G46" i="5"/>
  <c r="E46" i="5"/>
  <c r="F46" i="5"/>
  <c r="A3" i="4"/>
  <c r="A2" i="4"/>
  <c r="H46" i="5" l="1"/>
  <c r="AQ46" i="3" s="1"/>
  <c r="L46" i="5" l="1"/>
  <c r="AT46" i="3"/>
  <c r="AR46" i="3"/>
  <c r="AU46" i="3"/>
  <c r="AV46" i="3"/>
  <c r="AS46" i="3"/>
  <c r="D4" i="1" l="1"/>
  <c r="D5" i="1" s="1"/>
  <c r="D6" i="1" s="1"/>
  <c r="D7" i="1" l="1"/>
  <c r="D8" i="1" s="1"/>
  <c r="D9" i="1" s="1"/>
  <c r="D10" i="1" s="1"/>
  <c r="D11" i="1" s="1"/>
  <c r="D12" i="1" s="1"/>
  <c r="D13" i="1" l="1"/>
  <c r="D14" i="1" s="1"/>
  <c r="D15" i="1" s="1"/>
  <c r="F28" i="1"/>
  <c r="A1" i="3" l="1"/>
  <c r="T1" i="3" s="1"/>
  <c r="G26" i="1"/>
  <c r="I1" i="5" s="1"/>
  <c r="I3" i="5" s="1"/>
  <c r="AW23" i="3" l="1"/>
  <c r="AW22" i="3"/>
  <c r="AW16" i="3"/>
  <c r="AW36" i="3"/>
  <c r="AW24" i="3"/>
  <c r="AW42" i="3"/>
  <c r="AW26" i="3"/>
  <c r="AW13" i="3"/>
  <c r="AW9" i="3"/>
  <c r="BE26" i="3"/>
  <c r="AW39" i="3"/>
  <c r="AW32" i="3"/>
  <c r="AW40" i="3"/>
  <c r="AW33" i="3"/>
  <c r="AW41" i="3"/>
  <c r="AW11" i="3"/>
  <c r="AW34" i="3"/>
  <c r="AW38" i="3"/>
  <c r="AW20" i="3"/>
  <c r="AW17" i="3"/>
  <c r="C20" i="7" s="1"/>
  <c r="AW15" i="3"/>
  <c r="AW27" i="3"/>
  <c r="AW10" i="3"/>
  <c r="AW14" i="3"/>
  <c r="AW31" i="3"/>
  <c r="AW12" i="3"/>
  <c r="AW35" i="3"/>
  <c r="AW30" i="3"/>
  <c r="AW28" i="3"/>
  <c r="AW29" i="3"/>
  <c r="AW21" i="3"/>
  <c r="AW8" i="3"/>
  <c r="AW19" i="3"/>
  <c r="AW25" i="3"/>
  <c r="AW37" i="3"/>
  <c r="AW7" i="3"/>
  <c r="AW18" i="3"/>
  <c r="BE40" i="3"/>
  <c r="BE28" i="3"/>
  <c r="BE16" i="3"/>
  <c r="BE39" i="3"/>
  <c r="BE27" i="3"/>
  <c r="BE15" i="3"/>
  <c r="BE38" i="3"/>
  <c r="BE14" i="3"/>
  <c r="BE37" i="3"/>
  <c r="BE25" i="3"/>
  <c r="BE13" i="3"/>
  <c r="BE24" i="3"/>
  <c r="BE12" i="3"/>
  <c r="BE11" i="3"/>
  <c r="BE35" i="3"/>
  <c r="BE23" i="3"/>
  <c r="BE19" i="3"/>
  <c r="BE34" i="3"/>
  <c r="BE10" i="3"/>
  <c r="BE8" i="3"/>
  <c r="BE21" i="3"/>
  <c r="BE9" i="3"/>
  <c r="BE41" i="3"/>
  <c r="BE32" i="3"/>
  <c r="BE20" i="3"/>
  <c r="BE43" i="3"/>
  <c r="BE31" i="3"/>
  <c r="BE17" i="3"/>
  <c r="BE30" i="3"/>
  <c r="BE18" i="3"/>
  <c r="BE29" i="3"/>
  <c r="AP7" i="3"/>
  <c r="D5" i="3"/>
  <c r="D7" i="3" s="1"/>
  <c r="E5" i="7"/>
  <c r="AO7" i="3"/>
  <c r="AP29" i="3"/>
  <c r="AP40" i="3"/>
  <c r="AP41" i="3"/>
  <c r="AO13" i="3"/>
  <c r="AP27" i="3"/>
  <c r="AO11" i="3"/>
  <c r="AP34" i="3"/>
  <c r="AP25" i="3"/>
  <c r="AP35" i="3"/>
  <c r="AO44" i="3"/>
  <c r="AP37" i="3"/>
  <c r="AO8" i="3"/>
  <c r="AO9" i="3"/>
  <c r="AO31" i="3"/>
  <c r="AP15" i="3"/>
  <c r="AO17" i="3"/>
  <c r="AP39" i="3"/>
  <c r="AO42" i="3"/>
  <c r="AP44" i="3"/>
  <c r="AP8" i="3"/>
  <c r="AP9" i="3"/>
  <c r="AP31" i="3"/>
  <c r="AO15" i="3"/>
  <c r="AO23" i="3"/>
  <c r="AP17" i="3"/>
  <c r="AO38" i="3"/>
  <c r="AP42" i="3"/>
  <c r="AO28" i="3"/>
  <c r="AO22" i="3"/>
  <c r="AO32" i="3"/>
  <c r="AP38" i="3"/>
  <c r="AO25" i="3"/>
  <c r="AO35" i="3"/>
  <c r="AO37" i="3"/>
  <c r="AP28" i="3"/>
  <c r="AP22" i="3"/>
  <c r="AP32" i="3"/>
  <c r="AP36" i="3"/>
  <c r="AO33" i="3"/>
  <c r="AO45" i="3"/>
  <c r="AP12" i="3"/>
  <c r="AO16" i="3"/>
  <c r="AO14" i="3"/>
  <c r="AO26" i="3"/>
  <c r="AO10" i="3"/>
  <c r="AP21" i="3"/>
  <c r="AO43" i="3"/>
  <c r="AP33" i="3"/>
  <c r="AP45" i="3"/>
  <c r="AO12" i="3"/>
  <c r="AP16" i="3"/>
  <c r="AP14" i="3"/>
  <c r="AP26" i="3"/>
  <c r="AO36" i="3"/>
  <c r="AO20" i="3"/>
  <c r="AP24" i="3"/>
  <c r="AO21" i="3"/>
  <c r="AP43" i="3"/>
  <c r="AO19" i="3"/>
  <c r="AP20" i="3"/>
  <c r="AO24" i="3"/>
  <c r="AP13" i="3"/>
  <c r="AP11" i="3"/>
  <c r="AO30" i="3"/>
  <c r="AP10" i="3"/>
  <c r="AP19" i="3"/>
  <c r="AO39" i="3"/>
  <c r="AO29" i="3"/>
  <c r="AO40" i="3"/>
  <c r="AO41" i="3"/>
  <c r="AP30" i="3"/>
  <c r="AO27" i="3"/>
  <c r="AP23" i="3"/>
  <c r="AO34" i="3"/>
  <c r="AO18" i="3"/>
  <c r="AP18" i="3"/>
  <c r="G45" i="5"/>
  <c r="F45" i="5"/>
  <c r="E30" i="5"/>
  <c r="G21" i="5"/>
  <c r="J21" i="5" s="1"/>
  <c r="G18" i="5"/>
  <c r="J18" i="5" s="1"/>
  <c r="F26" i="5"/>
  <c r="G28" i="5"/>
  <c r="J28" i="5" s="1"/>
  <c r="F30" i="5"/>
  <c r="E21" i="5"/>
  <c r="E18" i="5"/>
  <c r="F40" i="5"/>
  <c r="E39" i="5"/>
  <c r="E8" i="5"/>
  <c r="E19" i="5"/>
  <c r="E43" i="5"/>
  <c r="E29" i="5"/>
  <c r="F17" i="5"/>
  <c r="E14" i="5"/>
  <c r="G33" i="5"/>
  <c r="J33" i="5" s="1"/>
  <c r="E42" i="5"/>
  <c r="E34" i="5"/>
  <c r="F22" i="5"/>
  <c r="G14" i="5"/>
  <c r="J14" i="5" s="1"/>
  <c r="G29" i="5"/>
  <c r="J29" i="5" s="1"/>
  <c r="G41" i="5"/>
  <c r="J41" i="5" s="1"/>
  <c r="F34" i="5"/>
  <c r="E22" i="5"/>
  <c r="F14" i="5"/>
  <c r="E33" i="5"/>
  <c r="G31" i="5"/>
  <c r="J31" i="5" s="1"/>
  <c r="E36" i="5"/>
  <c r="G12" i="5"/>
  <c r="J12" i="5" s="1"/>
  <c r="F44" i="5"/>
  <c r="F9" i="5"/>
  <c r="F31" i="5"/>
  <c r="G36" i="5"/>
  <c r="J36" i="5" s="1"/>
  <c r="G9" i="5"/>
  <c r="J9" i="5" s="1"/>
  <c r="F13" i="5"/>
  <c r="E31" i="5"/>
  <c r="G35" i="5"/>
  <c r="J35" i="5" s="1"/>
  <c r="G32" i="5"/>
  <c r="J32" i="5" s="1"/>
  <c r="F27" i="5"/>
  <c r="G13" i="5"/>
  <c r="J13" i="5" s="1"/>
  <c r="G20" i="5"/>
  <c r="J20" i="5" s="1"/>
  <c r="G11" i="5"/>
  <c r="J11" i="5" s="1"/>
  <c r="F25" i="5"/>
  <c r="G15" i="5"/>
  <c r="J15" i="5" s="1"/>
  <c r="F24" i="5"/>
  <c r="G37" i="5"/>
  <c r="J37" i="5" s="1"/>
  <c r="E20" i="5"/>
  <c r="F11" i="5"/>
  <c r="G25" i="5"/>
  <c r="J25" i="5" s="1"/>
  <c r="E15" i="5"/>
  <c r="F23" i="5"/>
  <c r="E7" i="5"/>
  <c r="G10" i="5"/>
  <c r="J10" i="5" s="1"/>
  <c r="F15" i="5"/>
  <c r="E26" i="5"/>
  <c r="H26" i="5" s="1"/>
  <c r="F28" i="5"/>
  <c r="E45" i="5"/>
  <c r="H45" i="5" s="1"/>
  <c r="F7" i="5"/>
  <c r="G19" i="5"/>
  <c r="J19" i="5" s="1"/>
  <c r="G43" i="5"/>
  <c r="G40" i="5"/>
  <c r="J40" i="5" s="1"/>
  <c r="F39" i="5"/>
  <c r="G8" i="5"/>
  <c r="J8" i="5" s="1"/>
  <c r="F19" i="5"/>
  <c r="F43" i="5"/>
  <c r="E38" i="5"/>
  <c r="G26" i="5"/>
  <c r="J26" i="5" s="1"/>
  <c r="G30" i="5"/>
  <c r="J30" i="5" s="1"/>
  <c r="F38" i="5"/>
  <c r="F8" i="5"/>
  <c r="F29" i="5"/>
  <c r="E12" i="5"/>
  <c r="F33" i="5"/>
  <c r="F36" i="5"/>
  <c r="E44" i="5"/>
  <c r="H44" i="5" s="1"/>
  <c r="G42" i="5"/>
  <c r="J42" i="5" s="1"/>
  <c r="G34" i="5"/>
  <c r="J34" i="5" s="1"/>
  <c r="E16" i="5"/>
  <c r="F41" i="5"/>
  <c r="E24" i="5"/>
  <c r="H24" i="5" s="1"/>
  <c r="E11" i="5"/>
  <c r="G16" i="5"/>
  <c r="J16" i="5" s="1"/>
  <c r="F37" i="5"/>
  <c r="F35" i="5"/>
  <c r="G27" i="5"/>
  <c r="J27" i="5" s="1"/>
  <c r="G7" i="5"/>
  <c r="J7" i="5" s="1"/>
  <c r="E35" i="5"/>
  <c r="E27" i="5"/>
  <c r="H27" i="5" s="1"/>
  <c r="K27" i="5" s="1"/>
  <c r="AM27" i="3" s="1"/>
  <c r="F20" i="5"/>
  <c r="E40" i="5"/>
  <c r="H40" i="5" s="1"/>
  <c r="K40" i="5" s="1"/>
  <c r="AM40" i="3" s="1"/>
  <c r="E17" i="5"/>
  <c r="H17" i="5" s="1"/>
  <c r="F21" i="5"/>
  <c r="G39" i="5"/>
  <c r="J39" i="5" s="1"/>
  <c r="G38" i="5"/>
  <c r="J38" i="5" s="1"/>
  <c r="G17" i="5"/>
  <c r="J17" i="5" s="1"/>
  <c r="G44" i="5"/>
  <c r="F42" i="5"/>
  <c r="F12" i="5"/>
  <c r="E9" i="5"/>
  <c r="E41" i="5"/>
  <c r="H41" i="5" s="1"/>
  <c r="K41" i="5" s="1"/>
  <c r="AM41" i="3" s="1"/>
  <c r="G22" i="5"/>
  <c r="J22" i="5" s="1"/>
  <c r="E13" i="5"/>
  <c r="F16" i="5"/>
  <c r="E37" i="5"/>
  <c r="H37" i="5" s="1"/>
  <c r="K37" i="5" s="1"/>
  <c r="AM37" i="3" s="1"/>
  <c r="E25" i="5"/>
  <c r="G24" i="5"/>
  <c r="J24" i="5" s="1"/>
  <c r="E10" i="5"/>
  <c r="E32" i="5"/>
  <c r="G23" i="5"/>
  <c r="J23" i="5" s="1"/>
  <c r="F10" i="5"/>
  <c r="F32" i="5"/>
  <c r="E28" i="5"/>
  <c r="H28" i="5" s="1"/>
  <c r="K28" i="5" s="1"/>
  <c r="AM28" i="3" s="1"/>
  <c r="F18" i="5"/>
  <c r="E23" i="5"/>
  <c r="E5" i="3"/>
  <c r="D6" i="3"/>
  <c r="E20" i="7" l="1"/>
  <c r="K24" i="5"/>
  <c r="K26" i="5"/>
  <c r="AM26" i="3" s="1"/>
  <c r="H23" i="5"/>
  <c r="H13" i="5"/>
  <c r="D100" i="3"/>
  <c r="D98" i="3"/>
  <c r="D96" i="3"/>
  <c r="D94" i="3"/>
  <c r="D92" i="3"/>
  <c r="D90" i="3"/>
  <c r="D88" i="3"/>
  <c r="D86" i="3"/>
  <c r="D84" i="3"/>
  <c r="D82" i="3"/>
  <c r="D80" i="3"/>
  <c r="D78" i="3"/>
  <c r="D76" i="3"/>
  <c r="D74" i="3"/>
  <c r="D72" i="3"/>
  <c r="D70" i="3"/>
  <c r="D68" i="3"/>
  <c r="D66" i="3"/>
  <c r="D64" i="3"/>
  <c r="D62" i="3"/>
  <c r="D60" i="3"/>
  <c r="D58" i="3"/>
  <c r="D56" i="3"/>
  <c r="D54" i="3"/>
  <c r="D52" i="3"/>
  <c r="D50" i="3"/>
  <c r="D48" i="3"/>
  <c r="D46" i="3"/>
  <c r="D44" i="3"/>
  <c r="D42" i="3"/>
  <c r="D40" i="3"/>
  <c r="D38" i="3"/>
  <c r="D36" i="3"/>
  <c r="D33" i="3"/>
  <c r="D31" i="3"/>
  <c r="D29" i="3"/>
  <c r="D27" i="3"/>
  <c r="D25" i="3"/>
  <c r="D23" i="3"/>
  <c r="D11" i="3"/>
  <c r="D99" i="3"/>
  <c r="D95" i="3"/>
  <c r="D91" i="3"/>
  <c r="D87" i="3"/>
  <c r="D83" i="3"/>
  <c r="D79" i="3"/>
  <c r="D75" i="3"/>
  <c r="D71" i="3"/>
  <c r="D67" i="3"/>
  <c r="D63" i="3"/>
  <c r="D59" i="3"/>
  <c r="D55" i="3"/>
  <c r="D51" i="3"/>
  <c r="D47" i="3"/>
  <c r="D43" i="3"/>
  <c r="D39" i="3"/>
  <c r="D34" i="3"/>
  <c r="D30" i="3"/>
  <c r="D26" i="3"/>
  <c r="D21" i="3"/>
  <c r="D93" i="3"/>
  <c r="D85" i="3"/>
  <c r="D77" i="3"/>
  <c r="D69" i="3"/>
  <c r="D61" i="3"/>
  <c r="D53" i="3"/>
  <c r="D45" i="3"/>
  <c r="D37" i="3"/>
  <c r="D28" i="3"/>
  <c r="D8" i="3"/>
  <c r="D97" i="3"/>
  <c r="D89" i="3"/>
  <c r="D81" i="3"/>
  <c r="D73" i="3"/>
  <c r="D65" i="3"/>
  <c r="D57" i="3"/>
  <c r="D49" i="3"/>
  <c r="D41" i="3"/>
  <c r="D32" i="3"/>
  <c r="D24" i="3"/>
  <c r="D22" i="3"/>
  <c r="D18" i="3"/>
  <c r="D14" i="3"/>
  <c r="D10" i="3"/>
  <c r="D13" i="3"/>
  <c r="D35" i="3"/>
  <c r="D15" i="3"/>
  <c r="D20" i="3"/>
  <c r="D12" i="3"/>
  <c r="D17" i="3"/>
  <c r="D16" i="3"/>
  <c r="D19" i="3"/>
  <c r="D9" i="3"/>
  <c r="E100" i="3"/>
  <c r="E98" i="3"/>
  <c r="E96" i="3"/>
  <c r="E94" i="3"/>
  <c r="E92" i="3"/>
  <c r="E90" i="3"/>
  <c r="E88" i="3"/>
  <c r="E86" i="3"/>
  <c r="E84" i="3"/>
  <c r="E99" i="3"/>
  <c r="E95" i="3"/>
  <c r="E91" i="3"/>
  <c r="E87" i="3"/>
  <c r="E83" i="3"/>
  <c r="E81" i="3"/>
  <c r="E79" i="3"/>
  <c r="E77" i="3"/>
  <c r="E75" i="3"/>
  <c r="E73" i="3"/>
  <c r="E71" i="3"/>
  <c r="E69" i="3"/>
  <c r="E67" i="3"/>
  <c r="E65" i="3"/>
  <c r="E63" i="3"/>
  <c r="E61" i="3"/>
  <c r="E59" i="3"/>
  <c r="E57" i="3"/>
  <c r="E55" i="3"/>
  <c r="E53" i="3"/>
  <c r="E51" i="3"/>
  <c r="E49" i="3"/>
  <c r="E47" i="3"/>
  <c r="E45" i="3"/>
  <c r="E43" i="3"/>
  <c r="E40" i="3"/>
  <c r="E39" i="3"/>
  <c r="E38" i="3"/>
  <c r="E36" i="3"/>
  <c r="E34" i="3"/>
  <c r="E32" i="3"/>
  <c r="E93" i="3"/>
  <c r="E85" i="3"/>
  <c r="E82" i="3"/>
  <c r="E78" i="3"/>
  <c r="E74" i="3"/>
  <c r="E70" i="3"/>
  <c r="E66" i="3"/>
  <c r="E62" i="3"/>
  <c r="E58" i="3"/>
  <c r="E54" i="3"/>
  <c r="E50" i="3"/>
  <c r="E46" i="3"/>
  <c r="E37" i="3"/>
  <c r="E31" i="3"/>
  <c r="E29" i="3"/>
  <c r="E27" i="3"/>
  <c r="E26" i="3"/>
  <c r="E25" i="3"/>
  <c r="E11" i="3"/>
  <c r="E97" i="3"/>
  <c r="E89" i="3"/>
  <c r="E80" i="3"/>
  <c r="E76" i="3"/>
  <c r="E72" i="3"/>
  <c r="E68" i="3"/>
  <c r="E64" i="3"/>
  <c r="E60" i="3"/>
  <c r="E56" i="3"/>
  <c r="E52" i="3"/>
  <c r="E48" i="3"/>
  <c r="E44" i="3"/>
  <c r="E42" i="3"/>
  <c r="E41" i="3"/>
  <c r="E33" i="3"/>
  <c r="E30" i="3"/>
  <c r="E28" i="3"/>
  <c r="E24" i="3"/>
  <c r="E22" i="3"/>
  <c r="E20" i="3"/>
  <c r="E18" i="3"/>
  <c r="E16" i="3"/>
  <c r="E14" i="3"/>
  <c r="E12" i="3"/>
  <c r="E9" i="3"/>
  <c r="E35" i="3"/>
  <c r="E23" i="3"/>
  <c r="E21" i="3"/>
  <c r="E19" i="3"/>
  <c r="E17" i="3"/>
  <c r="E15" i="3"/>
  <c r="E13" i="3"/>
  <c r="E10" i="3"/>
  <c r="E8" i="3"/>
  <c r="E7" i="3"/>
  <c r="H3" i="11"/>
  <c r="H11" i="5"/>
  <c r="K11" i="5" s="1"/>
  <c r="H9" i="5"/>
  <c r="K9" i="5" s="1"/>
  <c r="H22" i="5"/>
  <c r="K22" i="5" s="1"/>
  <c r="H25" i="5"/>
  <c r="H31" i="5"/>
  <c r="K31" i="5" s="1"/>
  <c r="AM31" i="3" s="1"/>
  <c r="H35" i="5"/>
  <c r="K35" i="5" s="1"/>
  <c r="AM35" i="3" s="1"/>
  <c r="H32" i="5"/>
  <c r="K32" i="5" s="1"/>
  <c r="AM32" i="3" s="1"/>
  <c r="L37" i="5"/>
  <c r="H16" i="5"/>
  <c r="K16" i="5" s="1"/>
  <c r="H12" i="5"/>
  <c r="K12" i="5" s="1"/>
  <c r="H38" i="5"/>
  <c r="K38" i="5" s="1"/>
  <c r="AM38" i="3" s="1"/>
  <c r="H7" i="5"/>
  <c r="K7" i="5" s="1"/>
  <c r="H15" i="5"/>
  <c r="K15" i="5" s="1"/>
  <c r="H36" i="5"/>
  <c r="K36" i="5" s="1"/>
  <c r="AM36" i="3" s="1"/>
  <c r="H33" i="5"/>
  <c r="K33" i="5" s="1"/>
  <c r="AM33" i="3" s="1"/>
  <c r="H34" i="5"/>
  <c r="K34" i="5" s="1"/>
  <c r="AM34" i="3" s="1"/>
  <c r="H43" i="5"/>
  <c r="H8" i="5"/>
  <c r="K8" i="5" s="1"/>
  <c r="H21" i="5"/>
  <c r="K21" i="5" s="1"/>
  <c r="H30" i="5"/>
  <c r="K30" i="5" s="1"/>
  <c r="AM30" i="3" s="1"/>
  <c r="H10" i="5"/>
  <c r="K10" i="5" s="1"/>
  <c r="L45" i="5"/>
  <c r="H20" i="5"/>
  <c r="K20" i="5" s="1"/>
  <c r="H42" i="5"/>
  <c r="K42" i="5" s="1"/>
  <c r="AM42" i="3" s="1"/>
  <c r="H14" i="5"/>
  <c r="K14" i="5" s="1"/>
  <c r="H29" i="5"/>
  <c r="K29" i="5" s="1"/>
  <c r="AM29" i="3" s="1"/>
  <c r="H19" i="5"/>
  <c r="K19" i="5" s="1"/>
  <c r="H39" i="5"/>
  <c r="K39" i="5" s="1"/>
  <c r="AM39" i="3" s="1"/>
  <c r="H18" i="5"/>
  <c r="K18" i="5" s="1"/>
  <c r="F5" i="3"/>
  <c r="E6" i="3"/>
  <c r="K13" i="5" l="1"/>
  <c r="L13" i="5" s="1"/>
  <c r="F99" i="3"/>
  <c r="F97" i="3"/>
  <c r="F95" i="3"/>
  <c r="F93" i="3"/>
  <c r="F91" i="3"/>
  <c r="F89" i="3"/>
  <c r="F87" i="3"/>
  <c r="F85" i="3"/>
  <c r="F98" i="3"/>
  <c r="F94" i="3"/>
  <c r="F90" i="3"/>
  <c r="F86" i="3"/>
  <c r="F82" i="3"/>
  <c r="F80" i="3"/>
  <c r="F78" i="3"/>
  <c r="F76" i="3"/>
  <c r="F74" i="3"/>
  <c r="F72" i="3"/>
  <c r="F70" i="3"/>
  <c r="F68" i="3"/>
  <c r="F66" i="3"/>
  <c r="F64" i="3"/>
  <c r="F62" i="3"/>
  <c r="F60" i="3"/>
  <c r="F58" i="3"/>
  <c r="F56" i="3"/>
  <c r="F54" i="3"/>
  <c r="F52" i="3"/>
  <c r="F50" i="3"/>
  <c r="F48" i="3"/>
  <c r="F46" i="3"/>
  <c r="F44" i="3"/>
  <c r="F42" i="3"/>
  <c r="F41" i="3"/>
  <c r="F37" i="3"/>
  <c r="F33" i="3"/>
  <c r="F96" i="3"/>
  <c r="F88" i="3"/>
  <c r="F81" i="3"/>
  <c r="F77" i="3"/>
  <c r="F73" i="3"/>
  <c r="F69" i="3"/>
  <c r="F65" i="3"/>
  <c r="F61" i="3"/>
  <c r="F57" i="3"/>
  <c r="F53" i="3"/>
  <c r="F49" i="3"/>
  <c r="F45" i="3"/>
  <c r="F39" i="3"/>
  <c r="F38" i="3"/>
  <c r="F36" i="3"/>
  <c r="F34" i="3"/>
  <c r="F32" i="3"/>
  <c r="F30" i="3"/>
  <c r="F28" i="3"/>
  <c r="F100" i="3"/>
  <c r="F92" i="3"/>
  <c r="F84" i="3"/>
  <c r="F83" i="3"/>
  <c r="F79" i="3"/>
  <c r="F75" i="3"/>
  <c r="F71" i="3"/>
  <c r="F67" i="3"/>
  <c r="F63" i="3"/>
  <c r="F59" i="3"/>
  <c r="F55" i="3"/>
  <c r="F51" i="3"/>
  <c r="F47" i="3"/>
  <c r="F40" i="3"/>
  <c r="F31" i="3"/>
  <c r="F27" i="3"/>
  <c r="F26" i="3"/>
  <c r="F25" i="3"/>
  <c r="F11" i="3"/>
  <c r="F43" i="3"/>
  <c r="F35" i="3"/>
  <c r="F23" i="3"/>
  <c r="F21" i="3"/>
  <c r="F19" i="3"/>
  <c r="F17" i="3"/>
  <c r="F15" i="3"/>
  <c r="F12" i="3"/>
  <c r="F9" i="3"/>
  <c r="F7" i="3"/>
  <c r="F29" i="3"/>
  <c r="F24" i="3"/>
  <c r="F22" i="3"/>
  <c r="F20" i="3"/>
  <c r="F18" i="3"/>
  <c r="F16" i="3"/>
  <c r="F14" i="3"/>
  <c r="F13" i="3"/>
  <c r="F10" i="3"/>
  <c r="F8" i="3"/>
  <c r="AM19" i="3"/>
  <c r="L19" i="5"/>
  <c r="AM14" i="3"/>
  <c r="L14" i="5"/>
  <c r="AM21" i="3"/>
  <c r="L21" i="5"/>
  <c r="AM8" i="3"/>
  <c r="L8" i="5"/>
  <c r="AM12" i="3"/>
  <c r="L12" i="5"/>
  <c r="AM16" i="3"/>
  <c r="L16" i="5"/>
  <c r="AM25" i="3"/>
  <c r="L25" i="5"/>
  <c r="AM11" i="3"/>
  <c r="L11" i="5"/>
  <c r="L22" i="5"/>
  <c r="L7" i="5"/>
  <c r="L20" i="5"/>
  <c r="L44" i="5"/>
  <c r="L27" i="5"/>
  <c r="L28" i="5"/>
  <c r="L40" i="5"/>
  <c r="L35" i="5"/>
  <c r="L41" i="5"/>
  <c r="L31" i="5"/>
  <c r="L26" i="5"/>
  <c r="G5" i="3"/>
  <c r="F6" i="3"/>
  <c r="AM13" i="3" l="1"/>
  <c r="G100" i="3"/>
  <c r="G98" i="3"/>
  <c r="G96" i="3"/>
  <c r="G94" i="3"/>
  <c r="G92" i="3"/>
  <c r="G90" i="3"/>
  <c r="G88" i="3"/>
  <c r="G86" i="3"/>
  <c r="G84" i="3"/>
  <c r="G97" i="3"/>
  <c r="G93" i="3"/>
  <c r="G89" i="3"/>
  <c r="G85" i="3"/>
  <c r="G83" i="3"/>
  <c r="G81" i="3"/>
  <c r="G79" i="3"/>
  <c r="G77" i="3"/>
  <c r="G75" i="3"/>
  <c r="G73" i="3"/>
  <c r="G71" i="3"/>
  <c r="G69" i="3"/>
  <c r="G67" i="3"/>
  <c r="G65" i="3"/>
  <c r="G63" i="3"/>
  <c r="G61" i="3"/>
  <c r="G59" i="3"/>
  <c r="G57" i="3"/>
  <c r="G55" i="3"/>
  <c r="G53" i="3"/>
  <c r="G51" i="3"/>
  <c r="G49" i="3"/>
  <c r="G47" i="3"/>
  <c r="G45" i="3"/>
  <c r="G40" i="3"/>
  <c r="G38" i="3"/>
  <c r="G36" i="3"/>
  <c r="G34" i="3"/>
  <c r="G32" i="3"/>
  <c r="G99" i="3"/>
  <c r="G91" i="3"/>
  <c r="G80" i="3"/>
  <c r="G76" i="3"/>
  <c r="G72" i="3"/>
  <c r="G68" i="3"/>
  <c r="G64" i="3"/>
  <c r="G60" i="3"/>
  <c r="G56" i="3"/>
  <c r="G52" i="3"/>
  <c r="G48" i="3"/>
  <c r="G44" i="3"/>
  <c r="G42" i="3"/>
  <c r="G41" i="3"/>
  <c r="G33" i="3"/>
  <c r="G31" i="3"/>
  <c r="G27" i="3"/>
  <c r="G26" i="3"/>
  <c r="G95" i="3"/>
  <c r="G87" i="3"/>
  <c r="G82" i="3"/>
  <c r="G78" i="3"/>
  <c r="G74" i="3"/>
  <c r="G70" i="3"/>
  <c r="G66" i="3"/>
  <c r="G62" i="3"/>
  <c r="G58" i="3"/>
  <c r="G54" i="3"/>
  <c r="G50" i="3"/>
  <c r="G46" i="3"/>
  <c r="G37" i="3"/>
  <c r="G30" i="3"/>
  <c r="G28" i="3"/>
  <c r="G35" i="3"/>
  <c r="G29" i="3"/>
  <c r="G23" i="3"/>
  <c r="G21" i="3"/>
  <c r="G19" i="3"/>
  <c r="G17" i="3"/>
  <c r="G15" i="3"/>
  <c r="G13" i="3"/>
  <c r="G11" i="3"/>
  <c r="G10" i="3"/>
  <c r="G8" i="3"/>
  <c r="G43" i="3"/>
  <c r="G39" i="3"/>
  <c r="G25" i="3"/>
  <c r="G24" i="3"/>
  <c r="G22" i="3"/>
  <c r="G20" i="3"/>
  <c r="G18" i="3"/>
  <c r="G16" i="3"/>
  <c r="G14" i="3"/>
  <c r="G12" i="3"/>
  <c r="G7" i="3"/>
  <c r="G9" i="3"/>
  <c r="AM9" i="3"/>
  <c r="L9" i="5"/>
  <c r="AM10" i="3"/>
  <c r="L10" i="5"/>
  <c r="AM20" i="3"/>
  <c r="AM7" i="3"/>
  <c r="AM22" i="3"/>
  <c r="L33" i="5"/>
  <c r="L42" i="5"/>
  <c r="L39" i="5"/>
  <c r="L36" i="5"/>
  <c r="L34" i="5"/>
  <c r="L30" i="5"/>
  <c r="L29" i="5"/>
  <c r="L32" i="5"/>
  <c r="L38" i="5"/>
  <c r="L43" i="5"/>
  <c r="H5" i="3"/>
  <c r="G6" i="3"/>
  <c r="H99" i="3" l="1"/>
  <c r="H97" i="3"/>
  <c r="H95" i="3"/>
  <c r="H93" i="3"/>
  <c r="H91" i="3"/>
  <c r="H89" i="3"/>
  <c r="H87" i="3"/>
  <c r="H85" i="3"/>
  <c r="H100" i="3"/>
  <c r="H96" i="3"/>
  <c r="H92" i="3"/>
  <c r="H88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H48" i="3"/>
  <c r="H46" i="3"/>
  <c r="H44" i="3"/>
  <c r="H42" i="3"/>
  <c r="H41" i="3"/>
  <c r="H37" i="3"/>
  <c r="H33" i="3"/>
  <c r="H94" i="3"/>
  <c r="H86" i="3"/>
  <c r="H83" i="3"/>
  <c r="H79" i="3"/>
  <c r="H75" i="3"/>
  <c r="H71" i="3"/>
  <c r="H67" i="3"/>
  <c r="H63" i="3"/>
  <c r="H59" i="3"/>
  <c r="H55" i="3"/>
  <c r="H51" i="3"/>
  <c r="H47" i="3"/>
  <c r="H40" i="3"/>
  <c r="H30" i="3"/>
  <c r="H28" i="3"/>
  <c r="H98" i="3"/>
  <c r="H90" i="3"/>
  <c r="H81" i="3"/>
  <c r="H77" i="3"/>
  <c r="H73" i="3"/>
  <c r="H69" i="3"/>
  <c r="H65" i="3"/>
  <c r="H61" i="3"/>
  <c r="H57" i="3"/>
  <c r="H53" i="3"/>
  <c r="H49" i="3"/>
  <c r="H45" i="3"/>
  <c r="H38" i="3"/>
  <c r="H36" i="3"/>
  <c r="H34" i="3"/>
  <c r="H31" i="3"/>
  <c r="H27" i="3"/>
  <c r="H26" i="3"/>
  <c r="H39" i="3"/>
  <c r="H32" i="3"/>
  <c r="H29" i="3"/>
  <c r="H25" i="3"/>
  <c r="H24" i="3"/>
  <c r="H22" i="3"/>
  <c r="H20" i="3"/>
  <c r="H18" i="3"/>
  <c r="H16" i="3"/>
  <c r="H14" i="3"/>
  <c r="H13" i="3"/>
  <c r="H11" i="3"/>
  <c r="H10" i="3"/>
  <c r="H8" i="3"/>
  <c r="H43" i="3"/>
  <c r="H35" i="3"/>
  <c r="H23" i="3"/>
  <c r="H21" i="3"/>
  <c r="H19" i="3"/>
  <c r="H17" i="3"/>
  <c r="H15" i="3"/>
  <c r="H7" i="3"/>
  <c r="H12" i="3"/>
  <c r="H9" i="3"/>
  <c r="I5" i="3"/>
  <c r="H6" i="3"/>
  <c r="I100" i="3" l="1"/>
  <c r="I98" i="3"/>
  <c r="I96" i="3"/>
  <c r="I94" i="3"/>
  <c r="I92" i="3"/>
  <c r="I90" i="3"/>
  <c r="I88" i="3"/>
  <c r="I86" i="3"/>
  <c r="I84" i="3"/>
  <c r="I99" i="3"/>
  <c r="I95" i="3"/>
  <c r="I91" i="3"/>
  <c r="I87" i="3"/>
  <c r="I83" i="3"/>
  <c r="I81" i="3"/>
  <c r="I79" i="3"/>
  <c r="I77" i="3"/>
  <c r="I75" i="3"/>
  <c r="I73" i="3"/>
  <c r="I71" i="3"/>
  <c r="I69" i="3"/>
  <c r="I67" i="3"/>
  <c r="I65" i="3"/>
  <c r="I63" i="3"/>
  <c r="I61" i="3"/>
  <c r="I59" i="3"/>
  <c r="I57" i="3"/>
  <c r="I55" i="3"/>
  <c r="I53" i="3"/>
  <c r="I51" i="3"/>
  <c r="I49" i="3"/>
  <c r="I47" i="3"/>
  <c r="I45" i="3"/>
  <c r="I40" i="3"/>
  <c r="I36" i="3"/>
  <c r="I31" i="3"/>
  <c r="I97" i="3"/>
  <c r="I89" i="3"/>
  <c r="I82" i="3"/>
  <c r="I78" i="3"/>
  <c r="I74" i="3"/>
  <c r="I70" i="3"/>
  <c r="I66" i="3"/>
  <c r="I62" i="3"/>
  <c r="I58" i="3"/>
  <c r="I54" i="3"/>
  <c r="I50" i="3"/>
  <c r="I46" i="3"/>
  <c r="I37" i="3"/>
  <c r="I27" i="3"/>
  <c r="I26" i="3"/>
  <c r="I93" i="3"/>
  <c r="I85" i="3"/>
  <c r="I80" i="3"/>
  <c r="I76" i="3"/>
  <c r="I72" i="3"/>
  <c r="I68" i="3"/>
  <c r="I64" i="3"/>
  <c r="I60" i="3"/>
  <c r="I56" i="3"/>
  <c r="I52" i="3"/>
  <c r="I48" i="3"/>
  <c r="I44" i="3"/>
  <c r="I42" i="3"/>
  <c r="I41" i="3"/>
  <c r="I33" i="3"/>
  <c r="I30" i="3"/>
  <c r="I28" i="3"/>
  <c r="I43" i="3"/>
  <c r="I39" i="3"/>
  <c r="I34" i="3"/>
  <c r="I25" i="3"/>
  <c r="I24" i="3"/>
  <c r="I22" i="3"/>
  <c r="I20" i="3"/>
  <c r="I18" i="3"/>
  <c r="I16" i="3"/>
  <c r="I14" i="3"/>
  <c r="I12" i="3"/>
  <c r="I9" i="3"/>
  <c r="I7" i="3"/>
  <c r="I38" i="3"/>
  <c r="I35" i="3"/>
  <c r="I32" i="3"/>
  <c r="I29" i="3"/>
  <c r="I23" i="3"/>
  <c r="I21" i="3"/>
  <c r="I19" i="3"/>
  <c r="I17" i="3"/>
  <c r="I15" i="3"/>
  <c r="I13" i="3"/>
  <c r="I11" i="3"/>
  <c r="I8" i="3"/>
  <c r="I10" i="3"/>
  <c r="J5" i="3"/>
  <c r="I6" i="3"/>
  <c r="J42" i="3" l="1"/>
  <c r="J41" i="3"/>
  <c r="J37" i="3"/>
  <c r="J31" i="3"/>
  <c r="J28" i="3"/>
  <c r="J26" i="3"/>
  <c r="J100" i="3"/>
  <c r="J98" i="3"/>
  <c r="J96" i="3"/>
  <c r="J89" i="3"/>
  <c r="J87" i="3"/>
  <c r="J85" i="3"/>
  <c r="J83" i="3"/>
  <c r="J94" i="3"/>
  <c r="J92" i="3"/>
  <c r="J99" i="3"/>
  <c r="J95" i="3"/>
  <c r="J90" i="3"/>
  <c r="J86" i="3"/>
  <c r="J82" i="3"/>
  <c r="J93" i="3"/>
  <c r="J80" i="3"/>
  <c r="J78" i="3"/>
  <c r="J76" i="3"/>
  <c r="J74" i="3"/>
  <c r="J72" i="3"/>
  <c r="J70" i="3"/>
  <c r="J68" i="3"/>
  <c r="J66" i="3"/>
  <c r="J64" i="3"/>
  <c r="J62" i="3"/>
  <c r="J60" i="3"/>
  <c r="J59" i="3"/>
  <c r="J57" i="3"/>
  <c r="J55" i="3"/>
  <c r="J53" i="3"/>
  <c r="J51" i="3"/>
  <c r="J49" i="3"/>
  <c r="J47" i="3"/>
  <c r="J45" i="3"/>
  <c r="J43" i="3"/>
  <c r="J40" i="3"/>
  <c r="J35" i="3"/>
  <c r="J33" i="3"/>
  <c r="J30" i="3"/>
  <c r="J97" i="3"/>
  <c r="J88" i="3"/>
  <c r="J91" i="3"/>
  <c r="J79" i="3"/>
  <c r="J75" i="3"/>
  <c r="J71" i="3"/>
  <c r="J67" i="3"/>
  <c r="J63" i="3"/>
  <c r="J56" i="3"/>
  <c r="J52" i="3"/>
  <c r="J48" i="3"/>
  <c r="J44" i="3"/>
  <c r="J39" i="3"/>
  <c r="J36" i="3"/>
  <c r="J34" i="3"/>
  <c r="J27" i="3"/>
  <c r="J23" i="3"/>
  <c r="J21" i="3"/>
  <c r="J19" i="3"/>
  <c r="J17" i="3"/>
  <c r="J15" i="3"/>
  <c r="J13" i="3"/>
  <c r="J12" i="3"/>
  <c r="J9" i="3"/>
  <c r="J7" i="3"/>
  <c r="J84" i="3"/>
  <c r="J81" i="3"/>
  <c r="J77" i="3"/>
  <c r="J73" i="3"/>
  <c r="J69" i="3"/>
  <c r="J65" i="3"/>
  <c r="J61" i="3"/>
  <c r="J58" i="3"/>
  <c r="J54" i="3"/>
  <c r="J50" i="3"/>
  <c r="J46" i="3"/>
  <c r="J38" i="3"/>
  <c r="J32" i="3"/>
  <c r="J29" i="3"/>
  <c r="J25" i="3"/>
  <c r="J24" i="3"/>
  <c r="J22" i="3"/>
  <c r="J20" i="3"/>
  <c r="J18" i="3"/>
  <c r="J16" i="3"/>
  <c r="J14" i="3"/>
  <c r="J11" i="3"/>
  <c r="J8" i="3"/>
  <c r="J10" i="3"/>
  <c r="K5" i="3"/>
  <c r="J6" i="3"/>
  <c r="K31" i="3" l="1"/>
  <c r="K42" i="3"/>
  <c r="K41" i="3"/>
  <c r="K37" i="3"/>
  <c r="K28" i="3"/>
  <c r="K100" i="3"/>
  <c r="K99" i="3"/>
  <c r="K98" i="3"/>
  <c r="K97" i="3"/>
  <c r="K96" i="3"/>
  <c r="K95" i="3"/>
  <c r="K94" i="3"/>
  <c r="K93" i="3"/>
  <c r="K92" i="3"/>
  <c r="K91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3" i="3"/>
  <c r="K61" i="3"/>
  <c r="K64" i="3"/>
  <c r="K62" i="3"/>
  <c r="K60" i="3"/>
  <c r="K38" i="3"/>
  <c r="K89" i="3"/>
  <c r="K87" i="3"/>
  <c r="K85" i="3"/>
  <c r="K83" i="3"/>
  <c r="K81" i="3"/>
  <c r="K79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0" i="3"/>
  <c r="K39" i="3"/>
  <c r="K36" i="3"/>
  <c r="K35" i="3"/>
  <c r="K33" i="3"/>
  <c r="K32" i="3"/>
  <c r="K30" i="3"/>
  <c r="K29" i="3"/>
  <c r="K23" i="3"/>
  <c r="K21" i="3"/>
  <c r="K19" i="3"/>
  <c r="K17" i="3"/>
  <c r="K15" i="3"/>
  <c r="K11" i="3"/>
  <c r="K10" i="3"/>
  <c r="K8" i="3"/>
  <c r="K90" i="3"/>
  <c r="K88" i="3"/>
  <c r="K86" i="3"/>
  <c r="K84" i="3"/>
  <c r="K82" i="3"/>
  <c r="K80" i="3"/>
  <c r="K34" i="3"/>
  <c r="K27" i="3"/>
  <c r="K26" i="3"/>
  <c r="K25" i="3"/>
  <c r="K24" i="3"/>
  <c r="K22" i="3"/>
  <c r="K20" i="3"/>
  <c r="K18" i="3"/>
  <c r="K16" i="3"/>
  <c r="K14" i="3"/>
  <c r="K12" i="3"/>
  <c r="K9" i="3"/>
  <c r="K7" i="3"/>
  <c r="K13" i="3"/>
  <c r="L5" i="3"/>
  <c r="K6" i="3"/>
  <c r="L41" i="3" l="1"/>
  <c r="L31" i="3"/>
  <c r="L100" i="3"/>
  <c r="L99" i="3"/>
  <c r="L98" i="3"/>
  <c r="L97" i="3"/>
  <c r="L96" i="3"/>
  <c r="L95" i="3"/>
  <c r="L90" i="3"/>
  <c r="L88" i="3"/>
  <c r="L86" i="3"/>
  <c r="L84" i="3"/>
  <c r="L82" i="3"/>
  <c r="L93" i="3"/>
  <c r="L91" i="3"/>
  <c r="L89" i="3"/>
  <c r="L85" i="3"/>
  <c r="L81" i="3"/>
  <c r="L79" i="3"/>
  <c r="L77" i="3"/>
  <c r="L75" i="3"/>
  <c r="L73" i="3"/>
  <c r="L71" i="3"/>
  <c r="L69" i="3"/>
  <c r="L67" i="3"/>
  <c r="L65" i="3"/>
  <c r="L63" i="3"/>
  <c r="L61" i="3"/>
  <c r="L58" i="3"/>
  <c r="L56" i="3"/>
  <c r="L54" i="3"/>
  <c r="L52" i="3"/>
  <c r="L50" i="3"/>
  <c r="L48" i="3"/>
  <c r="L46" i="3"/>
  <c r="L44" i="3"/>
  <c r="L42" i="3"/>
  <c r="L39" i="3"/>
  <c r="L38" i="3"/>
  <c r="L34" i="3"/>
  <c r="L32" i="3"/>
  <c r="L94" i="3"/>
  <c r="L83" i="3"/>
  <c r="L80" i="3"/>
  <c r="L78" i="3"/>
  <c r="L74" i="3"/>
  <c r="L70" i="3"/>
  <c r="L66" i="3"/>
  <c r="L62" i="3"/>
  <c r="L59" i="3"/>
  <c r="L55" i="3"/>
  <c r="L51" i="3"/>
  <c r="L47" i="3"/>
  <c r="L43" i="3"/>
  <c r="L35" i="3"/>
  <c r="L33" i="3"/>
  <c r="L29" i="3"/>
  <c r="L26" i="3"/>
  <c r="L25" i="3"/>
  <c r="L24" i="3"/>
  <c r="L22" i="3"/>
  <c r="L20" i="3"/>
  <c r="L18" i="3"/>
  <c r="L16" i="3"/>
  <c r="L14" i="3"/>
  <c r="L11" i="3"/>
  <c r="L10" i="3"/>
  <c r="L8" i="3"/>
  <c r="L92" i="3"/>
  <c r="L87" i="3"/>
  <c r="L76" i="3"/>
  <c r="L72" i="3"/>
  <c r="L68" i="3"/>
  <c r="L64" i="3"/>
  <c r="L60" i="3"/>
  <c r="L57" i="3"/>
  <c r="L53" i="3"/>
  <c r="L49" i="3"/>
  <c r="L45" i="3"/>
  <c r="L40" i="3"/>
  <c r="L37" i="3"/>
  <c r="L36" i="3"/>
  <c r="L30" i="3"/>
  <c r="L28" i="3"/>
  <c r="L27" i="3"/>
  <c r="L23" i="3"/>
  <c r="L21" i="3"/>
  <c r="L19" i="3"/>
  <c r="L17" i="3"/>
  <c r="L15" i="3"/>
  <c r="L13" i="3"/>
  <c r="L12" i="3"/>
  <c r="L9" i="3"/>
  <c r="L7" i="3"/>
  <c r="M5" i="3"/>
  <c r="L6" i="3"/>
  <c r="M94" i="3" l="1"/>
  <c r="M93" i="3"/>
  <c r="M92" i="3"/>
  <c r="M91" i="3"/>
  <c r="M90" i="3"/>
  <c r="M89" i="3"/>
  <c r="M88" i="3"/>
  <c r="M87" i="3"/>
  <c r="M86" i="3"/>
  <c r="M85" i="3"/>
  <c r="M84" i="3"/>
  <c r="M83" i="3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100" i="3"/>
  <c r="M99" i="3"/>
  <c r="M98" i="3"/>
  <c r="M97" i="3"/>
  <c r="M96" i="3"/>
  <c r="M95" i="3"/>
  <c r="M64" i="3"/>
  <c r="M62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0" i="3"/>
  <c r="M39" i="3"/>
  <c r="M65" i="3"/>
  <c r="M63" i="3"/>
  <c r="M61" i="3"/>
  <c r="M37" i="3"/>
  <c r="M36" i="3"/>
  <c r="M41" i="3"/>
  <c r="M38" i="3"/>
  <c r="M34" i="3"/>
  <c r="M31" i="3"/>
  <c r="M27" i="3"/>
  <c r="M26" i="3"/>
  <c r="M25" i="3"/>
  <c r="M24" i="3"/>
  <c r="M22" i="3"/>
  <c r="M20" i="3"/>
  <c r="M18" i="3"/>
  <c r="M16" i="3"/>
  <c r="M14" i="3"/>
  <c r="M13" i="3"/>
  <c r="M12" i="3"/>
  <c r="M9" i="3"/>
  <c r="M7" i="3"/>
  <c r="M67" i="3"/>
  <c r="M66" i="3"/>
  <c r="M35" i="3"/>
  <c r="M33" i="3"/>
  <c r="M32" i="3"/>
  <c r="M30" i="3"/>
  <c r="M29" i="3"/>
  <c r="M28" i="3"/>
  <c r="M23" i="3"/>
  <c r="M21" i="3"/>
  <c r="M19" i="3"/>
  <c r="M17" i="3"/>
  <c r="M15" i="3"/>
  <c r="M11" i="3"/>
  <c r="M10" i="3"/>
  <c r="M8" i="3"/>
  <c r="N5" i="3"/>
  <c r="M6" i="3"/>
  <c r="N99" i="3" l="1"/>
  <c r="N97" i="3"/>
  <c r="N95" i="3"/>
  <c r="N89" i="3"/>
  <c r="N87" i="3"/>
  <c r="N85" i="3"/>
  <c r="N83" i="3"/>
  <c r="N93" i="3"/>
  <c r="N91" i="3"/>
  <c r="N100" i="3"/>
  <c r="N96" i="3"/>
  <c r="N88" i="3"/>
  <c r="N84" i="3"/>
  <c r="N94" i="3"/>
  <c r="N81" i="3"/>
  <c r="N79" i="3"/>
  <c r="N78" i="3"/>
  <c r="N76" i="3"/>
  <c r="N74" i="3"/>
  <c r="N72" i="3"/>
  <c r="N70" i="3"/>
  <c r="N68" i="3"/>
  <c r="N66" i="3"/>
  <c r="N64" i="3"/>
  <c r="N62" i="3"/>
  <c r="N60" i="3"/>
  <c r="N59" i="3"/>
  <c r="N57" i="3"/>
  <c r="N55" i="3"/>
  <c r="N53" i="3"/>
  <c r="N51" i="3"/>
  <c r="N49" i="3"/>
  <c r="N47" i="3"/>
  <c r="N45" i="3"/>
  <c r="N43" i="3"/>
  <c r="N40" i="3"/>
  <c r="N37" i="3"/>
  <c r="N36" i="3"/>
  <c r="N35" i="3"/>
  <c r="N33" i="3"/>
  <c r="N30" i="3"/>
  <c r="N98" i="3"/>
  <c r="N86" i="3"/>
  <c r="N92" i="3"/>
  <c r="N80" i="3"/>
  <c r="N77" i="3"/>
  <c r="N73" i="3"/>
  <c r="N69" i="3"/>
  <c r="N65" i="3"/>
  <c r="N61" i="3"/>
  <c r="N58" i="3"/>
  <c r="N54" i="3"/>
  <c r="N50" i="3"/>
  <c r="N46" i="3"/>
  <c r="N38" i="3"/>
  <c r="N32" i="3"/>
  <c r="N28" i="3"/>
  <c r="N27" i="3"/>
  <c r="N23" i="3"/>
  <c r="N21" i="3"/>
  <c r="N19" i="3"/>
  <c r="N17" i="3"/>
  <c r="N15" i="3"/>
  <c r="N13" i="3"/>
  <c r="N12" i="3"/>
  <c r="N9" i="3"/>
  <c r="N7" i="3"/>
  <c r="N90" i="3"/>
  <c r="N82" i="3"/>
  <c r="N75" i="3"/>
  <c r="N71" i="3"/>
  <c r="N67" i="3"/>
  <c r="N63" i="3"/>
  <c r="N56" i="3"/>
  <c r="N52" i="3"/>
  <c r="N48" i="3"/>
  <c r="N44" i="3"/>
  <c r="N42" i="3"/>
  <c r="N41" i="3"/>
  <c r="N39" i="3"/>
  <c r="N34" i="3"/>
  <c r="N31" i="3"/>
  <c r="N29" i="3"/>
  <c r="N26" i="3"/>
  <c r="N25" i="3"/>
  <c r="N24" i="3"/>
  <c r="N22" i="3"/>
  <c r="N20" i="3"/>
  <c r="N18" i="3"/>
  <c r="N16" i="3"/>
  <c r="N14" i="3"/>
  <c r="N10" i="3"/>
  <c r="N11" i="3"/>
  <c r="N8" i="3"/>
  <c r="O5" i="3"/>
  <c r="N6" i="3"/>
  <c r="O100" i="3" l="1"/>
  <c r="O99" i="3"/>
  <c r="O98" i="3"/>
  <c r="O97" i="3"/>
  <c r="O96" i="3"/>
  <c r="O95" i="3"/>
  <c r="O90" i="3"/>
  <c r="O89" i="3"/>
  <c r="O88" i="3"/>
  <c r="O87" i="3"/>
  <c r="O86" i="3"/>
  <c r="O85" i="3"/>
  <c r="O84" i="3"/>
  <c r="O83" i="3"/>
  <c r="O82" i="3"/>
  <c r="O81" i="3"/>
  <c r="O80" i="3"/>
  <c r="O79" i="3"/>
  <c r="O67" i="3"/>
  <c r="O66" i="3"/>
  <c r="O41" i="3"/>
  <c r="O93" i="3"/>
  <c r="O91" i="3"/>
  <c r="O78" i="3"/>
  <c r="O76" i="3"/>
  <c r="O74" i="3"/>
  <c r="O72" i="3"/>
  <c r="O70" i="3"/>
  <c r="O68" i="3"/>
  <c r="O42" i="3"/>
  <c r="O64" i="3"/>
  <c r="O62" i="3"/>
  <c r="O60" i="3"/>
  <c r="O37" i="3"/>
  <c r="O35" i="3"/>
  <c r="O33" i="3"/>
  <c r="O32" i="3"/>
  <c r="O30" i="3"/>
  <c r="O29" i="3"/>
  <c r="O28" i="3"/>
  <c r="O23" i="3"/>
  <c r="O21" i="3"/>
  <c r="O19" i="3"/>
  <c r="O17" i="3"/>
  <c r="O15" i="3"/>
  <c r="O11" i="3"/>
  <c r="O10" i="3"/>
  <c r="O8" i="3"/>
  <c r="O13" i="3"/>
  <c r="O94" i="3"/>
  <c r="O92" i="3"/>
  <c r="O77" i="3"/>
  <c r="O75" i="3"/>
  <c r="O73" i="3"/>
  <c r="O71" i="3"/>
  <c r="O69" i="3"/>
  <c r="O65" i="3"/>
  <c r="O63" i="3"/>
  <c r="O61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0" i="3"/>
  <c r="O39" i="3"/>
  <c r="O38" i="3"/>
  <c r="O36" i="3"/>
  <c r="O34" i="3"/>
  <c r="O31" i="3"/>
  <c r="O27" i="3"/>
  <c r="O26" i="3"/>
  <c r="O25" i="3"/>
  <c r="O24" i="3"/>
  <c r="O22" i="3"/>
  <c r="O20" i="3"/>
  <c r="O18" i="3"/>
  <c r="O16" i="3"/>
  <c r="O14" i="3"/>
  <c r="O12" i="3"/>
  <c r="O7" i="3"/>
  <c r="O9" i="3"/>
  <c r="P5" i="3"/>
  <c r="O6" i="3"/>
  <c r="P94" i="3" l="1"/>
  <c r="P93" i="3"/>
  <c r="P92" i="3"/>
  <c r="P91" i="3"/>
  <c r="P90" i="3"/>
  <c r="P88" i="3"/>
  <c r="P86" i="3"/>
  <c r="P84" i="3"/>
  <c r="P82" i="3"/>
  <c r="P81" i="3"/>
  <c r="P80" i="3"/>
  <c r="P79" i="3"/>
  <c r="P100" i="3"/>
  <c r="P98" i="3"/>
  <c r="P96" i="3"/>
  <c r="P87" i="3"/>
  <c r="P83" i="3"/>
  <c r="P77" i="3"/>
  <c r="P75" i="3"/>
  <c r="P73" i="3"/>
  <c r="P71" i="3"/>
  <c r="P69" i="3"/>
  <c r="P67" i="3"/>
  <c r="P65" i="3"/>
  <c r="P63" i="3"/>
  <c r="P61" i="3"/>
  <c r="P59" i="3"/>
  <c r="P58" i="3"/>
  <c r="P56" i="3"/>
  <c r="P54" i="3"/>
  <c r="P52" i="3"/>
  <c r="P50" i="3"/>
  <c r="P48" i="3"/>
  <c r="P46" i="3"/>
  <c r="P44" i="3"/>
  <c r="P42" i="3"/>
  <c r="P41" i="3"/>
  <c r="P39" i="3"/>
  <c r="P38" i="3"/>
  <c r="P34" i="3"/>
  <c r="P32" i="3"/>
  <c r="P31" i="3"/>
  <c r="P97" i="3"/>
  <c r="P89" i="3"/>
  <c r="P76" i="3"/>
  <c r="P72" i="3"/>
  <c r="P68" i="3"/>
  <c r="P64" i="3"/>
  <c r="P60" i="3"/>
  <c r="P57" i="3"/>
  <c r="P53" i="3"/>
  <c r="P49" i="3"/>
  <c r="P45" i="3"/>
  <c r="P40" i="3"/>
  <c r="P37" i="3"/>
  <c r="P36" i="3"/>
  <c r="P30" i="3"/>
  <c r="P29" i="3"/>
  <c r="P26" i="3"/>
  <c r="P25" i="3"/>
  <c r="P24" i="3"/>
  <c r="P22" i="3"/>
  <c r="P20" i="3"/>
  <c r="P18" i="3"/>
  <c r="P16" i="3"/>
  <c r="P14" i="3"/>
  <c r="P11" i="3"/>
  <c r="P10" i="3"/>
  <c r="P8" i="3"/>
  <c r="P99" i="3"/>
  <c r="P95" i="3"/>
  <c r="P85" i="3"/>
  <c r="P78" i="3"/>
  <c r="P74" i="3"/>
  <c r="P70" i="3"/>
  <c r="P66" i="3"/>
  <c r="P62" i="3"/>
  <c r="P55" i="3"/>
  <c r="P51" i="3"/>
  <c r="P47" i="3"/>
  <c r="P43" i="3"/>
  <c r="P35" i="3"/>
  <c r="P33" i="3"/>
  <c r="P28" i="3"/>
  <c r="P27" i="3"/>
  <c r="P23" i="3"/>
  <c r="P21" i="3"/>
  <c r="P19" i="3"/>
  <c r="P17" i="3"/>
  <c r="P15" i="3"/>
  <c r="P13" i="3"/>
  <c r="P7" i="3"/>
  <c r="P12" i="3"/>
  <c r="P9" i="3"/>
  <c r="Q5" i="3"/>
  <c r="P6" i="3"/>
  <c r="Q94" i="3" l="1"/>
  <c r="Q93" i="3"/>
  <c r="Q92" i="3"/>
  <c r="Q91" i="3"/>
  <c r="Q90" i="3"/>
  <c r="Q89" i="3"/>
  <c r="Q88" i="3"/>
  <c r="Q87" i="3"/>
  <c r="Q86" i="3"/>
  <c r="Q85" i="3"/>
  <c r="Q84" i="3"/>
  <c r="Q83" i="3"/>
  <c r="Q82" i="3"/>
  <c r="Q81" i="3"/>
  <c r="Q80" i="3"/>
  <c r="Q79" i="3"/>
  <c r="Q78" i="3"/>
  <c r="Q77" i="3"/>
  <c r="Q76" i="3"/>
  <c r="Q75" i="3"/>
  <c r="Q74" i="3"/>
  <c r="Q73" i="3"/>
  <c r="Q72" i="3"/>
  <c r="Q71" i="3"/>
  <c r="Q70" i="3"/>
  <c r="Q69" i="3"/>
  <c r="Q68" i="3"/>
  <c r="Q58" i="3"/>
  <c r="Q57" i="3"/>
  <c r="Q56" i="3"/>
  <c r="Q55" i="3"/>
  <c r="Q54" i="3"/>
  <c r="Q53" i="3"/>
  <c r="Q52" i="3"/>
  <c r="Q51" i="3"/>
  <c r="Q50" i="3"/>
  <c r="Q49" i="3"/>
  <c r="Q48" i="3"/>
  <c r="Q47" i="3"/>
  <c r="Q46" i="3"/>
  <c r="Q45" i="3"/>
  <c r="Q44" i="3"/>
  <c r="Q43" i="3"/>
  <c r="Q42" i="3"/>
  <c r="Q40" i="3"/>
  <c r="Q39" i="3"/>
  <c r="Q99" i="3"/>
  <c r="Q97" i="3"/>
  <c r="Q95" i="3"/>
  <c r="Q67" i="3"/>
  <c r="Q66" i="3"/>
  <c r="Q64" i="3"/>
  <c r="Q62" i="3"/>
  <c r="Q60" i="3"/>
  <c r="Q37" i="3"/>
  <c r="Q34" i="3"/>
  <c r="Q31" i="3"/>
  <c r="Q27" i="3"/>
  <c r="Q26" i="3"/>
  <c r="Q25" i="3"/>
  <c r="Q24" i="3"/>
  <c r="Q22" i="3"/>
  <c r="Q20" i="3"/>
  <c r="Q18" i="3"/>
  <c r="Q16" i="3"/>
  <c r="Q14" i="3"/>
  <c r="Q12" i="3"/>
  <c r="Q9" i="3"/>
  <c r="Q7" i="3"/>
  <c r="Q100" i="3"/>
  <c r="Q98" i="3"/>
  <c r="Q96" i="3"/>
  <c r="Q41" i="3"/>
  <c r="Q65" i="3"/>
  <c r="Q63" i="3"/>
  <c r="Q61" i="3"/>
  <c r="Q59" i="3"/>
  <c r="Q36" i="3"/>
  <c r="Q38" i="3"/>
  <c r="Q35" i="3"/>
  <c r="Q33" i="3"/>
  <c r="Q32" i="3"/>
  <c r="Q30" i="3"/>
  <c r="Q29" i="3"/>
  <c r="Q28" i="3"/>
  <c r="Q23" i="3"/>
  <c r="Q21" i="3"/>
  <c r="Q19" i="3"/>
  <c r="Q17" i="3"/>
  <c r="Q15" i="3"/>
  <c r="Q13" i="3"/>
  <c r="Q11" i="3"/>
  <c r="Q8" i="3"/>
  <c r="Q10" i="3"/>
  <c r="R5" i="3"/>
  <c r="Q6" i="3"/>
  <c r="R100" i="3" l="1"/>
  <c r="R98" i="3"/>
  <c r="R96" i="3"/>
  <c r="R89" i="3"/>
  <c r="R87" i="3"/>
  <c r="R85" i="3"/>
  <c r="R83" i="3"/>
  <c r="R94" i="3"/>
  <c r="R92" i="3"/>
  <c r="R97" i="3"/>
  <c r="R90" i="3"/>
  <c r="R86" i="3"/>
  <c r="R82" i="3"/>
  <c r="R91" i="3"/>
  <c r="R80" i="3"/>
  <c r="R78" i="3"/>
  <c r="R76" i="3"/>
  <c r="R74" i="3"/>
  <c r="R72" i="3"/>
  <c r="R70" i="3"/>
  <c r="R68" i="3"/>
  <c r="R66" i="3"/>
  <c r="R64" i="3"/>
  <c r="R62" i="3"/>
  <c r="R60" i="3"/>
  <c r="R57" i="3"/>
  <c r="R55" i="3"/>
  <c r="R53" i="3"/>
  <c r="R51" i="3"/>
  <c r="R49" i="3"/>
  <c r="R47" i="3"/>
  <c r="R45" i="3"/>
  <c r="R43" i="3"/>
  <c r="R40" i="3"/>
  <c r="R37" i="3"/>
  <c r="R36" i="3"/>
  <c r="R35" i="3"/>
  <c r="R33" i="3"/>
  <c r="R30" i="3"/>
  <c r="R99" i="3"/>
  <c r="R84" i="3"/>
  <c r="R93" i="3"/>
  <c r="R81" i="3"/>
  <c r="R75" i="3"/>
  <c r="R71" i="3"/>
  <c r="R67" i="3"/>
  <c r="R63" i="3"/>
  <c r="R59" i="3"/>
  <c r="R56" i="3"/>
  <c r="R52" i="3"/>
  <c r="R48" i="3"/>
  <c r="R44" i="3"/>
  <c r="R42" i="3"/>
  <c r="R41" i="3"/>
  <c r="R39" i="3"/>
  <c r="R34" i="3"/>
  <c r="R31" i="3"/>
  <c r="R28" i="3"/>
  <c r="R27" i="3"/>
  <c r="R23" i="3"/>
  <c r="R21" i="3"/>
  <c r="R19" i="3"/>
  <c r="R17" i="3"/>
  <c r="R15" i="3"/>
  <c r="R13" i="3"/>
  <c r="R12" i="3"/>
  <c r="R9" i="3"/>
  <c r="R7" i="3"/>
  <c r="R95" i="3"/>
  <c r="R88" i="3"/>
  <c r="R79" i="3"/>
  <c r="R77" i="3"/>
  <c r="R73" i="3"/>
  <c r="R69" i="3"/>
  <c r="R65" i="3"/>
  <c r="R61" i="3"/>
  <c r="R58" i="3"/>
  <c r="R54" i="3"/>
  <c r="R50" i="3"/>
  <c r="R46" i="3"/>
  <c r="R38" i="3"/>
  <c r="R32" i="3"/>
  <c r="R29" i="3"/>
  <c r="R26" i="3"/>
  <c r="R25" i="3"/>
  <c r="R24" i="3"/>
  <c r="R22" i="3"/>
  <c r="R20" i="3"/>
  <c r="R18" i="3"/>
  <c r="R16" i="3"/>
  <c r="R14" i="3"/>
  <c r="R11" i="3"/>
  <c r="R8" i="3"/>
  <c r="R10" i="3"/>
  <c r="S5" i="3"/>
  <c r="R6" i="3"/>
  <c r="S100" i="3" l="1"/>
  <c r="S99" i="3"/>
  <c r="S98" i="3"/>
  <c r="S97" i="3"/>
  <c r="S96" i="3"/>
  <c r="S95" i="3"/>
  <c r="S94" i="3"/>
  <c r="S93" i="3"/>
  <c r="S92" i="3"/>
  <c r="S91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3" i="3"/>
  <c r="S61" i="3"/>
  <c r="S59" i="3"/>
  <c r="S41" i="3"/>
  <c r="S64" i="3"/>
  <c r="S62" i="3"/>
  <c r="S60" i="3"/>
  <c r="S38" i="3"/>
  <c r="S90" i="3"/>
  <c r="S88" i="3"/>
  <c r="S86" i="3"/>
  <c r="S84" i="3"/>
  <c r="S82" i="3"/>
  <c r="S80" i="3"/>
  <c r="S58" i="3"/>
  <c r="S57" i="3"/>
  <c r="S56" i="3"/>
  <c r="S55" i="3"/>
  <c r="S54" i="3"/>
  <c r="S53" i="3"/>
  <c r="S52" i="3"/>
  <c r="S51" i="3"/>
  <c r="S50" i="3"/>
  <c r="S49" i="3"/>
  <c r="S48" i="3"/>
  <c r="S47" i="3"/>
  <c r="S46" i="3"/>
  <c r="S45" i="3"/>
  <c r="S44" i="3"/>
  <c r="S43" i="3"/>
  <c r="S40" i="3"/>
  <c r="S39" i="3"/>
  <c r="S36" i="3"/>
  <c r="S35" i="3"/>
  <c r="S33" i="3"/>
  <c r="S32" i="3"/>
  <c r="S30" i="3"/>
  <c r="S29" i="3"/>
  <c r="S28" i="3"/>
  <c r="S23" i="3"/>
  <c r="S21" i="3"/>
  <c r="S19" i="3"/>
  <c r="S17" i="3"/>
  <c r="S15" i="3"/>
  <c r="S13" i="3"/>
  <c r="S11" i="3"/>
  <c r="S10" i="3"/>
  <c r="S8" i="3"/>
  <c r="S89" i="3"/>
  <c r="S87" i="3"/>
  <c r="S85" i="3"/>
  <c r="S83" i="3"/>
  <c r="S81" i="3"/>
  <c r="S79" i="3"/>
  <c r="S42" i="3"/>
  <c r="S37" i="3"/>
  <c r="S34" i="3"/>
  <c r="S31" i="3"/>
  <c r="S27" i="3"/>
  <c r="S26" i="3"/>
  <c r="S25" i="3"/>
  <c r="S24" i="3"/>
  <c r="S22" i="3"/>
  <c r="S20" i="3"/>
  <c r="S18" i="3"/>
  <c r="S16" i="3"/>
  <c r="S14" i="3"/>
  <c r="S12" i="3"/>
  <c r="S9" i="3"/>
  <c r="S7" i="3"/>
  <c r="T5" i="3"/>
  <c r="S6" i="3"/>
  <c r="T100" i="3" l="1"/>
  <c r="T99" i="3"/>
  <c r="T98" i="3"/>
  <c r="T97" i="3"/>
  <c r="T96" i="3"/>
  <c r="T95" i="3"/>
  <c r="T90" i="3"/>
  <c r="T88" i="3"/>
  <c r="T86" i="3"/>
  <c r="T84" i="3"/>
  <c r="T82" i="3"/>
  <c r="T94" i="3"/>
  <c r="T92" i="3"/>
  <c r="T89" i="3"/>
  <c r="T85" i="3"/>
  <c r="T81" i="3"/>
  <c r="T80" i="3"/>
  <c r="T77" i="3"/>
  <c r="T75" i="3"/>
  <c r="T73" i="3"/>
  <c r="T71" i="3"/>
  <c r="T69" i="3"/>
  <c r="T67" i="3"/>
  <c r="T65" i="3"/>
  <c r="T63" i="3"/>
  <c r="T61" i="3"/>
  <c r="T59" i="3"/>
  <c r="T58" i="3"/>
  <c r="T56" i="3"/>
  <c r="T54" i="3"/>
  <c r="T52" i="3"/>
  <c r="T50" i="3"/>
  <c r="T48" i="3"/>
  <c r="T46" i="3"/>
  <c r="T44" i="3"/>
  <c r="T42" i="3"/>
  <c r="T41" i="3"/>
  <c r="T39" i="3"/>
  <c r="T38" i="3"/>
  <c r="T34" i="3"/>
  <c r="T32" i="3"/>
  <c r="T31" i="3"/>
  <c r="T91" i="3"/>
  <c r="T87" i="3"/>
  <c r="T78" i="3"/>
  <c r="T74" i="3"/>
  <c r="T70" i="3"/>
  <c r="T66" i="3"/>
  <c r="T62" i="3"/>
  <c r="T55" i="3"/>
  <c r="T51" i="3"/>
  <c r="T47" i="3"/>
  <c r="T43" i="3"/>
  <c r="T35" i="3"/>
  <c r="T33" i="3"/>
  <c r="T29" i="3"/>
  <c r="T26" i="3"/>
  <c r="T25" i="3"/>
  <c r="T24" i="3"/>
  <c r="T22" i="3"/>
  <c r="T20" i="3"/>
  <c r="T18" i="3"/>
  <c r="T16" i="3"/>
  <c r="T14" i="3"/>
  <c r="T11" i="3"/>
  <c r="T10" i="3"/>
  <c r="T8" i="3"/>
  <c r="T93" i="3"/>
  <c r="T83" i="3"/>
  <c r="T79" i="3"/>
  <c r="T76" i="3"/>
  <c r="T72" i="3"/>
  <c r="T68" i="3"/>
  <c r="T64" i="3"/>
  <c r="T60" i="3"/>
  <c r="T57" i="3"/>
  <c r="T53" i="3"/>
  <c r="T49" i="3"/>
  <c r="T45" i="3"/>
  <c r="T40" i="3"/>
  <c r="T37" i="3"/>
  <c r="T36" i="3"/>
  <c r="T30" i="3"/>
  <c r="T28" i="3"/>
  <c r="T27" i="3"/>
  <c r="T23" i="3"/>
  <c r="T21" i="3"/>
  <c r="T19" i="3"/>
  <c r="T17" i="3"/>
  <c r="T15" i="3"/>
  <c r="T13" i="3"/>
  <c r="T12" i="3"/>
  <c r="T9" i="3"/>
  <c r="T7" i="3"/>
  <c r="U5" i="3"/>
  <c r="T6" i="3"/>
  <c r="U94" i="3" l="1"/>
  <c r="U93" i="3"/>
  <c r="U92" i="3"/>
  <c r="U91" i="3"/>
  <c r="U90" i="3"/>
  <c r="U89" i="3"/>
  <c r="U88" i="3"/>
  <c r="U87" i="3"/>
  <c r="U86" i="3"/>
  <c r="U85" i="3"/>
  <c r="U84" i="3"/>
  <c r="U83" i="3"/>
  <c r="U82" i="3"/>
  <c r="U81" i="3"/>
  <c r="U80" i="3"/>
  <c r="U79" i="3"/>
  <c r="U78" i="3"/>
  <c r="U77" i="3"/>
  <c r="U76" i="3"/>
  <c r="U75" i="3"/>
  <c r="U74" i="3"/>
  <c r="U73" i="3"/>
  <c r="U72" i="3"/>
  <c r="U71" i="3"/>
  <c r="U70" i="3"/>
  <c r="U69" i="3"/>
  <c r="U68" i="3"/>
  <c r="U100" i="3"/>
  <c r="U99" i="3"/>
  <c r="U98" i="3"/>
  <c r="U97" i="3"/>
  <c r="U96" i="3"/>
  <c r="U95" i="3"/>
  <c r="U64" i="3"/>
  <c r="U62" i="3"/>
  <c r="U60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0" i="3"/>
  <c r="U39" i="3"/>
  <c r="U65" i="3"/>
  <c r="U63" i="3"/>
  <c r="U61" i="3"/>
  <c r="U59" i="3"/>
  <c r="U37" i="3"/>
  <c r="U36" i="3"/>
  <c r="U41" i="3"/>
  <c r="U38" i="3"/>
  <c r="U34" i="3"/>
  <c r="U31" i="3"/>
  <c r="U27" i="3"/>
  <c r="U26" i="3"/>
  <c r="U25" i="3"/>
  <c r="U24" i="3"/>
  <c r="U22" i="3"/>
  <c r="U20" i="3"/>
  <c r="U18" i="3"/>
  <c r="U16" i="3"/>
  <c r="U14" i="3"/>
  <c r="U12" i="3"/>
  <c r="U9" i="3"/>
  <c r="U7" i="3"/>
  <c r="U67" i="3"/>
  <c r="U66" i="3"/>
  <c r="U35" i="3"/>
  <c r="U33" i="3"/>
  <c r="U32" i="3"/>
  <c r="U30" i="3"/>
  <c r="U29" i="3"/>
  <c r="U28" i="3"/>
  <c r="U23" i="3"/>
  <c r="U21" i="3"/>
  <c r="U19" i="3"/>
  <c r="U17" i="3"/>
  <c r="U15" i="3"/>
  <c r="U13" i="3"/>
  <c r="U11" i="3"/>
  <c r="U10" i="3"/>
  <c r="U8" i="3"/>
  <c r="V5" i="3"/>
  <c r="U6" i="3"/>
  <c r="V99" i="3" l="1"/>
  <c r="V97" i="3"/>
  <c r="V95" i="3"/>
  <c r="V89" i="3"/>
  <c r="V87" i="3"/>
  <c r="V85" i="3"/>
  <c r="V83" i="3"/>
  <c r="V81" i="3"/>
  <c r="V93" i="3"/>
  <c r="V91" i="3"/>
  <c r="V98" i="3"/>
  <c r="V88" i="3"/>
  <c r="V84" i="3"/>
  <c r="V92" i="3"/>
  <c r="V79" i="3"/>
  <c r="V78" i="3"/>
  <c r="V76" i="3"/>
  <c r="V74" i="3"/>
  <c r="V72" i="3"/>
  <c r="V70" i="3"/>
  <c r="V68" i="3"/>
  <c r="V66" i="3"/>
  <c r="V64" i="3"/>
  <c r="V62" i="3"/>
  <c r="V60" i="3"/>
  <c r="V57" i="3"/>
  <c r="V55" i="3"/>
  <c r="V53" i="3"/>
  <c r="V51" i="3"/>
  <c r="V49" i="3"/>
  <c r="V47" i="3"/>
  <c r="V45" i="3"/>
  <c r="V43" i="3"/>
  <c r="V40" i="3"/>
  <c r="V37" i="3"/>
  <c r="V36" i="3"/>
  <c r="V35" i="3"/>
  <c r="V33" i="3"/>
  <c r="V30" i="3"/>
  <c r="V100" i="3"/>
  <c r="V90" i="3"/>
  <c r="V82" i="3"/>
  <c r="V94" i="3"/>
  <c r="V77" i="3"/>
  <c r="V73" i="3"/>
  <c r="V69" i="3"/>
  <c r="V65" i="3"/>
  <c r="V61" i="3"/>
  <c r="V58" i="3"/>
  <c r="V54" i="3"/>
  <c r="V50" i="3"/>
  <c r="V46" i="3"/>
  <c r="V38" i="3"/>
  <c r="V32" i="3"/>
  <c r="V28" i="3"/>
  <c r="V27" i="3"/>
  <c r="V23" i="3"/>
  <c r="V21" i="3"/>
  <c r="V19" i="3"/>
  <c r="V17" i="3"/>
  <c r="V15" i="3"/>
  <c r="V13" i="3"/>
  <c r="V12" i="3"/>
  <c r="V9" i="3"/>
  <c r="V7" i="3"/>
  <c r="V96" i="3"/>
  <c r="V86" i="3"/>
  <c r="V80" i="3"/>
  <c r="V75" i="3"/>
  <c r="V71" i="3"/>
  <c r="V67" i="3"/>
  <c r="V63" i="3"/>
  <c r="V59" i="3"/>
  <c r="V56" i="3"/>
  <c r="V52" i="3"/>
  <c r="V48" i="3"/>
  <c r="V44" i="3"/>
  <c r="V42" i="3"/>
  <c r="V41" i="3"/>
  <c r="V39" i="3"/>
  <c r="V34" i="3"/>
  <c r="V31" i="3"/>
  <c r="V29" i="3"/>
  <c r="V26" i="3"/>
  <c r="V25" i="3"/>
  <c r="V24" i="3"/>
  <c r="V22" i="3"/>
  <c r="V20" i="3"/>
  <c r="V18" i="3"/>
  <c r="V16" i="3"/>
  <c r="V14" i="3"/>
  <c r="V10" i="3"/>
  <c r="V11" i="3"/>
  <c r="V8" i="3"/>
  <c r="W5" i="3"/>
  <c r="V6" i="3"/>
  <c r="W100" i="3" l="1"/>
  <c r="W99" i="3"/>
  <c r="W98" i="3"/>
  <c r="W97" i="3"/>
  <c r="W96" i="3"/>
  <c r="W95" i="3"/>
  <c r="W94" i="3"/>
  <c r="W90" i="3"/>
  <c r="W89" i="3"/>
  <c r="W88" i="3"/>
  <c r="W87" i="3"/>
  <c r="W86" i="3"/>
  <c r="W85" i="3"/>
  <c r="W84" i="3"/>
  <c r="W83" i="3"/>
  <c r="W82" i="3"/>
  <c r="W81" i="3"/>
  <c r="W80" i="3"/>
  <c r="W79" i="3"/>
  <c r="W67" i="3"/>
  <c r="W66" i="3"/>
  <c r="W41" i="3"/>
  <c r="W92" i="3"/>
  <c r="W77" i="3"/>
  <c r="W75" i="3"/>
  <c r="W73" i="3"/>
  <c r="W71" i="3"/>
  <c r="W69" i="3"/>
  <c r="W65" i="3"/>
  <c r="W63" i="3"/>
  <c r="W61" i="3"/>
  <c r="W59" i="3"/>
  <c r="W42" i="3"/>
  <c r="W38" i="3"/>
  <c r="W37" i="3"/>
  <c r="W35" i="3"/>
  <c r="W33" i="3"/>
  <c r="W32" i="3"/>
  <c r="W30" i="3"/>
  <c r="W29" i="3"/>
  <c r="W28" i="3"/>
  <c r="W23" i="3"/>
  <c r="W21" i="3"/>
  <c r="W19" i="3"/>
  <c r="W17" i="3"/>
  <c r="W15" i="3"/>
  <c r="W13" i="3"/>
  <c r="W11" i="3"/>
  <c r="W10" i="3"/>
  <c r="W8" i="3"/>
  <c r="W93" i="3"/>
  <c r="W91" i="3"/>
  <c r="W78" i="3"/>
  <c r="W76" i="3"/>
  <c r="W74" i="3"/>
  <c r="W72" i="3"/>
  <c r="W70" i="3"/>
  <c r="W68" i="3"/>
  <c r="W58" i="3"/>
  <c r="W57" i="3"/>
  <c r="W56" i="3"/>
  <c r="W55" i="3"/>
  <c r="W54" i="3"/>
  <c r="W53" i="3"/>
  <c r="W52" i="3"/>
  <c r="W51" i="3"/>
  <c r="W50" i="3"/>
  <c r="W49" i="3"/>
  <c r="W48" i="3"/>
  <c r="W47" i="3"/>
  <c r="W46" i="3"/>
  <c r="W45" i="3"/>
  <c r="W44" i="3"/>
  <c r="W43" i="3"/>
  <c r="W40" i="3"/>
  <c r="W39" i="3"/>
  <c r="W64" i="3"/>
  <c r="W62" i="3"/>
  <c r="W60" i="3"/>
  <c r="W36" i="3"/>
  <c r="W34" i="3"/>
  <c r="W31" i="3"/>
  <c r="W27" i="3"/>
  <c r="W26" i="3"/>
  <c r="W25" i="3"/>
  <c r="W24" i="3"/>
  <c r="W22" i="3"/>
  <c r="W20" i="3"/>
  <c r="W18" i="3"/>
  <c r="W16" i="3"/>
  <c r="W14" i="3"/>
  <c r="W12" i="3"/>
  <c r="W7" i="3"/>
  <c r="W9" i="3"/>
  <c r="X5" i="3"/>
  <c r="W6" i="3"/>
  <c r="X93" i="3" l="1"/>
  <c r="X92" i="3"/>
  <c r="X91" i="3"/>
  <c r="X90" i="3"/>
  <c r="X88" i="3"/>
  <c r="X86" i="3"/>
  <c r="X84" i="3"/>
  <c r="X82" i="3"/>
  <c r="X80" i="3"/>
  <c r="X79" i="3"/>
  <c r="X99" i="3"/>
  <c r="X97" i="3"/>
  <c r="X95" i="3"/>
  <c r="X87" i="3"/>
  <c r="X83" i="3"/>
  <c r="X77" i="3"/>
  <c r="X75" i="3"/>
  <c r="X73" i="3"/>
  <c r="X71" i="3"/>
  <c r="X69" i="3"/>
  <c r="X67" i="3"/>
  <c r="X65" i="3"/>
  <c r="X63" i="3"/>
  <c r="X61" i="3"/>
  <c r="X59" i="3"/>
  <c r="X58" i="3"/>
  <c r="X56" i="3"/>
  <c r="X54" i="3"/>
  <c r="X52" i="3"/>
  <c r="X50" i="3"/>
  <c r="X48" i="3"/>
  <c r="X46" i="3"/>
  <c r="X44" i="3"/>
  <c r="X42" i="3"/>
  <c r="X41" i="3"/>
  <c r="X39" i="3"/>
  <c r="X38" i="3"/>
  <c r="X34" i="3"/>
  <c r="X32" i="3"/>
  <c r="X31" i="3"/>
  <c r="X98" i="3"/>
  <c r="X94" i="3"/>
  <c r="X85" i="3"/>
  <c r="X76" i="3"/>
  <c r="X72" i="3"/>
  <c r="X68" i="3"/>
  <c r="X64" i="3"/>
  <c r="X60" i="3"/>
  <c r="X57" i="3"/>
  <c r="X53" i="3"/>
  <c r="X49" i="3"/>
  <c r="X45" i="3"/>
  <c r="X40" i="3"/>
  <c r="X37" i="3"/>
  <c r="X36" i="3"/>
  <c r="X30" i="3"/>
  <c r="X29" i="3"/>
  <c r="X26" i="3"/>
  <c r="X25" i="3"/>
  <c r="X24" i="3"/>
  <c r="X22" i="3"/>
  <c r="X20" i="3"/>
  <c r="X18" i="3"/>
  <c r="X16" i="3"/>
  <c r="X14" i="3"/>
  <c r="X11" i="3"/>
  <c r="X10" i="3"/>
  <c r="X8" i="3"/>
  <c r="X100" i="3"/>
  <c r="X96" i="3"/>
  <c r="X89" i="3"/>
  <c r="X81" i="3"/>
  <c r="X78" i="3"/>
  <c r="X74" i="3"/>
  <c r="X70" i="3"/>
  <c r="X66" i="3"/>
  <c r="X62" i="3"/>
  <c r="X55" i="3"/>
  <c r="X51" i="3"/>
  <c r="X47" i="3"/>
  <c r="X43" i="3"/>
  <c r="X35" i="3"/>
  <c r="X33" i="3"/>
  <c r="X28" i="3"/>
  <c r="X27" i="3"/>
  <c r="X23" i="3"/>
  <c r="X21" i="3"/>
  <c r="X19" i="3"/>
  <c r="X17" i="3"/>
  <c r="X15" i="3"/>
  <c r="X13" i="3"/>
  <c r="X7" i="3"/>
  <c r="X12" i="3"/>
  <c r="X9" i="3"/>
  <c r="Y5" i="3"/>
  <c r="X6" i="3"/>
  <c r="Y93" i="3" l="1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0" i="3"/>
  <c r="Y39" i="3"/>
  <c r="Y100" i="3"/>
  <c r="Y98" i="3"/>
  <c r="Y96" i="3"/>
  <c r="Y94" i="3"/>
  <c r="Y67" i="3"/>
  <c r="Y66" i="3"/>
  <c r="Y65" i="3"/>
  <c r="Y63" i="3"/>
  <c r="Y61" i="3"/>
  <c r="Y59" i="3"/>
  <c r="Y36" i="3"/>
  <c r="Y34" i="3"/>
  <c r="Y31" i="3"/>
  <c r="Y27" i="3"/>
  <c r="Y26" i="3"/>
  <c r="Y25" i="3"/>
  <c r="Y24" i="3"/>
  <c r="Y22" i="3"/>
  <c r="Y20" i="3"/>
  <c r="Y18" i="3"/>
  <c r="Y16" i="3"/>
  <c r="Y14" i="3"/>
  <c r="Y12" i="3"/>
  <c r="Y9" i="3"/>
  <c r="Y7" i="3"/>
  <c r="Y99" i="3"/>
  <c r="Y97" i="3"/>
  <c r="Y95" i="3"/>
  <c r="Y64" i="3"/>
  <c r="Y62" i="3"/>
  <c r="Y60" i="3"/>
  <c r="Y41" i="3"/>
  <c r="Y37" i="3"/>
  <c r="Y38" i="3"/>
  <c r="Y35" i="3"/>
  <c r="Y33" i="3"/>
  <c r="Y32" i="3"/>
  <c r="Y30" i="3"/>
  <c r="Y29" i="3"/>
  <c r="Y28" i="3"/>
  <c r="Y23" i="3"/>
  <c r="Y21" i="3"/>
  <c r="Y19" i="3"/>
  <c r="Y17" i="3"/>
  <c r="Y15" i="3"/>
  <c r="Y13" i="3"/>
  <c r="Y11" i="3"/>
  <c r="Y10" i="3"/>
  <c r="Y8" i="3"/>
  <c r="Z5" i="3"/>
  <c r="Y6" i="3"/>
  <c r="Z100" i="3" l="1"/>
  <c r="Z98" i="3"/>
  <c r="Z96" i="3"/>
  <c r="Z94" i="3"/>
  <c r="Z89" i="3"/>
  <c r="Z87" i="3"/>
  <c r="Z85" i="3"/>
  <c r="Z83" i="3"/>
  <c r="Z81" i="3"/>
  <c r="Z92" i="3"/>
  <c r="Z99" i="3"/>
  <c r="Z95" i="3"/>
  <c r="Z90" i="3"/>
  <c r="Z86" i="3"/>
  <c r="Z82" i="3"/>
  <c r="Z93" i="3"/>
  <c r="Z80" i="3"/>
  <c r="Z78" i="3"/>
  <c r="Z76" i="3"/>
  <c r="Z74" i="3"/>
  <c r="Z72" i="3"/>
  <c r="Z70" i="3"/>
  <c r="Z68" i="3"/>
  <c r="Z66" i="3"/>
  <c r="Z64" i="3"/>
  <c r="Z62" i="3"/>
  <c r="Z60" i="3"/>
  <c r="Z57" i="3"/>
  <c r="Z55" i="3"/>
  <c r="Z53" i="3"/>
  <c r="Z51" i="3"/>
  <c r="Z49" i="3"/>
  <c r="Z47" i="3"/>
  <c r="Z45" i="3"/>
  <c r="Z43" i="3"/>
  <c r="Z40" i="3"/>
  <c r="Z37" i="3"/>
  <c r="Z36" i="3"/>
  <c r="Z35" i="3"/>
  <c r="Z33" i="3"/>
  <c r="Z30" i="3"/>
  <c r="Z88" i="3"/>
  <c r="Z79" i="3"/>
  <c r="Z75" i="3"/>
  <c r="Z71" i="3"/>
  <c r="Z67" i="3"/>
  <c r="Z63" i="3"/>
  <c r="Z59" i="3"/>
  <c r="Z56" i="3"/>
  <c r="Z52" i="3"/>
  <c r="Z48" i="3"/>
  <c r="Z44" i="3"/>
  <c r="Z42" i="3"/>
  <c r="Z41" i="3"/>
  <c r="Z39" i="3"/>
  <c r="Z34" i="3"/>
  <c r="Z31" i="3"/>
  <c r="Z28" i="3"/>
  <c r="Z27" i="3"/>
  <c r="Z23" i="3"/>
  <c r="Z21" i="3"/>
  <c r="Z19" i="3"/>
  <c r="Z17" i="3"/>
  <c r="Z15" i="3"/>
  <c r="Z13" i="3"/>
  <c r="Z12" i="3"/>
  <c r="Z9" i="3"/>
  <c r="Z7" i="3"/>
  <c r="Z97" i="3"/>
  <c r="Z84" i="3"/>
  <c r="Z91" i="3"/>
  <c r="Z77" i="3"/>
  <c r="Z73" i="3"/>
  <c r="Z69" i="3"/>
  <c r="Z65" i="3"/>
  <c r="Z61" i="3"/>
  <c r="Z58" i="3"/>
  <c r="Z54" i="3"/>
  <c r="Z50" i="3"/>
  <c r="Z46" i="3"/>
  <c r="Z38" i="3"/>
  <c r="Z32" i="3"/>
  <c r="Z29" i="3"/>
  <c r="Z26" i="3"/>
  <c r="Z25" i="3"/>
  <c r="Z24" i="3"/>
  <c r="Z22" i="3"/>
  <c r="Z20" i="3"/>
  <c r="Z18" i="3"/>
  <c r="Z16" i="3"/>
  <c r="Z14" i="3"/>
  <c r="Z11" i="3"/>
  <c r="Z8" i="3"/>
  <c r="Z10" i="3"/>
  <c r="AA5" i="3"/>
  <c r="Z6" i="3"/>
  <c r="AA100" i="3" l="1"/>
  <c r="AA99" i="3"/>
  <c r="AA98" i="3"/>
  <c r="AA97" i="3"/>
  <c r="AA96" i="3"/>
  <c r="AA95" i="3"/>
  <c r="AA94" i="3"/>
  <c r="AA93" i="3"/>
  <c r="AA92" i="3"/>
  <c r="AA91" i="3"/>
  <c r="AA78" i="3"/>
  <c r="AA77" i="3"/>
  <c r="AA76" i="3"/>
  <c r="AA75" i="3"/>
  <c r="AA74" i="3"/>
  <c r="AA73" i="3"/>
  <c r="AA72" i="3"/>
  <c r="AA71" i="3"/>
  <c r="AA70" i="3"/>
  <c r="AA69" i="3"/>
  <c r="AA68" i="3"/>
  <c r="AA67" i="3"/>
  <c r="AA66" i="3"/>
  <c r="AA65" i="3"/>
  <c r="AA63" i="3"/>
  <c r="AA61" i="3"/>
  <c r="AA59" i="3"/>
  <c r="AA41" i="3"/>
  <c r="AA64" i="3"/>
  <c r="AA62" i="3"/>
  <c r="AA60" i="3"/>
  <c r="AA38" i="3"/>
  <c r="AA89" i="3"/>
  <c r="AA87" i="3"/>
  <c r="AA85" i="3"/>
  <c r="AA83" i="3"/>
  <c r="AA81" i="3"/>
  <c r="AA7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0" i="3"/>
  <c r="AA39" i="3"/>
  <c r="AA36" i="3"/>
  <c r="AA35" i="3"/>
  <c r="AA33" i="3"/>
  <c r="AA32" i="3"/>
  <c r="AA30" i="3"/>
  <c r="AA29" i="3"/>
  <c r="AA28" i="3"/>
  <c r="AA23" i="3"/>
  <c r="AA21" i="3"/>
  <c r="AA19" i="3"/>
  <c r="AA17" i="3"/>
  <c r="AA15" i="3"/>
  <c r="AA13" i="3"/>
  <c r="AA11" i="3"/>
  <c r="AA10" i="3"/>
  <c r="AA8" i="3"/>
  <c r="AA90" i="3"/>
  <c r="AA88" i="3"/>
  <c r="AA86" i="3"/>
  <c r="AA84" i="3"/>
  <c r="AA82" i="3"/>
  <c r="AA80" i="3"/>
  <c r="AA42" i="3"/>
  <c r="AA37" i="3"/>
  <c r="AA34" i="3"/>
  <c r="AA31" i="3"/>
  <c r="AA27" i="3"/>
  <c r="AA26" i="3"/>
  <c r="AA25" i="3"/>
  <c r="AA24" i="3"/>
  <c r="AA22" i="3"/>
  <c r="AA20" i="3"/>
  <c r="AA18" i="3"/>
  <c r="AA16" i="3"/>
  <c r="AA14" i="3"/>
  <c r="AA12" i="3"/>
  <c r="AA9" i="3"/>
  <c r="AA7" i="3"/>
  <c r="AB5" i="3"/>
  <c r="AA6" i="3"/>
  <c r="AB100" i="3" l="1"/>
  <c r="AB99" i="3"/>
  <c r="AB98" i="3"/>
  <c r="AB97" i="3"/>
  <c r="AB96" i="3"/>
  <c r="AB95" i="3"/>
  <c r="AB94" i="3"/>
  <c r="AB90" i="3"/>
  <c r="AB88" i="3"/>
  <c r="AB86" i="3"/>
  <c r="AB84" i="3"/>
  <c r="AB82" i="3"/>
  <c r="AB93" i="3"/>
  <c r="AB91" i="3"/>
  <c r="AB89" i="3"/>
  <c r="AB85" i="3"/>
  <c r="AB81" i="3"/>
  <c r="AB79" i="3"/>
  <c r="AB77" i="3"/>
  <c r="AB75" i="3"/>
  <c r="AB73" i="3"/>
  <c r="AB71" i="3"/>
  <c r="AB69" i="3"/>
  <c r="AB67" i="3"/>
  <c r="AB65" i="3"/>
  <c r="AB63" i="3"/>
  <c r="AB61" i="3"/>
  <c r="AB59" i="3"/>
  <c r="AB58" i="3"/>
  <c r="AB56" i="3"/>
  <c r="AB54" i="3"/>
  <c r="AB52" i="3"/>
  <c r="AB50" i="3"/>
  <c r="AB48" i="3"/>
  <c r="AB46" i="3"/>
  <c r="AB44" i="3"/>
  <c r="AB42" i="3"/>
  <c r="AB41" i="3"/>
  <c r="AB39" i="3"/>
  <c r="AB38" i="3"/>
  <c r="AB34" i="3"/>
  <c r="AB32" i="3"/>
  <c r="AB31" i="3"/>
  <c r="AB92" i="3"/>
  <c r="AB83" i="3"/>
  <c r="AB78" i="3"/>
  <c r="AB74" i="3"/>
  <c r="AB70" i="3"/>
  <c r="AB66" i="3"/>
  <c r="AB62" i="3"/>
  <c r="AB55" i="3"/>
  <c r="AB51" i="3"/>
  <c r="AB47" i="3"/>
  <c r="AB43" i="3"/>
  <c r="AB35" i="3"/>
  <c r="AB33" i="3"/>
  <c r="AB29" i="3"/>
  <c r="AB26" i="3"/>
  <c r="AB25" i="3"/>
  <c r="AB24" i="3"/>
  <c r="AB22" i="3"/>
  <c r="AB20" i="3"/>
  <c r="AB18" i="3"/>
  <c r="AB16" i="3"/>
  <c r="AB14" i="3"/>
  <c r="AB11" i="3"/>
  <c r="AB10" i="3"/>
  <c r="AB8" i="3"/>
  <c r="AB87" i="3"/>
  <c r="AB80" i="3"/>
  <c r="AB76" i="3"/>
  <c r="AB72" i="3"/>
  <c r="AB68" i="3"/>
  <c r="AB64" i="3"/>
  <c r="AB60" i="3"/>
  <c r="AB57" i="3"/>
  <c r="AB53" i="3"/>
  <c r="AB49" i="3"/>
  <c r="AB45" i="3"/>
  <c r="AB40" i="3"/>
  <c r="AB37" i="3"/>
  <c r="AB36" i="3"/>
  <c r="AB30" i="3"/>
  <c r="AB28" i="3"/>
  <c r="AB27" i="3"/>
  <c r="AB23" i="3"/>
  <c r="AB21" i="3"/>
  <c r="AB19" i="3"/>
  <c r="AB17" i="3"/>
  <c r="AB15" i="3"/>
  <c r="AB13" i="3"/>
  <c r="AB12" i="3"/>
  <c r="AB9" i="3"/>
  <c r="AB7" i="3"/>
  <c r="AC5" i="3"/>
  <c r="AB6" i="3"/>
  <c r="AC93" i="3" l="1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100" i="3"/>
  <c r="AC99" i="3"/>
  <c r="AC98" i="3"/>
  <c r="AC97" i="3"/>
  <c r="AC96" i="3"/>
  <c r="AC95" i="3"/>
  <c r="AC94" i="3"/>
  <c r="AC64" i="3"/>
  <c r="AC62" i="3"/>
  <c r="AC60" i="3"/>
  <c r="AC58" i="3"/>
  <c r="AC57" i="3"/>
  <c r="AC56" i="3"/>
  <c r="AC55" i="3"/>
  <c r="AC54" i="3"/>
  <c r="AC53" i="3"/>
  <c r="AC52" i="3"/>
  <c r="AC51" i="3"/>
  <c r="AC50" i="3"/>
  <c r="AC49" i="3"/>
  <c r="AC48" i="3"/>
  <c r="AC47" i="3"/>
  <c r="AC46" i="3"/>
  <c r="AC45" i="3"/>
  <c r="AC44" i="3"/>
  <c r="AC43" i="3"/>
  <c r="AC42" i="3"/>
  <c r="AC40" i="3"/>
  <c r="AC39" i="3"/>
  <c r="AC38" i="3"/>
  <c r="AC65" i="3"/>
  <c r="AC63" i="3"/>
  <c r="AC61" i="3"/>
  <c r="AC59" i="3"/>
  <c r="AC37" i="3"/>
  <c r="AC36" i="3"/>
  <c r="AC41" i="3"/>
  <c r="AC34" i="3"/>
  <c r="AC31" i="3"/>
  <c r="AC27" i="3"/>
  <c r="AC26" i="3"/>
  <c r="AC25" i="3"/>
  <c r="AC24" i="3"/>
  <c r="AC22" i="3"/>
  <c r="AC20" i="3"/>
  <c r="AC18" i="3"/>
  <c r="AC16" i="3"/>
  <c r="AC14" i="3"/>
  <c r="AC12" i="3"/>
  <c r="AC9" i="3"/>
  <c r="AC7" i="3"/>
  <c r="AC66" i="3"/>
  <c r="AC35" i="3"/>
  <c r="AC33" i="3"/>
  <c r="AC32" i="3"/>
  <c r="AC30" i="3"/>
  <c r="AC29" i="3"/>
  <c r="AC28" i="3"/>
  <c r="AC23" i="3"/>
  <c r="AC21" i="3"/>
  <c r="AC19" i="3"/>
  <c r="AC17" i="3"/>
  <c r="AC15" i="3"/>
  <c r="AC13" i="3"/>
  <c r="AC11" i="3"/>
  <c r="AC10" i="3"/>
  <c r="AC8" i="3"/>
  <c r="AD5" i="3"/>
  <c r="AC6" i="3"/>
  <c r="AD99" i="3" l="1"/>
  <c r="AD97" i="3"/>
  <c r="AD95" i="3"/>
  <c r="AD89" i="3"/>
  <c r="AD87" i="3"/>
  <c r="AD85" i="3"/>
  <c r="AD83" i="3"/>
  <c r="AD81" i="3"/>
  <c r="AD94" i="3"/>
  <c r="AD93" i="3"/>
  <c r="AD91" i="3"/>
  <c r="AD100" i="3"/>
  <c r="AD96" i="3"/>
  <c r="AD88" i="3"/>
  <c r="AD84" i="3"/>
  <c r="AD79" i="3"/>
  <c r="AD78" i="3"/>
  <c r="AD76" i="3"/>
  <c r="AD74" i="3"/>
  <c r="AD72" i="3"/>
  <c r="AD70" i="3"/>
  <c r="AD68" i="3"/>
  <c r="AD66" i="3"/>
  <c r="AD64" i="3"/>
  <c r="AD62" i="3"/>
  <c r="AD60" i="3"/>
  <c r="AD57" i="3"/>
  <c r="AD55" i="3"/>
  <c r="AD53" i="3"/>
  <c r="AD51" i="3"/>
  <c r="AD49" i="3"/>
  <c r="AD47" i="3"/>
  <c r="AD45" i="3"/>
  <c r="AD43" i="3"/>
  <c r="AD40" i="3"/>
  <c r="AD37" i="3"/>
  <c r="AD36" i="3"/>
  <c r="AD35" i="3"/>
  <c r="AD33" i="3"/>
  <c r="AD30" i="3"/>
  <c r="AD86" i="3"/>
  <c r="AD80" i="3"/>
  <c r="AD77" i="3"/>
  <c r="AD73" i="3"/>
  <c r="AD69" i="3"/>
  <c r="AD65" i="3"/>
  <c r="AD61" i="3"/>
  <c r="AD58" i="3"/>
  <c r="AD54" i="3"/>
  <c r="AD50" i="3"/>
  <c r="AD46" i="3"/>
  <c r="AD38" i="3"/>
  <c r="AD32" i="3"/>
  <c r="AD28" i="3"/>
  <c r="AD27" i="3"/>
  <c r="AD23" i="3"/>
  <c r="AD21" i="3"/>
  <c r="AD19" i="3"/>
  <c r="AD17" i="3"/>
  <c r="AD15" i="3"/>
  <c r="AD13" i="3"/>
  <c r="AD12" i="3"/>
  <c r="AD9" i="3"/>
  <c r="AD7" i="3"/>
  <c r="AD98" i="3"/>
  <c r="AD90" i="3"/>
  <c r="AD82" i="3"/>
  <c r="AD92" i="3"/>
  <c r="AD75" i="3"/>
  <c r="AD71" i="3"/>
  <c r="AD67" i="3"/>
  <c r="AD63" i="3"/>
  <c r="AD59" i="3"/>
  <c r="AD56" i="3"/>
  <c r="AD52" i="3"/>
  <c r="AD48" i="3"/>
  <c r="AD44" i="3"/>
  <c r="AD42" i="3"/>
  <c r="AD41" i="3"/>
  <c r="AD39" i="3"/>
  <c r="AD34" i="3"/>
  <c r="AD31" i="3"/>
  <c r="AD29" i="3"/>
  <c r="AD26" i="3"/>
  <c r="AD25" i="3"/>
  <c r="AD24" i="3"/>
  <c r="AD22" i="3"/>
  <c r="AD20" i="3"/>
  <c r="AD18" i="3"/>
  <c r="AD16" i="3"/>
  <c r="AD14" i="3"/>
  <c r="AD10" i="3"/>
  <c r="AD11" i="3"/>
  <c r="AD8" i="3"/>
  <c r="AE5" i="3"/>
  <c r="AD6" i="3"/>
  <c r="AE100" i="3" l="1"/>
  <c r="AE99" i="3"/>
  <c r="AE98" i="3"/>
  <c r="AE97" i="3"/>
  <c r="AE96" i="3"/>
  <c r="AE95" i="3"/>
  <c r="AE94" i="3"/>
  <c r="AE90" i="3"/>
  <c r="AE89" i="3"/>
  <c r="AE88" i="3"/>
  <c r="AE87" i="3"/>
  <c r="AE86" i="3"/>
  <c r="AE85" i="3"/>
  <c r="AE84" i="3"/>
  <c r="AE83" i="3"/>
  <c r="AE82" i="3"/>
  <c r="AE81" i="3"/>
  <c r="AE80" i="3"/>
  <c r="AE79" i="3"/>
  <c r="AE66" i="3"/>
  <c r="AE41" i="3"/>
  <c r="AE93" i="3"/>
  <c r="AE91" i="3"/>
  <c r="AE78" i="3"/>
  <c r="AE76" i="3"/>
  <c r="AE74" i="3"/>
  <c r="AE72" i="3"/>
  <c r="AE70" i="3"/>
  <c r="AE68" i="3"/>
  <c r="AE42" i="3"/>
  <c r="AE38" i="3"/>
  <c r="AE64" i="3"/>
  <c r="AE62" i="3"/>
  <c r="AE60" i="3"/>
  <c r="AE37" i="3"/>
  <c r="AE35" i="3"/>
  <c r="AE33" i="3"/>
  <c r="AE32" i="3"/>
  <c r="AE30" i="3"/>
  <c r="AE29" i="3"/>
  <c r="AE28" i="3"/>
  <c r="AE23" i="3"/>
  <c r="AE21" i="3"/>
  <c r="AE19" i="3"/>
  <c r="AE17" i="3"/>
  <c r="AE15" i="3"/>
  <c r="AE13" i="3"/>
  <c r="AE11" i="3"/>
  <c r="AE10" i="3"/>
  <c r="AE8" i="3"/>
  <c r="AE92" i="3"/>
  <c r="AE77" i="3"/>
  <c r="AE75" i="3"/>
  <c r="AE73" i="3"/>
  <c r="AE71" i="3"/>
  <c r="AE69" i="3"/>
  <c r="AE67" i="3"/>
  <c r="AE65" i="3"/>
  <c r="AE63" i="3"/>
  <c r="AE61" i="3"/>
  <c r="AE59" i="3"/>
  <c r="AE58" i="3"/>
  <c r="AE57" i="3"/>
  <c r="AE56" i="3"/>
  <c r="AE55" i="3"/>
  <c r="AE54" i="3"/>
  <c r="AE53" i="3"/>
  <c r="AE52" i="3"/>
  <c r="AE51" i="3"/>
  <c r="AE50" i="3"/>
  <c r="AE49" i="3"/>
  <c r="AE48" i="3"/>
  <c r="AE47" i="3"/>
  <c r="AE46" i="3"/>
  <c r="AE45" i="3"/>
  <c r="AE44" i="3"/>
  <c r="AE43" i="3"/>
  <c r="AE40" i="3"/>
  <c r="AE39" i="3"/>
  <c r="AE36" i="3"/>
  <c r="AE34" i="3"/>
  <c r="AE31" i="3"/>
  <c r="AE27" i="3"/>
  <c r="AE26" i="3"/>
  <c r="AE25" i="3"/>
  <c r="AE24" i="3"/>
  <c r="AE22" i="3"/>
  <c r="AE20" i="3"/>
  <c r="AE18" i="3"/>
  <c r="AE16" i="3"/>
  <c r="AE14" i="3"/>
  <c r="AE12" i="3"/>
  <c r="AE7" i="3"/>
  <c r="AE9" i="3"/>
  <c r="AF5" i="3"/>
  <c r="AE6" i="3"/>
  <c r="AF93" i="3" l="1"/>
  <c r="AF92" i="3"/>
  <c r="AF91" i="3"/>
  <c r="AF90" i="3"/>
  <c r="AF88" i="3"/>
  <c r="AF86" i="3"/>
  <c r="AF84" i="3"/>
  <c r="AF82" i="3"/>
  <c r="AF80" i="3"/>
  <c r="AF79" i="3"/>
  <c r="AF100" i="3"/>
  <c r="AF98" i="3"/>
  <c r="AF96" i="3"/>
  <c r="AF94" i="3"/>
  <c r="AF87" i="3"/>
  <c r="AF83" i="3"/>
  <c r="AF77" i="3"/>
  <c r="AF75" i="3"/>
  <c r="AF73" i="3"/>
  <c r="AF71" i="3"/>
  <c r="AF69" i="3"/>
  <c r="AF67" i="3"/>
  <c r="AF65" i="3"/>
  <c r="AF63" i="3"/>
  <c r="AF61" i="3"/>
  <c r="AF59" i="3"/>
  <c r="AF58" i="3"/>
  <c r="AF56" i="3"/>
  <c r="AF54" i="3"/>
  <c r="AF52" i="3"/>
  <c r="AF50" i="3"/>
  <c r="AF48" i="3"/>
  <c r="AF46" i="3"/>
  <c r="AF44" i="3"/>
  <c r="AF42" i="3"/>
  <c r="AF41" i="3"/>
  <c r="AF39" i="3"/>
  <c r="AF38" i="3"/>
  <c r="AF34" i="3"/>
  <c r="AF32" i="3"/>
  <c r="AF31" i="3"/>
  <c r="AF29" i="3"/>
  <c r="AF99" i="3"/>
  <c r="AF95" i="3"/>
  <c r="AF89" i="3"/>
  <c r="AF81" i="3"/>
  <c r="AF76" i="3"/>
  <c r="AF72" i="3"/>
  <c r="AF68" i="3"/>
  <c r="AF64" i="3"/>
  <c r="AF60" i="3"/>
  <c r="AF57" i="3"/>
  <c r="AF53" i="3"/>
  <c r="AF49" i="3"/>
  <c r="AF45" i="3"/>
  <c r="AF40" i="3"/>
  <c r="AF37" i="3"/>
  <c r="AF36" i="3"/>
  <c r="AF30" i="3"/>
  <c r="AF26" i="3"/>
  <c r="AF25" i="3"/>
  <c r="AF24" i="3"/>
  <c r="AF22" i="3"/>
  <c r="AF20" i="3"/>
  <c r="AF18" i="3"/>
  <c r="AF16" i="3"/>
  <c r="AF14" i="3"/>
  <c r="AF11" i="3"/>
  <c r="AF10" i="3"/>
  <c r="AF8" i="3"/>
  <c r="AF97" i="3"/>
  <c r="AF85" i="3"/>
  <c r="AF78" i="3"/>
  <c r="AF74" i="3"/>
  <c r="AF70" i="3"/>
  <c r="AF66" i="3"/>
  <c r="AF62" i="3"/>
  <c r="AF55" i="3"/>
  <c r="AF51" i="3"/>
  <c r="AF47" i="3"/>
  <c r="AF43" i="3"/>
  <c r="AF35" i="3"/>
  <c r="AF33" i="3"/>
  <c r="AF28" i="3"/>
  <c r="AF27" i="3"/>
  <c r="AF23" i="3"/>
  <c r="AF21" i="3"/>
  <c r="AF19" i="3"/>
  <c r="AF17" i="3"/>
  <c r="AF15" i="3"/>
  <c r="AF13" i="3"/>
  <c r="AF7" i="3"/>
  <c r="AF12" i="3"/>
  <c r="AF9" i="3"/>
  <c r="AG5" i="3"/>
  <c r="AF6" i="3"/>
  <c r="AG93" i="3" l="1"/>
  <c r="AG92" i="3"/>
  <c r="AG91" i="3"/>
  <c r="AG90" i="3"/>
  <c r="AG89" i="3"/>
  <c r="AG88" i="3"/>
  <c r="AG87" i="3"/>
  <c r="AG86" i="3"/>
  <c r="AG85" i="3"/>
  <c r="AG84" i="3"/>
  <c r="AG83" i="3"/>
  <c r="AG82" i="3"/>
  <c r="AG81" i="3"/>
  <c r="AG80" i="3"/>
  <c r="AG79" i="3"/>
  <c r="AG78" i="3"/>
  <c r="AG77" i="3"/>
  <c r="AG76" i="3"/>
  <c r="AG75" i="3"/>
  <c r="AG74" i="3"/>
  <c r="AG73" i="3"/>
  <c r="AG72" i="3"/>
  <c r="AG71" i="3"/>
  <c r="AG70" i="3"/>
  <c r="AG69" i="3"/>
  <c r="AG68" i="3"/>
  <c r="AG67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0" i="3"/>
  <c r="AG39" i="3"/>
  <c r="AG38" i="3"/>
  <c r="AG99" i="3"/>
  <c r="AG97" i="3"/>
  <c r="AG95" i="3"/>
  <c r="AG66" i="3"/>
  <c r="AG64" i="3"/>
  <c r="AG62" i="3"/>
  <c r="AG60" i="3"/>
  <c r="AG37" i="3"/>
  <c r="AG34" i="3"/>
  <c r="AG31" i="3"/>
  <c r="AG27" i="3"/>
  <c r="AG26" i="3"/>
  <c r="AG25" i="3"/>
  <c r="AG24" i="3"/>
  <c r="AG22" i="3"/>
  <c r="AG20" i="3"/>
  <c r="AG18" i="3"/>
  <c r="AG16" i="3"/>
  <c r="AG14" i="3"/>
  <c r="AG12" i="3"/>
  <c r="AG9" i="3"/>
  <c r="AG7" i="3"/>
  <c r="AG100" i="3"/>
  <c r="AG98" i="3"/>
  <c r="AG96" i="3"/>
  <c r="AG94" i="3"/>
  <c r="AG41" i="3"/>
  <c r="AG65" i="3"/>
  <c r="AG63" i="3"/>
  <c r="AG61" i="3"/>
  <c r="AG59" i="3"/>
  <c r="AG36" i="3"/>
  <c r="AG35" i="3"/>
  <c r="AG33" i="3"/>
  <c r="AG32" i="3"/>
  <c r="AG30" i="3"/>
  <c r="AG29" i="3"/>
  <c r="AG28" i="3"/>
  <c r="AG23" i="3"/>
  <c r="AG21" i="3"/>
  <c r="AG19" i="3"/>
  <c r="AG17" i="3"/>
  <c r="AG15" i="3"/>
  <c r="AG13" i="3"/>
  <c r="AG11" i="3"/>
  <c r="AG10" i="3"/>
  <c r="AG8" i="3"/>
  <c r="AH5" i="3"/>
  <c r="AG6" i="3"/>
  <c r="AH100" i="3" l="1"/>
  <c r="AH98" i="3"/>
  <c r="AH96" i="3"/>
  <c r="AH89" i="3"/>
  <c r="AH87" i="3"/>
  <c r="AH85" i="3"/>
  <c r="AH83" i="3"/>
  <c r="AH81" i="3"/>
  <c r="AH92" i="3"/>
  <c r="AH90" i="3"/>
  <c r="AH97" i="3"/>
  <c r="AH86" i="3"/>
  <c r="AH82" i="3"/>
  <c r="AH91" i="3"/>
  <c r="AH80" i="3"/>
  <c r="AH78" i="3"/>
  <c r="AH76" i="3"/>
  <c r="AH74" i="3"/>
  <c r="AH72" i="3"/>
  <c r="AH70" i="3"/>
  <c r="AH68" i="3"/>
  <c r="AH66" i="3"/>
  <c r="AH64" i="3"/>
  <c r="AH62" i="3"/>
  <c r="AH60" i="3"/>
  <c r="AH57" i="3"/>
  <c r="AH55" i="3"/>
  <c r="AH53" i="3"/>
  <c r="AH51" i="3"/>
  <c r="AH49" i="3"/>
  <c r="AH47" i="3"/>
  <c r="AH45" i="3"/>
  <c r="AH43" i="3"/>
  <c r="AH40" i="3"/>
  <c r="AH37" i="3"/>
  <c r="AH36" i="3"/>
  <c r="AH35" i="3"/>
  <c r="AH33" i="3"/>
  <c r="AH30" i="3"/>
  <c r="AH95" i="3"/>
  <c r="AH84" i="3"/>
  <c r="AH75" i="3"/>
  <c r="AH71" i="3"/>
  <c r="AH67" i="3"/>
  <c r="AH63" i="3"/>
  <c r="AH59" i="3"/>
  <c r="AH56" i="3"/>
  <c r="AH52" i="3"/>
  <c r="AH48" i="3"/>
  <c r="AH44" i="3"/>
  <c r="AH42" i="3"/>
  <c r="AH41" i="3"/>
  <c r="AH39" i="3"/>
  <c r="AH34" i="3"/>
  <c r="AH31" i="3"/>
  <c r="AH29" i="3"/>
  <c r="AH28" i="3"/>
  <c r="AH27" i="3"/>
  <c r="AH23" i="3"/>
  <c r="AH21" i="3"/>
  <c r="AH19" i="3"/>
  <c r="AH17" i="3"/>
  <c r="AH15" i="3"/>
  <c r="AH13" i="3"/>
  <c r="AH12" i="3"/>
  <c r="AH9" i="3"/>
  <c r="AH7" i="3"/>
  <c r="AH99" i="3"/>
  <c r="AH94" i="3"/>
  <c r="AH88" i="3"/>
  <c r="AH93" i="3"/>
  <c r="AH79" i="3"/>
  <c r="AH77" i="3"/>
  <c r="AH73" i="3"/>
  <c r="AH69" i="3"/>
  <c r="AH65" i="3"/>
  <c r="AH61" i="3"/>
  <c r="AH58" i="3"/>
  <c r="AH54" i="3"/>
  <c r="AH50" i="3"/>
  <c r="AH46" i="3"/>
  <c r="AH38" i="3"/>
  <c r="AH32" i="3"/>
  <c r="AH26" i="3"/>
  <c r="AH25" i="3"/>
  <c r="AH24" i="3"/>
  <c r="AH22" i="3"/>
  <c r="AH20" i="3"/>
  <c r="AH18" i="3"/>
  <c r="AH16" i="3"/>
  <c r="AH14" i="3"/>
  <c r="AH11" i="3"/>
  <c r="AH8" i="3"/>
  <c r="AH10" i="3"/>
  <c r="AH6" i="3"/>
  <c r="E1" i="3" s="1"/>
  <c r="AN13" i="3" l="1"/>
  <c r="AN11" i="3"/>
  <c r="AN16" i="3"/>
  <c r="AN8" i="3"/>
  <c r="AN14" i="3"/>
  <c r="AN12" i="3"/>
  <c r="AN21" i="3"/>
  <c r="AN19" i="3"/>
  <c r="AN7" i="3"/>
  <c r="AN20" i="3"/>
  <c r="AN9" i="3"/>
  <c r="AN22" i="3"/>
  <c r="AN10" i="3"/>
  <c r="AI46" i="3"/>
  <c r="AK46" i="3"/>
  <c r="AJ46" i="3"/>
  <c r="AJ11" i="3"/>
  <c r="AK11" i="3"/>
  <c r="AI11" i="3"/>
  <c r="AK23" i="3"/>
  <c r="AJ23" i="3"/>
  <c r="AI23" i="3"/>
  <c r="AJ41" i="3"/>
  <c r="AI41" i="3"/>
  <c r="AK41" i="3"/>
  <c r="AK37" i="3"/>
  <c r="AJ37" i="3"/>
  <c r="AI37" i="3"/>
  <c r="AI44" i="3"/>
  <c r="AK44" i="3"/>
  <c r="AJ44" i="3"/>
  <c r="AI30" i="3"/>
  <c r="AK30" i="3"/>
  <c r="AJ30" i="3"/>
  <c r="AI20" i="3"/>
  <c r="AK20" i="3"/>
  <c r="AJ20" i="3"/>
  <c r="AI14" i="3"/>
  <c r="AK14" i="3"/>
  <c r="AJ14" i="3"/>
  <c r="AK8" i="3"/>
  <c r="AI8" i="3"/>
  <c r="AJ8" i="3"/>
  <c r="AI25" i="3"/>
  <c r="AK25" i="3"/>
  <c r="AJ25" i="3"/>
  <c r="AJ9" i="3"/>
  <c r="AK9" i="3"/>
  <c r="AI9" i="3"/>
  <c r="AI21" i="3"/>
  <c r="AK21" i="3"/>
  <c r="AJ21" i="3"/>
  <c r="AK17" i="3"/>
  <c r="AI17" i="3"/>
  <c r="AJ17" i="3"/>
  <c r="AJ42" i="3"/>
  <c r="AK42" i="3"/>
  <c r="AI42" i="3"/>
  <c r="AK38" i="3"/>
  <c r="AJ38" i="3"/>
  <c r="AI38" i="3"/>
  <c r="AI32" i="3"/>
  <c r="AK32" i="3"/>
  <c r="AJ32" i="3"/>
  <c r="AK24" i="3"/>
  <c r="AJ24" i="3"/>
  <c r="AI24" i="3"/>
  <c r="AI18" i="3"/>
  <c r="AK18" i="3"/>
  <c r="AJ18" i="3"/>
  <c r="AI29" i="3"/>
  <c r="AJ29" i="3"/>
  <c r="AK29" i="3"/>
  <c r="AJ27" i="3"/>
  <c r="AK27" i="3"/>
  <c r="AI27" i="3"/>
  <c r="AK45" i="3"/>
  <c r="AI45" i="3"/>
  <c r="AJ45" i="3"/>
  <c r="AJ39" i="3"/>
  <c r="AI39" i="3"/>
  <c r="AK39" i="3"/>
  <c r="AK35" i="3"/>
  <c r="AJ35" i="3"/>
  <c r="AI35" i="3"/>
  <c r="AK34" i="3"/>
  <c r="AJ34" i="3"/>
  <c r="AI34" i="3"/>
  <c r="AI26" i="3"/>
  <c r="AJ26" i="3"/>
  <c r="AK26" i="3"/>
  <c r="AI16" i="3"/>
  <c r="AK16" i="3"/>
  <c r="AJ16" i="3"/>
  <c r="AI12" i="3"/>
  <c r="AJ12" i="3"/>
  <c r="AK12" i="3"/>
  <c r="AI33" i="3"/>
  <c r="AK33" i="3"/>
  <c r="AJ33" i="3"/>
  <c r="AJ13" i="3"/>
  <c r="AI13" i="3"/>
  <c r="AK13" i="3"/>
  <c r="AQ13" i="3" s="1"/>
  <c r="AI31" i="3"/>
  <c r="AK31" i="3"/>
  <c r="AJ31" i="3"/>
  <c r="AI19" i="3"/>
  <c r="AJ19" i="3"/>
  <c r="AK19" i="3"/>
  <c r="AK15" i="3"/>
  <c r="AI15" i="3"/>
  <c r="AJ15" i="3"/>
  <c r="AK43" i="3"/>
  <c r="AI43" i="3"/>
  <c r="AJ43" i="3"/>
  <c r="AJ40" i="3"/>
  <c r="AK40" i="3"/>
  <c r="AI40" i="3"/>
  <c r="AI36" i="3"/>
  <c r="AK36" i="3"/>
  <c r="AJ36" i="3"/>
  <c r="AJ28" i="3"/>
  <c r="AK28" i="3"/>
  <c r="AI28" i="3"/>
  <c r="AK22" i="3"/>
  <c r="AJ22" i="3"/>
  <c r="AI22" i="3"/>
  <c r="AJ10" i="3"/>
  <c r="AI10" i="3"/>
  <c r="AK10" i="3"/>
  <c r="AK7" i="3"/>
  <c r="AI7" i="3"/>
  <c r="AJ7" i="3"/>
  <c r="AQ14" i="3" l="1"/>
  <c r="AQ8" i="3"/>
  <c r="AQ12" i="3"/>
  <c r="AQ10" i="3"/>
  <c r="AQ9" i="3"/>
  <c r="AQ7" i="3"/>
  <c r="AQ11" i="3"/>
  <c r="AQ22" i="3"/>
  <c r="AQ16" i="3"/>
  <c r="AQ20" i="3"/>
  <c r="AQ21" i="3"/>
  <c r="AQ19" i="3"/>
  <c r="AL42" i="3"/>
  <c r="AL40" i="3"/>
  <c r="AN40" i="3" s="1"/>
  <c r="AL11" i="3"/>
  <c r="D11" i="5" s="1"/>
  <c r="AL27" i="3"/>
  <c r="AN27" i="3" s="1"/>
  <c r="AL9" i="3"/>
  <c r="D9" i="5" s="1"/>
  <c r="AL28" i="3"/>
  <c r="AN28" i="3" s="1"/>
  <c r="AL34" i="3"/>
  <c r="AN34" i="3" s="1"/>
  <c r="AL45" i="3"/>
  <c r="AL22" i="3"/>
  <c r="D22" i="5" s="1"/>
  <c r="AL43" i="3"/>
  <c r="AN43" i="3" s="1"/>
  <c r="AL13" i="3"/>
  <c r="D13" i="5" s="1"/>
  <c r="AL46" i="3"/>
  <c r="AL17" i="3"/>
  <c r="AL10" i="3"/>
  <c r="D10" i="5" s="1"/>
  <c r="AL36" i="3"/>
  <c r="AN36" i="3" s="1"/>
  <c r="AL15" i="3"/>
  <c r="D15" i="5" s="1"/>
  <c r="AL19" i="3"/>
  <c r="D19" i="5" s="1"/>
  <c r="AL12" i="3"/>
  <c r="D12" i="5" s="1"/>
  <c r="AL26" i="3"/>
  <c r="AN26" i="3" s="1"/>
  <c r="AL35" i="3"/>
  <c r="AN35" i="3" s="1"/>
  <c r="AL39" i="3"/>
  <c r="AN39" i="3" s="1"/>
  <c r="AL29" i="3"/>
  <c r="AN29" i="3" s="1"/>
  <c r="AL24" i="3"/>
  <c r="D24" i="5" s="1"/>
  <c r="AL38" i="3"/>
  <c r="AN38" i="3" s="1"/>
  <c r="AL20" i="3"/>
  <c r="D20" i="5" s="1"/>
  <c r="AL44" i="3"/>
  <c r="AN44" i="3" s="1"/>
  <c r="AS12" i="3"/>
  <c r="AZ12" i="3"/>
  <c r="AL31" i="3"/>
  <c r="AN31" i="3" s="1"/>
  <c r="AL33" i="3"/>
  <c r="AN33" i="3" s="1"/>
  <c r="AL16" i="3"/>
  <c r="D16" i="5" s="1"/>
  <c r="AL18" i="3"/>
  <c r="D18" i="5" s="1"/>
  <c r="AL32" i="3"/>
  <c r="AN32" i="3" s="1"/>
  <c r="AL21" i="3"/>
  <c r="D21" i="5" s="1"/>
  <c r="AL25" i="3"/>
  <c r="AL8" i="3"/>
  <c r="D8" i="5" s="1"/>
  <c r="AL14" i="3"/>
  <c r="D14" i="5" s="1"/>
  <c r="AL30" i="3"/>
  <c r="AN30" i="3" s="1"/>
  <c r="AL37" i="3"/>
  <c r="AN37" i="3" s="1"/>
  <c r="AL41" i="3"/>
  <c r="AN41" i="3" s="1"/>
  <c r="AL23" i="3"/>
  <c r="D23" i="5" s="1"/>
  <c r="K23" i="5" s="1"/>
  <c r="AS8" i="3"/>
  <c r="AU8" i="3"/>
  <c r="AU14" i="3"/>
  <c r="AV14" i="3"/>
  <c r="AR14" i="3"/>
  <c r="AS14" i="3"/>
  <c r="AT14" i="3"/>
  <c r="AV13" i="3"/>
  <c r="AR13" i="3"/>
  <c r="AS13" i="3"/>
  <c r="AU13" i="3"/>
  <c r="AT13" i="3"/>
  <c r="AZ10" i="3"/>
  <c r="AL7" i="3"/>
  <c r="D7" i="5" s="1"/>
  <c r="AX13" i="3" l="1"/>
  <c r="AX14" i="3"/>
  <c r="AU21" i="3"/>
  <c r="AS7" i="3"/>
  <c r="AT8" i="3"/>
  <c r="AR11" i="3"/>
  <c r="AZ11" i="3" s="1"/>
  <c r="AU16" i="3"/>
  <c r="AV9" i="3"/>
  <c r="AV12" i="3"/>
  <c r="AV19" i="3"/>
  <c r="AR22" i="3"/>
  <c r="AR10" i="3"/>
  <c r="AY10" i="3" s="1"/>
  <c r="AT12" i="3"/>
  <c r="AS10" i="3"/>
  <c r="AV8" i="3"/>
  <c r="AR8" i="3"/>
  <c r="AM23" i="3"/>
  <c r="AN23" i="3" s="1"/>
  <c r="AQ23" i="3" s="1"/>
  <c r="AS23" i="3" s="1"/>
  <c r="L23" i="5"/>
  <c r="AT9" i="3"/>
  <c r="D25" i="5"/>
  <c r="AN25" i="3"/>
  <c r="AQ25" i="3" s="1"/>
  <c r="L24" i="5"/>
  <c r="AM24" i="3"/>
  <c r="AN24" i="3" s="1"/>
  <c r="AQ24" i="3" s="1"/>
  <c r="AR12" i="3"/>
  <c r="AY12" i="3" s="1"/>
  <c r="AT10" i="3"/>
  <c r="AV10" i="3"/>
  <c r="AU10" i="3"/>
  <c r="AU9" i="3"/>
  <c r="AM18" i="3"/>
  <c r="AN18" i="3" s="1"/>
  <c r="AQ18" i="3" s="1"/>
  <c r="L18" i="5"/>
  <c r="AR9" i="3"/>
  <c r="AZ9" i="3" s="1"/>
  <c r="AU12" i="3"/>
  <c r="AT21" i="3"/>
  <c r="AT22" i="3"/>
  <c r="AS21" i="3"/>
  <c r="AR16" i="3"/>
  <c r="AY16" i="3" s="1"/>
  <c r="AT7" i="3"/>
  <c r="AR7" i="3"/>
  <c r="AU7" i="3"/>
  <c r="AV7" i="3"/>
  <c r="AV16" i="3"/>
  <c r="AS16" i="3"/>
  <c r="AS9" i="3"/>
  <c r="AT16" i="3"/>
  <c r="AU22" i="3"/>
  <c r="AV21" i="3"/>
  <c r="AR19" i="3"/>
  <c r="AY19" i="3" s="1"/>
  <c r="AV11" i="3"/>
  <c r="AU11" i="3"/>
  <c r="AT11" i="3"/>
  <c r="AS11" i="3"/>
  <c r="AV22" i="3"/>
  <c r="AS22" i="3"/>
  <c r="BC13" i="3"/>
  <c r="AS19" i="3"/>
  <c r="AR21" i="3"/>
  <c r="AU20" i="3"/>
  <c r="AV20" i="3"/>
  <c r="AT19" i="3"/>
  <c r="AU19" i="3"/>
  <c r="AT20" i="3"/>
  <c r="AR20" i="3"/>
  <c r="AY20" i="3" s="1"/>
  <c r="AS20" i="3"/>
  <c r="F3" i="11"/>
  <c r="L15" i="5"/>
  <c r="AM15" i="3"/>
  <c r="AN15" i="3" s="1"/>
  <c r="AQ15" i="3" s="1"/>
  <c r="AN42" i="3"/>
  <c r="AQ42" i="3" s="1"/>
  <c r="D17" i="5"/>
  <c r="K17" i="5" s="1"/>
  <c r="E10" i="7"/>
  <c r="AQ41" i="3"/>
  <c r="AQ39" i="3"/>
  <c r="AQ29" i="3"/>
  <c r="AQ37" i="3"/>
  <c r="AQ35" i="3"/>
  <c r="AQ45" i="3"/>
  <c r="AQ30" i="3"/>
  <c r="AQ26" i="3"/>
  <c r="AQ34" i="3"/>
  <c r="AQ43" i="3"/>
  <c r="AQ28" i="3"/>
  <c r="AQ33" i="3"/>
  <c r="AQ27" i="3"/>
  <c r="AQ36" i="3"/>
  <c r="AQ32" i="3"/>
  <c r="AQ44" i="3"/>
  <c r="AQ40" i="3"/>
  <c r="AQ31" i="3"/>
  <c r="AQ38" i="3"/>
  <c r="AZ13" i="3"/>
  <c r="AY13" i="3"/>
  <c r="AY8" i="3"/>
  <c r="AZ8" i="3"/>
  <c r="AZ40" i="3"/>
  <c r="AY40" i="3"/>
  <c r="AY14" i="3"/>
  <c r="AZ14" i="3"/>
  <c r="AY9" i="3"/>
  <c r="AY11" i="3"/>
  <c r="AZ41" i="3"/>
  <c r="BA41" i="3"/>
  <c r="BB41" i="3"/>
  <c r="AX11" i="3" l="1"/>
  <c r="BC11" i="3" s="1"/>
  <c r="AX21" i="3"/>
  <c r="BC21" i="3" s="1"/>
  <c r="AZ16" i="3"/>
  <c r="AX16" i="3"/>
  <c r="BC16" i="3" s="1"/>
  <c r="AX12" i="3"/>
  <c r="BC12" i="3" s="1"/>
  <c r="AX8" i="3"/>
  <c r="BC8" i="3" s="1"/>
  <c r="AX7" i="3"/>
  <c r="BC7" i="3" s="1"/>
  <c r="AX22" i="3"/>
  <c r="BC22" i="3" s="1"/>
  <c r="AX10" i="3"/>
  <c r="BC10" i="3" s="1"/>
  <c r="AT18" i="3"/>
  <c r="AT23" i="3"/>
  <c r="AZ22" i="3"/>
  <c r="AX19" i="3"/>
  <c r="AX9" i="3"/>
  <c r="BC9" i="3" s="1"/>
  <c r="AR24" i="3"/>
  <c r="AY24" i="3" s="1"/>
  <c r="AY22" i="3"/>
  <c r="AX20" i="3"/>
  <c r="AZ19" i="3"/>
  <c r="AU23" i="3"/>
  <c r="AR23" i="3"/>
  <c r="AV23" i="3"/>
  <c r="L17" i="5"/>
  <c r="E11" i="7" s="1"/>
  <c r="AU24" i="3"/>
  <c r="AV24" i="3"/>
  <c r="AT24" i="3"/>
  <c r="AS24" i="3"/>
  <c r="AV18" i="3"/>
  <c r="AR18" i="3"/>
  <c r="AS18" i="3"/>
  <c r="AU18" i="3"/>
  <c r="AY23" i="3"/>
  <c r="AZ23" i="3"/>
  <c r="AY21" i="3"/>
  <c r="AZ20" i="3"/>
  <c r="AZ21" i="3"/>
  <c r="AU37" i="3"/>
  <c r="AT43" i="3"/>
  <c r="AV15" i="3"/>
  <c r="AS15" i="3"/>
  <c r="AU15" i="3"/>
  <c r="AR15" i="3"/>
  <c r="AT15" i="3"/>
  <c r="AU42" i="3"/>
  <c r="AS42" i="3"/>
  <c r="AV42" i="3"/>
  <c r="AT42" i="3"/>
  <c r="AR42" i="3"/>
  <c r="AZ42" i="3" s="1"/>
  <c r="BA12" i="3"/>
  <c r="BA10" i="3"/>
  <c r="BA14" i="3"/>
  <c r="BC14" i="3"/>
  <c r="BB11" i="3"/>
  <c r="AY42" i="3"/>
  <c r="AT25" i="3"/>
  <c r="AV25" i="3"/>
  <c r="AR25" i="3"/>
  <c r="AU25" i="3"/>
  <c r="AS25" i="3"/>
  <c r="AM17" i="3"/>
  <c r="AN17" i="3" s="1"/>
  <c r="AR32" i="3"/>
  <c r="AZ32" i="3" s="1"/>
  <c r="AT32" i="3"/>
  <c r="AU32" i="3"/>
  <c r="AS32" i="3"/>
  <c r="AY32" i="3"/>
  <c r="AV32" i="3"/>
  <c r="AU36" i="3"/>
  <c r="AV36" i="3"/>
  <c r="AT36" i="3"/>
  <c r="AS36" i="3"/>
  <c r="AR36" i="3"/>
  <c r="AY36" i="3" s="1"/>
  <c r="AU39" i="3"/>
  <c r="AV39" i="3"/>
  <c r="AT39" i="3"/>
  <c r="AR39" i="3"/>
  <c r="AS39" i="3"/>
  <c r="AU35" i="3"/>
  <c r="AR35" i="3"/>
  <c r="AY35" i="3" s="1"/>
  <c r="AT35" i="3"/>
  <c r="AV35" i="3"/>
  <c r="AS35" i="3"/>
  <c r="AS41" i="3"/>
  <c r="AV41" i="3"/>
  <c r="AT41" i="3"/>
  <c r="AU41" i="3"/>
  <c r="AR41" i="3"/>
  <c r="AY41" i="3" s="1"/>
  <c r="AT33" i="3"/>
  <c r="AU33" i="3"/>
  <c r="AR33" i="3"/>
  <c r="AZ33" i="3" s="1"/>
  <c r="AS33" i="3"/>
  <c r="AV33" i="3"/>
  <c r="AU31" i="3"/>
  <c r="AV31" i="3"/>
  <c r="AT31" i="3"/>
  <c r="AR31" i="3"/>
  <c r="AZ31" i="3" s="1"/>
  <c r="AS31" i="3"/>
  <c r="AR45" i="3"/>
  <c r="AT45" i="3"/>
  <c r="AV45" i="3"/>
  <c r="AS45" i="3"/>
  <c r="AU45" i="3"/>
  <c r="AT29" i="3"/>
  <c r="AS29" i="3"/>
  <c r="AV29" i="3"/>
  <c r="AU29" i="3"/>
  <c r="AR29" i="3"/>
  <c r="AY29" i="3" s="1"/>
  <c r="AV26" i="3"/>
  <c r="AR26" i="3"/>
  <c r="AZ26" i="3" s="1"/>
  <c r="AS26" i="3"/>
  <c r="AU26" i="3"/>
  <c r="AT26" i="3"/>
  <c r="AU27" i="3"/>
  <c r="AV27" i="3"/>
  <c r="AR27" i="3"/>
  <c r="AY27" i="3" s="1"/>
  <c r="AT27" i="3"/>
  <c r="AS27" i="3"/>
  <c r="AV28" i="3"/>
  <c r="AR28" i="3"/>
  <c r="AY28" i="3" s="1"/>
  <c r="AU28" i="3"/>
  <c r="AT28" i="3"/>
  <c r="AS28" i="3"/>
  <c r="AS38" i="3"/>
  <c r="AT38" i="3"/>
  <c r="AV38" i="3"/>
  <c r="AU38" i="3"/>
  <c r="AR38" i="3"/>
  <c r="AX38" i="3" s="1"/>
  <c r="BF38" i="3" s="1"/>
  <c r="AU34" i="3"/>
  <c r="AR34" i="3"/>
  <c r="AZ34" i="3" s="1"/>
  <c r="AV34" i="3"/>
  <c r="AS34" i="3"/>
  <c r="AT34" i="3"/>
  <c r="AT30" i="3"/>
  <c r="AR30" i="3"/>
  <c r="AZ30" i="3" s="1"/>
  <c r="AU30" i="3"/>
  <c r="AS30" i="3"/>
  <c r="AV30" i="3"/>
  <c r="AV37" i="3"/>
  <c r="AS43" i="3"/>
  <c r="AT44" i="3"/>
  <c r="AU44" i="3"/>
  <c r="AR44" i="3"/>
  <c r="AV44" i="3"/>
  <c r="AS44" i="3"/>
  <c r="AR43" i="3"/>
  <c r="AY43" i="3" s="1"/>
  <c r="AR37" i="3"/>
  <c r="AV43" i="3"/>
  <c r="AT37" i="3"/>
  <c r="AU43" i="3"/>
  <c r="AS37" i="3"/>
  <c r="AU40" i="3"/>
  <c r="AS40" i="3"/>
  <c r="AV40" i="3"/>
  <c r="AT40" i="3"/>
  <c r="AR40" i="3"/>
  <c r="AX40" i="3" s="1"/>
  <c r="BA11" i="3"/>
  <c r="BB8" i="3"/>
  <c r="BA8" i="3"/>
  <c r="BA13" i="3"/>
  <c r="BB13" i="3"/>
  <c r="BB40" i="3"/>
  <c r="BA40" i="3"/>
  <c r="BB9" i="3"/>
  <c r="BB10" i="3"/>
  <c r="BA9" i="3"/>
  <c r="BB12" i="3"/>
  <c r="BB14" i="3"/>
  <c r="AX25" i="3" l="1"/>
  <c r="AX39" i="3"/>
  <c r="BF39" i="3" s="1"/>
  <c r="AX37" i="3"/>
  <c r="BF37" i="3" s="1"/>
  <c r="AX35" i="3"/>
  <c r="BF40" i="3"/>
  <c r="AX31" i="3"/>
  <c r="AX30" i="3"/>
  <c r="AX26" i="3"/>
  <c r="AX41" i="3"/>
  <c r="BF41" i="3" s="1"/>
  <c r="AX29" i="3"/>
  <c r="AX33" i="3"/>
  <c r="AX32" i="3"/>
  <c r="AX42" i="3"/>
  <c r="AX34" i="3"/>
  <c r="AX28" i="3"/>
  <c r="AX36" i="3"/>
  <c r="AX27" i="3"/>
  <c r="AX23" i="3"/>
  <c r="BC23" i="3" s="1"/>
  <c r="BF16" i="3"/>
  <c r="BF11" i="3"/>
  <c r="BF14" i="3"/>
  <c r="AX18" i="3"/>
  <c r="BC18" i="3" s="1"/>
  <c r="BF18" i="3" s="1"/>
  <c r="AX15" i="3"/>
  <c r="BC15" i="3" s="1"/>
  <c r="BF15" i="3" s="1"/>
  <c r="BF10" i="3"/>
  <c r="BF8" i="3"/>
  <c r="BF13" i="3"/>
  <c r="BF12" i="3"/>
  <c r="BC19" i="3"/>
  <c r="BC20" i="3"/>
  <c r="AZ24" i="3"/>
  <c r="AX24" i="3"/>
  <c r="BF9" i="3"/>
  <c r="BB19" i="3"/>
  <c r="BA19" i="3"/>
  <c r="BA21" i="3"/>
  <c r="BB21" i="3"/>
  <c r="BA22" i="3"/>
  <c r="BA23" i="3"/>
  <c r="BB22" i="3"/>
  <c r="BB23" i="3"/>
  <c r="BA20" i="3"/>
  <c r="BC25" i="3"/>
  <c r="BB20" i="3"/>
  <c r="BP42" i="3"/>
  <c r="BA42" i="3"/>
  <c r="BB42" i="3"/>
  <c r="AY25" i="3"/>
  <c r="AZ25" i="3"/>
  <c r="AZ28" i="3"/>
  <c r="AY31" i="3"/>
  <c r="AY34" i="3"/>
  <c r="AY26" i="3"/>
  <c r="C11" i="7"/>
  <c r="AZ29" i="3"/>
  <c r="BA26" i="3"/>
  <c r="AY30" i="3"/>
  <c r="BP31" i="3"/>
  <c r="AY33" i="3"/>
  <c r="BP35" i="3"/>
  <c r="BP32" i="3"/>
  <c r="BP33" i="3"/>
  <c r="AZ35" i="3"/>
  <c r="AZ43" i="3"/>
  <c r="BP27" i="3"/>
  <c r="AZ36" i="3"/>
  <c r="BP41" i="3"/>
  <c r="AZ27" i="3"/>
  <c r="BA34" i="3"/>
  <c r="AE4" i="10"/>
  <c r="AF4" i="10" s="1"/>
  <c r="BE7" i="3" s="1"/>
  <c r="BF7" i="3" s="1"/>
  <c r="C3" i="11" l="1"/>
  <c r="BF42" i="3"/>
  <c r="BF23" i="3"/>
  <c r="BF20" i="3"/>
  <c r="BF21" i="3"/>
  <c r="BF19" i="3"/>
  <c r="BF22" i="3"/>
  <c r="BC24" i="3"/>
  <c r="BA24" i="3"/>
  <c r="BB24" i="3"/>
  <c r="BB25" i="3"/>
  <c r="BA25" i="3"/>
  <c r="BF25" i="3" s="1"/>
  <c r="BP37" i="3"/>
  <c r="BB43" i="3"/>
  <c r="E17" i="7" s="1"/>
  <c r="BP43" i="3"/>
  <c r="BP45" i="3"/>
  <c r="BP39" i="3"/>
  <c r="BB26" i="3"/>
  <c r="BF26" i="3" s="1"/>
  <c r="BP26" i="3"/>
  <c r="BP28" i="3"/>
  <c r="BP44" i="3"/>
  <c r="BA30" i="3"/>
  <c r="BF30" i="3" s="1"/>
  <c r="BP30" i="3"/>
  <c r="BP38" i="3"/>
  <c r="BB29" i="3"/>
  <c r="BP29" i="3"/>
  <c r="BP40" i="3"/>
  <c r="BA36" i="3"/>
  <c r="BP36" i="3"/>
  <c r="BB34" i="3"/>
  <c r="BF34" i="3" s="1"/>
  <c r="BP34" i="3"/>
  <c r="BA28" i="3"/>
  <c r="C10" i="7"/>
  <c r="AQ17" i="3"/>
  <c r="BB28" i="3"/>
  <c r="BA29" i="3"/>
  <c r="BF29" i="3" s="1"/>
  <c r="BB36" i="3"/>
  <c r="BA43" i="3"/>
  <c r="E16" i="7" s="1"/>
  <c r="BB30" i="3"/>
  <c r="BA31" i="3"/>
  <c r="BB31" i="3"/>
  <c r="BA33" i="3"/>
  <c r="BB33" i="3"/>
  <c r="BB32" i="3"/>
  <c r="BA32" i="3"/>
  <c r="BA27" i="3"/>
  <c r="BB27" i="3"/>
  <c r="BA35" i="3"/>
  <c r="BF35" i="3" s="1"/>
  <c r="BB35" i="3"/>
  <c r="BF27" i="3" l="1"/>
  <c r="BF28" i="3"/>
  <c r="BF33" i="3"/>
  <c r="BF36" i="3"/>
  <c r="BF31" i="3"/>
  <c r="BF32" i="3"/>
  <c r="BF24" i="3"/>
  <c r="C9" i="11" s="1"/>
  <c r="C14" i="7"/>
  <c r="AR17" i="3"/>
  <c r="C15" i="7" s="1"/>
  <c r="AS17" i="3"/>
  <c r="C16" i="7" s="1"/>
  <c r="AT17" i="3"/>
  <c r="C17" i="7" s="1"/>
  <c r="AU17" i="3"/>
  <c r="C18" i="7" s="1"/>
  <c r="AV17" i="3"/>
  <c r="C19" i="7" s="1"/>
  <c r="G3" i="11" l="1"/>
  <c r="AX17" i="3"/>
  <c r="AZ17" i="3"/>
  <c r="E15" i="7" s="1"/>
  <c r="AY17" i="3"/>
  <c r="E14" i="7" s="1"/>
  <c r="J9" i="11"/>
  <c r="C6" i="11"/>
  <c r="J6" i="11" s="1"/>
  <c r="C22" i="7"/>
  <c r="J3" i="11" l="1"/>
  <c r="L3" i="11" s="1"/>
  <c r="BC17" i="3"/>
  <c r="BF17" i="3" l="1"/>
  <c r="C8" i="11" s="1"/>
  <c r="J8" i="11" s="1"/>
  <c r="J12" i="11" s="1"/>
  <c r="E18" i="7"/>
  <c r="E22" i="7" s="1"/>
  <c r="E23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D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Enter 1st day of the year here in DD-MM-YYYY Format </t>
        </r>
      </text>
    </comment>
    <comment ref="D24" authorId="0" shapeId="0" xr:uid="{00000000-0006-0000-0000-000002000000}">
      <text>
        <r>
          <rPr>
            <sz val="9"/>
            <color indexed="81"/>
            <rFont val="Tahoma"/>
            <family val="2"/>
          </rPr>
          <t>HR: Enter 1st day of april month of concerned financial year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1" authorId="0" shapeId="0" xr:uid="{00000000-0006-0000-0200-000001000000}">
      <text>
        <r>
          <rPr>
            <b/>
            <i/>
            <u/>
            <sz val="11"/>
            <color indexed="28"/>
            <rFont val="Tahoma"/>
            <family val="2"/>
          </rPr>
          <t xml:space="preserve">Author:
Don’t touch this cells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F6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formulae is applied. Don’t Put data manually 
</t>
        </r>
      </text>
    </comment>
  </commentList>
</comments>
</file>

<file path=xl/sharedStrings.xml><?xml version="1.0" encoding="utf-8"?>
<sst xmlns="http://schemas.openxmlformats.org/spreadsheetml/2006/main" count="1769" uniqueCount="255">
  <si>
    <t>Select Year</t>
  </si>
  <si>
    <t xml:space="preserve">Month-Year </t>
  </si>
  <si>
    <t xml:space="preserve">Holiday </t>
  </si>
  <si>
    <t>Sunday</t>
  </si>
  <si>
    <t>Active</t>
  </si>
  <si>
    <t>Leave Type</t>
  </si>
  <si>
    <t>Leave Code</t>
  </si>
  <si>
    <t>Previlege Leave</t>
  </si>
  <si>
    <t>Half Day</t>
  </si>
  <si>
    <t xml:space="preserve">Employee Status </t>
  </si>
  <si>
    <t>Employee Code</t>
  </si>
  <si>
    <t>Employee Name</t>
  </si>
  <si>
    <t>Designation</t>
  </si>
  <si>
    <t>SUPERVISOR</t>
  </si>
  <si>
    <t>STATUS</t>
  </si>
  <si>
    <t>UAN</t>
  </si>
  <si>
    <t>PAN</t>
  </si>
  <si>
    <t>AGE</t>
  </si>
  <si>
    <t>PF NUMBER</t>
  </si>
  <si>
    <t xml:space="preserve">BANK ACCOUNT NUMBER </t>
  </si>
  <si>
    <t>IFSC CODE</t>
  </si>
  <si>
    <t>Adhar Card No.</t>
  </si>
  <si>
    <t>ACTIVE EMPLOYEE</t>
  </si>
  <si>
    <t>Emp_0001</t>
  </si>
  <si>
    <t>Emp_0002</t>
  </si>
  <si>
    <t>AJAY SAVARA</t>
  </si>
  <si>
    <t>Emp_0003</t>
  </si>
  <si>
    <t>AKSHAY SHELAR</t>
  </si>
  <si>
    <t>NOTE</t>
  </si>
  <si>
    <t>Comments are added for the columns and rows in which formulaes are inserted</t>
  </si>
  <si>
    <t>Emp_0004</t>
  </si>
  <si>
    <t>MANISH KADAM</t>
  </si>
  <si>
    <t>Half Days</t>
  </si>
  <si>
    <t>Payable Days</t>
  </si>
  <si>
    <t xml:space="preserve">Date Of Separation </t>
  </si>
  <si>
    <t>D.O.B</t>
  </si>
  <si>
    <t>JOINING Dt.</t>
  </si>
  <si>
    <t>Transaction ID</t>
  </si>
  <si>
    <t>Date</t>
  </si>
  <si>
    <t>"1/2"</t>
  </si>
  <si>
    <t>Total Days/month</t>
  </si>
  <si>
    <t>Overtime</t>
  </si>
  <si>
    <t>OT</t>
  </si>
  <si>
    <t>Basic Salary</t>
  </si>
  <si>
    <t>Dearness Allowance</t>
  </si>
  <si>
    <t>Special Allowance</t>
  </si>
  <si>
    <t>GROSS PAYABLE</t>
  </si>
  <si>
    <t>PF Employee contribution</t>
  </si>
  <si>
    <t>ESIC Employer contribution</t>
  </si>
  <si>
    <t>ESIC Employee contribution</t>
  </si>
  <si>
    <t>Profession Tax</t>
  </si>
  <si>
    <t>TDS</t>
  </si>
  <si>
    <t>NET PAYABLE</t>
  </si>
  <si>
    <t xml:space="preserve">CTC </t>
  </si>
  <si>
    <t>Rate/Day</t>
  </si>
  <si>
    <t>PF Employers contribution
(Incl. Admin charges)</t>
  </si>
  <si>
    <t xml:space="preserve">Start date </t>
  </si>
  <si>
    <t xml:space="preserve">End date </t>
  </si>
  <si>
    <t>Total leave Balance</t>
  </si>
  <si>
    <t>PAY SLIP</t>
  </si>
  <si>
    <t>Employee Name:</t>
  </si>
  <si>
    <t>Pay Period</t>
  </si>
  <si>
    <t>Employee ID:</t>
  </si>
  <si>
    <t>PAN No</t>
  </si>
  <si>
    <t>Joining Dt.</t>
  </si>
  <si>
    <t>UAN No</t>
  </si>
  <si>
    <t xml:space="preserve">Paid Days </t>
  </si>
  <si>
    <t>Earnings</t>
  </si>
  <si>
    <t>Deductions</t>
  </si>
  <si>
    <t>Total Earnings</t>
  </si>
  <si>
    <t>Total Deduction</t>
  </si>
  <si>
    <t>Current NET Salary</t>
  </si>
  <si>
    <t>Payment Information</t>
  </si>
  <si>
    <t>Name of Bank:</t>
  </si>
  <si>
    <t>Director  Signature:</t>
  </si>
  <si>
    <t>Employee Name   :</t>
  </si>
  <si>
    <t>Emp_0005</t>
  </si>
  <si>
    <t>Emp_0006</t>
  </si>
  <si>
    <t>Emp_0007</t>
  </si>
  <si>
    <t>Emp_0008</t>
  </si>
  <si>
    <t>Emp_0009</t>
  </si>
  <si>
    <t>Emp_0010</t>
  </si>
  <si>
    <t>LWP</t>
  </si>
  <si>
    <t>Total Leave Availed</t>
  </si>
  <si>
    <t>Emp_0011</t>
  </si>
  <si>
    <t xml:space="preserve">LWP </t>
  </si>
  <si>
    <t>Leave Balance</t>
  </si>
  <si>
    <t>Availed</t>
  </si>
  <si>
    <t>Absent</t>
  </si>
  <si>
    <t>A</t>
  </si>
  <si>
    <t>AMOL PATIL</t>
  </si>
  <si>
    <t>KALPESH SHELAR</t>
  </si>
  <si>
    <t>MILIND PAWAR</t>
  </si>
  <si>
    <t>PRATIK NEVREKAR</t>
  </si>
  <si>
    <t>PRATIK PATIL</t>
  </si>
  <si>
    <t>SHRINIVAS IRABHATTI</t>
  </si>
  <si>
    <t>VAHILE</t>
  </si>
  <si>
    <t>VIVEK PATIL</t>
  </si>
  <si>
    <t>AKSHAY PAWAR</t>
  </si>
  <si>
    <t>AMIT JADHAV</t>
  </si>
  <si>
    <t>ANKUSH LAHANGE</t>
  </si>
  <si>
    <t>JYOTI THAKARE</t>
  </si>
  <si>
    <t>LAXMAN BHOIR</t>
  </si>
  <si>
    <t>MANGESH SUTAR</t>
  </si>
  <si>
    <t>NARESH LAHANGE</t>
  </si>
  <si>
    <t>PRADIP LAHANGE</t>
  </si>
  <si>
    <t>RAMESH LAHANGE</t>
  </si>
  <si>
    <t>RUPESH LAHANGE</t>
  </si>
  <si>
    <t>AJIT THAKARE</t>
  </si>
  <si>
    <t>DARPAN PARHAD</t>
  </si>
  <si>
    <t>MAHESH LAHANGE</t>
  </si>
  <si>
    <t>RUPESH GIRANE</t>
  </si>
  <si>
    <t>VICKY THAKARE</t>
  </si>
  <si>
    <t>VILAS THAKARE</t>
  </si>
  <si>
    <t>SUREKHA GHARAT</t>
  </si>
  <si>
    <t>MR.RAMU PAWAR</t>
  </si>
  <si>
    <t>MR.RATANA THAKARE</t>
  </si>
  <si>
    <t>KUMAR PATIL</t>
  </si>
  <si>
    <t>GANESH IYER</t>
  </si>
  <si>
    <t>SWAPNIL J</t>
  </si>
  <si>
    <t>RAJEEV</t>
  </si>
  <si>
    <t>VINOD MALUSARE</t>
  </si>
  <si>
    <t xml:space="preserve">MAHADEV </t>
  </si>
  <si>
    <t>Emp_0012</t>
  </si>
  <si>
    <t>Emp_0013</t>
  </si>
  <si>
    <t>Emp_0014</t>
  </si>
  <si>
    <t>Emp_0015</t>
  </si>
  <si>
    <t>Emp_0016</t>
  </si>
  <si>
    <t>Emp_0017</t>
  </si>
  <si>
    <t>Emp_0018</t>
  </si>
  <si>
    <t>Emp_0019</t>
  </si>
  <si>
    <t>Emp_0020</t>
  </si>
  <si>
    <t>Emp_0021</t>
  </si>
  <si>
    <t>Emp_0022</t>
  </si>
  <si>
    <t>Emp_0023</t>
  </si>
  <si>
    <t>Emp_0024</t>
  </si>
  <si>
    <t>Emp_0025</t>
  </si>
  <si>
    <t>Emp_0026</t>
  </si>
  <si>
    <t>Emp_0027</t>
  </si>
  <si>
    <t>Emp_0028</t>
  </si>
  <si>
    <t>Emp_0029</t>
  </si>
  <si>
    <t>Emp_0030</t>
  </si>
  <si>
    <t>Emp_0031</t>
  </si>
  <si>
    <t>Emp_0032</t>
  </si>
  <si>
    <t>Emp_0033</t>
  </si>
  <si>
    <t>Emp_0034</t>
  </si>
  <si>
    <t>Emp_0035</t>
  </si>
  <si>
    <t>Emp_0036</t>
  </si>
  <si>
    <t>Emp_0037</t>
  </si>
  <si>
    <t>Emp_0038</t>
  </si>
  <si>
    <t>Leave Earned+ OT</t>
  </si>
  <si>
    <t>Balance C/F</t>
  </si>
  <si>
    <t xml:space="preserve">Total Leave Availed
</t>
  </si>
  <si>
    <t xml:space="preserve">Current month Leave Availed
</t>
  </si>
  <si>
    <t>PLEASE FILL THIS BASIC DETAILS BEFORE MAKING ANY CHANGES TO THE SHEET</t>
  </si>
  <si>
    <t>SELECT YEAR</t>
  </si>
  <si>
    <t>:</t>
  </si>
  <si>
    <t>SELECT PERIOD till month</t>
  </si>
  <si>
    <t>From</t>
  </si>
  <si>
    <t>To</t>
  </si>
  <si>
    <t>SELECT MONTH</t>
  </si>
  <si>
    <t>Leave Acrued</t>
  </si>
  <si>
    <t>Mr.</t>
  </si>
  <si>
    <t>VIRENDRA ETHAPE</t>
  </si>
  <si>
    <t>Conveyance</t>
  </si>
  <si>
    <t>Medical Allowance</t>
  </si>
  <si>
    <t>HRA</t>
  </si>
  <si>
    <t>Yes</t>
  </si>
  <si>
    <t>No</t>
  </si>
  <si>
    <t>ESIC</t>
  </si>
  <si>
    <t xml:space="preserve">PF </t>
  </si>
  <si>
    <t>NO</t>
  </si>
  <si>
    <t>Ms.</t>
  </si>
  <si>
    <t>Salutation</t>
  </si>
  <si>
    <t>Employee ID</t>
  </si>
  <si>
    <t>Monthly CTC</t>
  </si>
  <si>
    <t>Workers/ Contranctors ( Rate/Day)</t>
  </si>
  <si>
    <t>Salary Advance
(Recovery)</t>
  </si>
  <si>
    <t>From 01-04-2021 To 31-03-2022</t>
  </si>
  <si>
    <r>
      <rPr>
        <b/>
        <i/>
        <u/>
        <sz val="16"/>
        <color theme="9" tint="-0.499984740745262"/>
        <rFont val="Calibri"/>
        <family val="2"/>
        <scheme val="minor"/>
      </rPr>
      <t xml:space="preserve">Notes : </t>
    </r>
    <r>
      <rPr>
        <b/>
        <i/>
        <sz val="16"/>
        <color theme="9" tint="-0.499984740745262"/>
        <rFont val="Calibri"/>
        <family val="2"/>
        <scheme val="minor"/>
      </rPr>
      <t xml:space="preserve">    1) Enter Date in </t>
    </r>
    <r>
      <rPr>
        <b/>
        <i/>
        <u/>
        <sz val="16"/>
        <color theme="9" tint="-0.499984740745262"/>
        <rFont val="Calibri"/>
        <family val="2"/>
        <scheme val="minor"/>
      </rPr>
      <t xml:space="preserve">DATE OF SEPARATION COLUMN to make EMPLOYEE STATUS as "INACTIVE " From the list </t>
    </r>
    <r>
      <rPr>
        <b/>
        <i/>
        <sz val="16"/>
        <color theme="9" tint="-0.499984740745262"/>
        <rFont val="Calibri"/>
        <family val="2"/>
        <scheme val="minor"/>
      </rPr>
      <t xml:space="preserve">
                   2) Make sure that </t>
    </r>
    <r>
      <rPr>
        <b/>
        <i/>
        <u/>
        <sz val="16"/>
        <color theme="9" tint="-0.499984740745262"/>
        <rFont val="Calibri"/>
        <family val="2"/>
        <scheme val="minor"/>
      </rPr>
      <t>Employee name is in Upper Case and Proper Format</t>
    </r>
    <r>
      <rPr>
        <b/>
        <i/>
        <sz val="16"/>
        <color theme="9" tint="-0.499984740745262"/>
        <rFont val="Calibri"/>
        <family val="2"/>
        <scheme val="minor"/>
      </rPr>
      <t xml:space="preserve"> as same will be reflected in Salary Slip 
                   3) </t>
    </r>
    <r>
      <rPr>
        <b/>
        <i/>
        <u/>
        <sz val="16"/>
        <color theme="9" tint="-0.499984740745262"/>
        <rFont val="Calibri"/>
        <family val="2"/>
        <scheme val="minor"/>
      </rPr>
      <t>Enter Current year date in DATE OF SEPARATION to avoid Validation.</t>
    </r>
    <r>
      <rPr>
        <b/>
        <i/>
        <sz val="16"/>
        <color theme="9" tint="-0.499984740745262"/>
        <rFont val="Calibri"/>
        <family val="2"/>
        <scheme val="minor"/>
      </rPr>
      <t xml:space="preserve"> </t>
    </r>
  </si>
  <si>
    <t>VISHAKHA SHARMA</t>
  </si>
  <si>
    <t>Emp_0039</t>
  </si>
  <si>
    <t>Total</t>
  </si>
  <si>
    <t>Balance</t>
  </si>
  <si>
    <t>Advance Paid during the year</t>
  </si>
  <si>
    <t>Advance Recovered during the year</t>
  </si>
  <si>
    <t>Opening 
Balance</t>
  </si>
  <si>
    <r>
      <t>Steps To Mark leave :
1.</t>
    </r>
    <r>
      <rPr>
        <b/>
        <sz val="11"/>
        <color theme="9" tint="-0.499984740745262"/>
        <rFont val="Calibri"/>
        <family val="2"/>
        <scheme val="minor"/>
      </rPr>
      <t xml:space="preserve"> Select Employee Name
2. Select Leave Date.
3. Select Leave Type.</t>
    </r>
  </si>
  <si>
    <t>Leave balances :</t>
  </si>
  <si>
    <t>ENGINEER</t>
  </si>
  <si>
    <t>PRODUCTION MANAGER</t>
  </si>
  <si>
    <t>SENIOR ACCOUNTANT</t>
  </si>
  <si>
    <t>ACCOUNTS HEAD</t>
  </si>
  <si>
    <t>GENERAL MANAGER</t>
  </si>
  <si>
    <t>ACCOUNTANT</t>
  </si>
  <si>
    <t>OFFICE STAFF</t>
  </si>
  <si>
    <t>HR MANAGER</t>
  </si>
  <si>
    <t>MARKERTING EXECUTIVE</t>
  </si>
  <si>
    <t>OPERATOR</t>
  </si>
  <si>
    <t>FACTORY STAFF</t>
  </si>
  <si>
    <t>CONTRACTOR</t>
  </si>
  <si>
    <t>HO STAFF</t>
  </si>
  <si>
    <t>OTHER</t>
  </si>
  <si>
    <t>WORKGROUP</t>
  </si>
  <si>
    <t>DINESH THAKARE</t>
  </si>
  <si>
    <t>BHARTI KAMBADI</t>
  </si>
  <si>
    <t>ONROLL</t>
  </si>
  <si>
    <t>OFFROLL</t>
  </si>
  <si>
    <t>PAYROLL</t>
  </si>
  <si>
    <t>Sr.No.</t>
  </si>
  <si>
    <t>Particulars</t>
  </si>
  <si>
    <t>Amount</t>
  </si>
  <si>
    <t>Service Charge</t>
  </si>
  <si>
    <t>Room Rent</t>
  </si>
  <si>
    <t>Commission</t>
  </si>
  <si>
    <t>TOTAL</t>
  </si>
  <si>
    <t>Supervisor</t>
  </si>
  <si>
    <t>Helpers Column</t>
  </si>
  <si>
    <t>Deduction Components</t>
  </si>
  <si>
    <t>Earnings Components</t>
  </si>
  <si>
    <t>HARIOM ENTERPRIESES</t>
  </si>
  <si>
    <t>KARUNA SERVICES (M P WORKERS)</t>
  </si>
  <si>
    <t>SHRI RAM ENGG</t>
  </si>
  <si>
    <t>BBAPL HO STAFF</t>
  </si>
  <si>
    <t>BBAPL FACTORY STAFF</t>
  </si>
  <si>
    <t>ESCORT SECURITY</t>
  </si>
  <si>
    <t>SHREE GANESH</t>
  </si>
  <si>
    <t>Less others
(advances)</t>
  </si>
  <si>
    <t>SGST
/CGST</t>
  </si>
  <si>
    <t>Account Number</t>
  </si>
  <si>
    <t>IFSC Code</t>
  </si>
  <si>
    <t>Bank Name</t>
  </si>
  <si>
    <t xml:space="preserve">PF Employee </t>
  </si>
  <si>
    <t xml:space="preserve">ESIC Employer </t>
  </si>
  <si>
    <t xml:space="preserve">ESIC Employee </t>
  </si>
  <si>
    <t xml:space="preserve">Basic Salary       </t>
  </si>
  <si>
    <t>PF Employer(Incl.Admin charges)</t>
  </si>
  <si>
    <t>102,Shardha Chamber 2, Masjid Bunder, Mumbai - 400009</t>
  </si>
  <si>
    <t>SANJAY THAKARE</t>
  </si>
  <si>
    <t>PT</t>
  </si>
  <si>
    <t xml:space="preserve">Arrear Payment </t>
  </si>
  <si>
    <t>-</t>
  </si>
  <si>
    <t>Arrear Payment
 ( If Any)</t>
  </si>
  <si>
    <t>500 Adjusted to Advance Sal</t>
  </si>
  <si>
    <t>2000 Adjusted to Advance Sal</t>
  </si>
  <si>
    <t>Opening As on 1-09-2021</t>
  </si>
  <si>
    <t>Balance C/F 1-09-2021</t>
  </si>
  <si>
    <t>SWADEEP ENTERPRISES(BOILER)</t>
  </si>
  <si>
    <t xml:space="preserve">LWP Current Month </t>
  </si>
  <si>
    <t>Paid by cash in month of Nov amount -1500</t>
  </si>
  <si>
    <t>RATNA THAKAREY &amp; SUREKHA GHARAT</t>
  </si>
  <si>
    <t xml:space="preserve">  A+B-C-D</t>
  </si>
  <si>
    <t>Nov Paid</t>
  </si>
  <si>
    <t>Diff( Payable )</t>
  </si>
  <si>
    <t xml:space="preserve">       Agro Products Pvt. Ltd.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</si>
</sst>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_(* #,##0.00_);_(* \(#,##0.00\);_(* &quot;-&quot;??_);_(@_)"/>
    <numFmt numFmtId="165" formatCode="mmm/yyyy"/>
    <numFmt numFmtId="166" formatCode="mm"/>
    <numFmt numFmtId="167" formatCode="dd\/mm\/yyyy"/>
    <numFmt numFmtId="168" formatCode="_ [$₹-4009]\ * #,##0.00_ ;_ [$₹-4009]\ * \-#,##0.00_ ;_ [$₹-4009]\ * &quot;-&quot;??_ ;_ @_ "/>
    <numFmt numFmtId="169" formatCode="\=\u\p\pe\r\(\)"/>
    <numFmt numFmtId="170" formatCode="_ [$₹-4009]\ * #,##0_ ;_ [$₹-4009]\ * \-#,##0_ ;_ [$₹-4009]\ * &quot;-&quot;??_ ;_ @_ "/>
    <numFmt numFmtId="171" formatCode="_ * #,##0_ ;_ * \-#,##0_ ;_ * &quot;-&quot;??_ ;_ @_ 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2"/>
      <color theme="1"/>
      <name val="Bauhaus 93"/>
      <family val="5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22"/>
      <color theme="1"/>
      <name val="Calisto MT"/>
      <family val="1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i/>
      <u/>
      <sz val="11"/>
      <color indexed="28"/>
      <name val="Tahoma"/>
      <family val="2"/>
    </font>
    <font>
      <sz val="11"/>
      <color theme="0"/>
      <name val="Calibri"/>
      <family val="2"/>
      <scheme val="minor"/>
    </font>
    <font>
      <b/>
      <u/>
      <sz val="11"/>
      <color rgb="FFFF0000"/>
      <name val="Arial Rounded MT Bold"/>
      <family val="2"/>
    </font>
    <font>
      <sz val="22"/>
      <color rgb="FF7030A0"/>
      <name val="Calisto MT"/>
      <family val="1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rgb="FFCC00FF"/>
      <name val="Bookman Old Style"/>
      <family val="1"/>
    </font>
    <font>
      <b/>
      <sz val="11"/>
      <color rgb="FF00B0F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4"/>
      <color theme="1"/>
      <name val="PMingLiU-ExtB"/>
      <family val="1"/>
    </font>
    <font>
      <b/>
      <sz val="11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u/>
      <sz val="11"/>
      <color rgb="FF00206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0"/>
      <color theme="1" tint="4.9989318521683403E-2"/>
      <name val="Calibri"/>
      <family val="2"/>
      <scheme val="minor"/>
    </font>
    <font>
      <b/>
      <sz val="9"/>
      <color theme="1" tint="4.9989318521683403E-2"/>
      <name val="Calibri"/>
      <family val="2"/>
      <scheme val="minor"/>
    </font>
    <font>
      <sz val="26"/>
      <color theme="1"/>
      <name val="Cooper Black"/>
      <family val="1"/>
    </font>
    <font>
      <sz val="20"/>
      <color theme="1"/>
      <name val="Calisto MT"/>
      <family val="1"/>
    </font>
    <font>
      <sz val="11"/>
      <color theme="7" tint="0.79998168889431442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36"/>
      <color rgb="FFF50995"/>
      <name val="Algerian"/>
      <family val="5"/>
    </font>
    <font>
      <b/>
      <i/>
      <sz val="16"/>
      <color theme="9" tint="-0.499984740745262"/>
      <name val="Calibri"/>
      <family val="2"/>
      <scheme val="minor"/>
    </font>
    <font>
      <b/>
      <i/>
      <u/>
      <sz val="16"/>
      <color theme="9" tint="-0.499984740745262"/>
      <name val="Calibri"/>
      <family val="2"/>
      <scheme val="minor"/>
    </font>
    <font>
      <b/>
      <u/>
      <sz val="11"/>
      <color theme="9" tint="-0.499984740745262"/>
      <name val="Calibri"/>
      <family val="2"/>
      <scheme val="minor"/>
    </font>
    <font>
      <b/>
      <u/>
      <sz val="16"/>
      <name val="Calibri"/>
      <family val="2"/>
      <scheme val="minor"/>
    </font>
    <font>
      <sz val="16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10"/>
      <color theme="1"/>
      <name val="Courier New"/>
      <family val="3"/>
    </font>
    <font>
      <sz val="11"/>
      <color theme="1"/>
      <name val="Courier New"/>
      <family val="3"/>
    </font>
    <font>
      <sz val="12"/>
      <color theme="1"/>
      <name val="Courier New"/>
      <family val="3"/>
    </font>
    <font>
      <b/>
      <u/>
      <sz val="12"/>
      <color theme="1"/>
      <name val="Courier New"/>
      <family val="3"/>
    </font>
    <font>
      <b/>
      <sz val="12"/>
      <color theme="1"/>
      <name val="Courier New"/>
      <family val="3"/>
    </font>
    <font>
      <b/>
      <u/>
      <sz val="20"/>
      <color theme="1"/>
      <name val="Courier New"/>
      <family val="3"/>
    </font>
    <font>
      <b/>
      <sz val="11"/>
      <color theme="1"/>
      <name val="Courier New"/>
      <family val="3"/>
    </font>
    <font>
      <b/>
      <u/>
      <sz val="13"/>
      <color theme="1"/>
      <name val="Courier New"/>
      <family val="3"/>
    </font>
    <font>
      <b/>
      <sz val="13"/>
      <color theme="1"/>
      <name val="Courier New"/>
      <family val="3"/>
    </font>
    <font>
      <b/>
      <sz val="24"/>
      <color theme="1"/>
      <name val="Courier New"/>
      <family val="3"/>
    </font>
  </fonts>
  <fills count="26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rgb="FF4F81BD"/>
        <bgColor indexed="64"/>
      </patternFill>
    </fill>
    <fill>
      <patternFill patternType="solid">
        <fgColor rgb="FF8064A2"/>
        <bgColor indexed="64"/>
      </patternFill>
    </fill>
    <fill>
      <patternFill patternType="solid">
        <fgColor theme="6" tint="0.79998168889431442"/>
        <bgColor indexed="64"/>
      </patternFill>
    </fill>
    <fill>
      <gradientFill>
        <stop position="0">
          <color theme="4" tint="-0.25098422193060094"/>
        </stop>
        <stop position="1">
          <color theme="4" tint="0.80001220740379042"/>
        </stop>
      </gradientFill>
    </fill>
    <fill>
      <gradientFill>
        <stop position="0">
          <color rgb="FFF50995"/>
        </stop>
        <stop position="1">
          <color rgb="FFF1BDE2"/>
        </stop>
      </gradientFill>
    </fill>
    <fill>
      <gradientFill>
        <stop position="0">
          <color rgb="FFFF0000"/>
        </stop>
        <stop position="1">
          <color rgb="FFFF9933"/>
        </stop>
      </gradient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9D2FD"/>
        <bgColor indexed="64"/>
      </patternFill>
    </fill>
    <fill>
      <gradientFill type="path" left="0.5" right="0.5" top="0.5" bottom="0.5">
        <stop position="0">
          <color rgb="FF3366FF"/>
        </stop>
        <stop position="1">
          <color theme="0"/>
        </stop>
      </gradientFill>
    </fill>
    <fill>
      <gradientFill type="path">
        <stop position="0">
          <color rgb="FFB054B0"/>
        </stop>
        <stop position="1">
          <color theme="0"/>
        </stop>
      </gradient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D919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2060"/>
        <bgColor indexed="64"/>
      </patternFill>
    </fill>
  </fills>
  <borders count="9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theme="1"/>
      </left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auto="1"/>
      </left>
      <right style="thick">
        <color theme="0"/>
      </right>
      <top style="thick">
        <color auto="1"/>
      </top>
      <bottom style="thick">
        <color auto="1"/>
      </bottom>
      <diagonal/>
    </border>
    <border>
      <left style="thick">
        <color theme="0"/>
      </left>
      <right style="thick">
        <color theme="0"/>
      </right>
      <top style="thick">
        <color auto="1"/>
      </top>
      <bottom style="thick">
        <color auto="1"/>
      </bottom>
      <diagonal/>
    </border>
    <border>
      <left style="thick">
        <color theme="0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auto="1"/>
      </bottom>
      <diagonal/>
    </border>
    <border>
      <left/>
      <right style="medium">
        <color auto="1"/>
      </right>
      <top/>
      <bottom style="thick">
        <color theme="0"/>
      </bottom>
      <diagonal/>
    </border>
    <border>
      <left/>
      <right style="medium">
        <color auto="1"/>
      </right>
      <top style="thick">
        <color theme="0"/>
      </top>
      <bottom style="thick">
        <color theme="0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theme="0"/>
      </right>
      <top style="thick">
        <color auto="1"/>
      </top>
      <bottom style="thick">
        <color auto="1"/>
      </bottom>
      <diagonal/>
    </border>
    <border>
      <left style="thick">
        <color theme="0"/>
      </left>
      <right style="thick">
        <color theme="0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auto="1"/>
      </right>
      <top style="thick">
        <color theme="0"/>
      </top>
      <bottom style="thick">
        <color theme="0"/>
      </bottom>
      <diagonal/>
    </border>
    <border>
      <left style="thick">
        <color auto="1"/>
      </left>
      <right/>
      <top style="thick">
        <color theme="0"/>
      </top>
      <bottom style="thick">
        <color theme="0"/>
      </bottom>
      <diagonal/>
    </border>
    <border>
      <left/>
      <right style="thick">
        <color auto="1"/>
      </right>
      <top style="thick">
        <color theme="0"/>
      </top>
      <bottom style="thick">
        <color theme="0"/>
      </bottom>
      <diagonal/>
    </border>
    <border>
      <left style="thick">
        <color auto="1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auto="1"/>
      </right>
      <top style="thick">
        <color theme="0"/>
      </top>
      <bottom/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/>
      <bottom style="thick">
        <color theme="0"/>
      </bottom>
      <diagonal/>
    </border>
    <border>
      <left style="thick">
        <color theme="0"/>
      </left>
      <right style="thick">
        <color auto="1"/>
      </right>
      <top/>
      <bottom style="thick">
        <color theme="0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theme="0"/>
      </right>
      <top/>
      <bottom style="thick">
        <color theme="0"/>
      </bottom>
      <diagonal/>
    </border>
    <border>
      <left style="thick">
        <color auto="1"/>
      </left>
      <right style="thick">
        <color theme="0"/>
      </right>
      <top style="thick">
        <color theme="0"/>
      </top>
      <bottom style="thick">
        <color auto="1"/>
      </bottom>
      <diagonal/>
    </border>
    <border>
      <left style="thick">
        <color theme="0"/>
      </left>
      <right style="thick">
        <color auto="1"/>
      </right>
      <top style="thick">
        <color theme="0"/>
      </top>
      <bottom style="thick">
        <color auto="1"/>
      </bottom>
      <diagonal/>
    </border>
    <border>
      <left/>
      <right style="medium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double">
        <color auto="1"/>
      </right>
      <top/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indexed="64"/>
      </bottom>
      <diagonal/>
    </border>
    <border>
      <left style="double">
        <color auto="1"/>
      </left>
      <right style="thick">
        <color auto="1"/>
      </right>
      <top/>
      <bottom style="thin">
        <color indexed="64"/>
      </bottom>
      <diagonal/>
    </border>
    <border>
      <left/>
      <right/>
      <top/>
      <bottom style="double">
        <color theme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 style="thick">
        <color auto="1"/>
      </bottom>
      <diagonal/>
    </border>
    <border>
      <left style="thick">
        <color auto="1"/>
      </left>
      <right/>
      <top style="thick">
        <color theme="0"/>
      </top>
      <bottom style="thick">
        <color auto="1"/>
      </bottom>
      <diagonal/>
    </border>
    <border>
      <left/>
      <right style="medium">
        <color auto="1"/>
      </right>
      <top style="thick">
        <color theme="0"/>
      </top>
      <bottom style="thick">
        <color auto="1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9">
    <xf numFmtId="0" fontId="0" fillId="0" borderId="0"/>
    <xf numFmtId="0" fontId="11" fillId="2" borderId="0" applyNumberFormat="0" applyBorder="0" applyAlignment="0" applyProtection="0"/>
    <xf numFmtId="0" fontId="11" fillId="3" borderId="0" applyNumberFormat="0" applyBorder="0" applyAlignment="0" applyProtection="0"/>
    <xf numFmtId="164" fontId="11" fillId="0" borderId="0" applyFont="0" applyFill="0" applyBorder="0" applyAlignment="0" applyProtection="0"/>
    <xf numFmtId="0" fontId="13" fillId="6" borderId="0" applyNumberFormat="0" applyBorder="0" applyAlignment="0" applyProtection="0"/>
    <xf numFmtId="0" fontId="1" fillId="0" borderId="12" applyNumberFormat="0" applyFill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64" fontId="11" fillId="0" borderId="0" applyFont="0" applyFill="0" applyBorder="0" applyAlignment="0" applyProtection="0"/>
  </cellStyleXfs>
  <cellXfs count="331">
    <xf numFmtId="0" fontId="0" fillId="0" borderId="0" xfId="0"/>
    <xf numFmtId="14" fontId="0" fillId="0" borderId="0" xfId="0" applyNumberFormat="1"/>
    <xf numFmtId="0" fontId="0" fillId="0" borderId="0" xfId="0" applyBorder="1"/>
    <xf numFmtId="0" fontId="5" fillId="0" borderId="0" xfId="0" applyFont="1"/>
    <xf numFmtId="0" fontId="3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14" fontId="1" fillId="0" borderId="0" xfId="0" applyNumberFormat="1" applyFont="1" applyAlignment="1">
      <alignment horizontal="center" vertical="center"/>
    </xf>
    <xf numFmtId="0" fontId="9" fillId="0" borderId="0" xfId="0" applyFont="1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/>
    </xf>
    <xf numFmtId="0" fontId="12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 vertical="center"/>
    </xf>
    <xf numFmtId="0" fontId="1" fillId="0" borderId="0" xfId="0" applyFont="1" applyFill="1" applyAlignment="1">
      <alignment horizontal="left" vertical="top"/>
    </xf>
    <xf numFmtId="165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7" borderId="0" xfId="0" applyFont="1" applyFill="1" applyAlignment="1">
      <alignment horizontal="left" vertical="top"/>
    </xf>
    <xf numFmtId="0" fontId="0" fillId="8" borderId="0" xfId="0" applyFill="1" applyAlignment="1">
      <alignment horizontal="left" vertical="top"/>
    </xf>
    <xf numFmtId="0" fontId="9" fillId="0" borderId="0" xfId="0" applyFont="1"/>
    <xf numFmtId="0" fontId="9" fillId="0" borderId="0" xfId="0" applyFont="1" applyAlignment="1">
      <alignment horizontal="center"/>
    </xf>
    <xf numFmtId="16" fontId="0" fillId="0" borderId="13" xfId="0" applyNumberFormat="1" applyFill="1" applyBorder="1" applyAlignment="1">
      <alignment horizontal="left" textRotation="90"/>
    </xf>
    <xf numFmtId="0" fontId="18" fillId="3" borderId="13" xfId="2" applyFont="1" applyBorder="1" applyAlignment="1">
      <alignment horizontal="center" vertical="center" wrapText="1"/>
    </xf>
    <xf numFmtId="0" fontId="18" fillId="3" borderId="13" xfId="2" applyFont="1" applyBorder="1" applyAlignment="1">
      <alignment horizontal="center" vertical="center"/>
    </xf>
    <xf numFmtId="0" fontId="0" fillId="0" borderId="13" xfId="0" applyFill="1" applyBorder="1" applyAlignment="1">
      <alignment horizontal="left" textRotation="90"/>
    </xf>
    <xf numFmtId="0" fontId="15" fillId="10" borderId="13" xfId="0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0" fontId="15" fillId="12" borderId="13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3" xfId="0" applyBorder="1"/>
    <xf numFmtId="0" fontId="10" fillId="0" borderId="13" xfId="0" applyFont="1" applyFill="1" applyBorder="1" applyAlignment="1">
      <alignment horizontal="left" textRotation="90"/>
    </xf>
    <xf numFmtId="0" fontId="0" fillId="0" borderId="13" xfId="0" applyBorder="1" applyAlignment="1">
      <alignment horizontal="center" vertical="center"/>
    </xf>
    <xf numFmtId="168" fontId="0" fillId="0" borderId="0" xfId="0" applyNumberFormat="1"/>
    <xf numFmtId="168" fontId="0" fillId="0" borderId="13" xfId="0" applyNumberFormat="1" applyBorder="1"/>
    <xf numFmtId="0" fontId="23" fillId="13" borderId="14" xfId="0" applyFont="1" applyFill="1" applyBorder="1" applyAlignment="1">
      <alignment horizontal="left" vertical="top"/>
    </xf>
    <xf numFmtId="0" fontId="23" fillId="13" borderId="15" xfId="0" applyFont="1" applyFill="1" applyBorder="1" applyAlignment="1">
      <alignment horizontal="left" vertical="top"/>
    </xf>
    <xf numFmtId="14" fontId="23" fillId="13" borderId="15" xfId="0" applyNumberFormat="1" applyFont="1" applyFill="1" applyBorder="1" applyAlignment="1">
      <alignment horizontal="left" vertical="top"/>
    </xf>
    <xf numFmtId="0" fontId="23" fillId="13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14" fontId="0" fillId="0" borderId="13" xfId="0" applyNumberFormat="1" applyBorder="1" applyAlignment="1">
      <alignment horizontal="left" vertical="top"/>
    </xf>
    <xf numFmtId="14" fontId="0" fillId="0" borderId="13" xfId="0" applyNumberFormat="1" applyBorder="1"/>
    <xf numFmtId="0" fontId="0" fillId="0" borderId="17" xfId="0" applyBorder="1"/>
    <xf numFmtId="0" fontId="4" fillId="0" borderId="13" xfId="0" applyFont="1" applyBorder="1"/>
    <xf numFmtId="0" fontId="4" fillId="0" borderId="13" xfId="0" applyFont="1" applyFill="1" applyBorder="1" applyAlignment="1" applyProtection="1">
      <alignment horizontal="center" vertical="center"/>
    </xf>
    <xf numFmtId="16" fontId="0" fillId="0" borderId="13" xfId="0" applyNumberFormat="1" applyBorder="1"/>
    <xf numFmtId="0" fontId="0" fillId="0" borderId="0" xfId="0" applyAlignment="1">
      <alignment horizontal="center" vertical="top"/>
    </xf>
    <xf numFmtId="14" fontId="0" fillId="0" borderId="0" xfId="0" applyNumberFormat="1" applyAlignment="1">
      <alignment horizontal="center" vertical="center"/>
    </xf>
    <xf numFmtId="2" fontId="20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8" xfId="0" applyBorder="1" applyAlignment="1">
      <alignment horizontal="center" vertical="top" wrapText="1"/>
    </xf>
    <xf numFmtId="2" fontId="0" fillId="0" borderId="18" xfId="0" applyNumberFormat="1" applyFill="1" applyBorder="1" applyAlignment="1">
      <alignment horizontal="center" vertical="top" wrapText="1"/>
    </xf>
    <xf numFmtId="2" fontId="0" fillId="0" borderId="18" xfId="0" applyNumberFormat="1" applyBorder="1" applyAlignment="1">
      <alignment horizontal="center" vertical="top" wrapText="1"/>
    </xf>
    <xf numFmtId="14" fontId="9" fillId="0" borderId="0" xfId="0" applyNumberFormat="1" applyFont="1" applyFill="1" applyAlignment="1">
      <alignment horizontal="center" vertical="center" wrapText="1"/>
    </xf>
    <xf numFmtId="0" fontId="9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0" fontId="27" fillId="14" borderId="4" xfId="0" applyFont="1" applyFill="1" applyBorder="1"/>
    <xf numFmtId="0" fontId="27" fillId="14" borderId="5" xfId="0" applyFont="1" applyFill="1" applyBorder="1"/>
    <xf numFmtId="0" fontId="27" fillId="14" borderId="5" xfId="0" applyFont="1" applyFill="1" applyBorder="1" applyAlignment="1">
      <alignment horizontal="center"/>
    </xf>
    <xf numFmtId="0" fontId="27" fillId="14" borderId="5" xfId="0" applyFont="1" applyFill="1" applyBorder="1" applyAlignment="1">
      <alignment horizontal="center" vertical="center"/>
    </xf>
    <xf numFmtId="0" fontId="27" fillId="14" borderId="6" xfId="0" applyFont="1" applyFill="1" applyBorder="1" applyAlignment="1">
      <alignment horizontal="center" vertical="center"/>
    </xf>
    <xf numFmtId="0" fontId="28" fillId="14" borderId="0" xfId="0" applyFont="1" applyFill="1" applyBorder="1"/>
    <xf numFmtId="0" fontId="28" fillId="14" borderId="0" xfId="0" applyFont="1" applyFill="1" applyBorder="1" applyAlignment="1">
      <alignment horizontal="center"/>
    </xf>
    <xf numFmtId="0" fontId="28" fillId="14" borderId="0" xfId="0" applyFont="1" applyFill="1" applyBorder="1" applyAlignment="1">
      <alignment horizontal="center" vertical="center"/>
    </xf>
    <xf numFmtId="0" fontId="28" fillId="14" borderId="8" xfId="0" applyFont="1" applyFill="1" applyBorder="1" applyAlignment="1">
      <alignment horizontal="center" vertical="center"/>
    </xf>
    <xf numFmtId="0" fontId="27" fillId="14" borderId="7" xfId="0" applyFont="1" applyFill="1" applyBorder="1"/>
    <xf numFmtId="0" fontId="27" fillId="14" borderId="0" xfId="0" applyFont="1" applyFill="1" applyBorder="1"/>
    <xf numFmtId="0" fontId="27" fillId="14" borderId="0" xfId="0" applyFont="1" applyFill="1" applyBorder="1" applyAlignment="1">
      <alignment horizontal="center"/>
    </xf>
    <xf numFmtId="0" fontId="27" fillId="14" borderId="0" xfId="0" applyFont="1" applyFill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6" fillId="14" borderId="7" xfId="0" applyFont="1" applyFill="1" applyBorder="1"/>
    <xf numFmtId="0" fontId="26" fillId="14" borderId="7" xfId="0" applyFont="1" applyFill="1" applyBorder="1" applyAlignment="1">
      <alignment vertical="center" wrapText="1"/>
    </xf>
    <xf numFmtId="0" fontId="26" fillId="14" borderId="0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/>
    </xf>
    <xf numFmtId="0" fontId="27" fillId="14" borderId="10" xfId="0" applyFont="1" applyFill="1" applyBorder="1" applyAlignment="1">
      <alignment horizontal="center" vertical="center"/>
    </xf>
    <xf numFmtId="14" fontId="29" fillId="14" borderId="0" xfId="0" applyNumberFormat="1" applyFont="1" applyFill="1" applyBorder="1" applyAlignment="1">
      <alignment horizontal="center" vertical="center" wrapText="1"/>
    </xf>
    <xf numFmtId="14" fontId="29" fillId="14" borderId="8" xfId="0" applyNumberFormat="1" applyFont="1" applyFill="1" applyBorder="1" applyAlignment="1">
      <alignment horizontal="center" vertical="center" wrapText="1"/>
    </xf>
    <xf numFmtId="0" fontId="30" fillId="14" borderId="11" xfId="0" applyFont="1" applyFill="1" applyBorder="1" applyAlignment="1">
      <alignment horizontal="center" vertical="center"/>
    </xf>
    <xf numFmtId="14" fontId="29" fillId="14" borderId="0" xfId="0" applyNumberFormat="1" applyFont="1" applyFill="1" applyBorder="1" applyAlignment="1">
      <alignment horizontal="center"/>
    </xf>
    <xf numFmtId="167" fontId="31" fillId="14" borderId="10" xfId="0" applyNumberFormat="1" applyFont="1" applyFill="1" applyBorder="1" applyAlignment="1">
      <alignment horizontal="center" vertical="center"/>
    </xf>
    <xf numFmtId="0" fontId="0" fillId="0" borderId="0" xfId="0" applyFill="1" applyBorder="1"/>
    <xf numFmtId="0" fontId="1" fillId="0" borderId="13" xfId="0" applyFont="1" applyFill="1" applyBorder="1" applyAlignment="1" applyProtection="1">
      <alignment horizontal="center" vertical="center" wrapText="1"/>
    </xf>
    <xf numFmtId="0" fontId="0" fillId="0" borderId="13" xfId="0" applyFill="1" applyBorder="1" applyAlignment="1" applyProtection="1">
      <alignment horizontal="center" vertical="center"/>
    </xf>
    <xf numFmtId="169" fontId="0" fillId="0" borderId="0" xfId="0" applyNumberFormat="1" applyAlignment="1"/>
    <xf numFmtId="169" fontId="0" fillId="0" borderId="13" xfId="0" applyNumberFormat="1" applyBorder="1" applyAlignment="1">
      <alignment horizontal="center"/>
    </xf>
    <xf numFmtId="2" fontId="0" fillId="0" borderId="13" xfId="0" applyNumberFormat="1" applyFill="1" applyBorder="1" applyAlignment="1">
      <alignment horizontal="center" vertical="center" wrapText="1"/>
    </xf>
    <xf numFmtId="17" fontId="0" fillId="0" borderId="0" xfId="0" applyNumberFormat="1"/>
    <xf numFmtId="0" fontId="26" fillId="0" borderId="0" xfId="0" applyFont="1" applyFill="1" applyBorder="1" applyAlignment="1">
      <alignment horizontal="center" vertical="center"/>
    </xf>
    <xf numFmtId="14" fontId="29" fillId="0" borderId="0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2" fontId="0" fillId="0" borderId="0" xfId="0" applyNumberFormat="1" applyBorder="1"/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13" xfId="0" applyNumberFormat="1" applyBorder="1"/>
    <xf numFmtId="17" fontId="13" fillId="6" borderId="0" xfId="4" applyNumberFormat="1"/>
    <xf numFmtId="16" fontId="0" fillId="0" borderId="16" xfId="0" applyNumberFormat="1" applyFill="1" applyBorder="1" applyAlignment="1">
      <alignment horizontal="left" textRotation="90"/>
    </xf>
    <xf numFmtId="0" fontId="11" fillId="2" borderId="15" xfId="1" applyBorder="1" applyAlignment="1">
      <alignment vertical="center"/>
    </xf>
    <xf numFmtId="0" fontId="11" fillId="2" borderId="15" xfId="1" applyBorder="1" applyAlignment="1">
      <alignment vertical="center" wrapText="1"/>
    </xf>
    <xf numFmtId="0" fontId="34" fillId="2" borderId="19" xfId="1" applyFont="1" applyBorder="1" applyAlignment="1">
      <alignment vertical="center"/>
    </xf>
    <xf numFmtId="0" fontId="11" fillId="2" borderId="20" xfId="1" applyBorder="1" applyAlignment="1">
      <alignment vertical="center" wrapText="1"/>
    </xf>
    <xf numFmtId="17" fontId="23" fillId="15" borderId="13" xfId="0" applyNumberFormat="1" applyFont="1" applyFill="1" applyBorder="1" applyAlignment="1">
      <alignment horizontal="center" vertical="center" textRotation="90"/>
    </xf>
    <xf numFmtId="0" fontId="36" fillId="0" borderId="0" xfId="0" applyFont="1"/>
    <xf numFmtId="0" fontId="35" fillId="19" borderId="13" xfId="0" applyFont="1" applyFill="1" applyBorder="1" applyAlignment="1">
      <alignment horizontal="center" vertical="center"/>
    </xf>
    <xf numFmtId="0" fontId="41" fillId="14" borderId="7" xfId="0" applyFont="1" applyFill="1" applyBorder="1"/>
    <xf numFmtId="0" fontId="0" fillId="0" borderId="13" xfId="0" applyNumberFormat="1" applyFill="1" applyBorder="1" applyAlignment="1">
      <alignment horizontal="center" vertical="center" wrapText="1"/>
    </xf>
    <xf numFmtId="17" fontId="23" fillId="15" borderId="16" xfId="0" applyNumberFormat="1" applyFont="1" applyFill="1" applyBorder="1" applyAlignment="1">
      <alignment horizontal="center" vertical="center" textRotation="90"/>
    </xf>
    <xf numFmtId="17" fontId="23" fillId="15" borderId="22" xfId="0" applyNumberFormat="1" applyFont="1" applyFill="1" applyBorder="1" applyAlignment="1">
      <alignment horizontal="center" vertical="center" textRotation="90"/>
    </xf>
    <xf numFmtId="168" fontId="0" fillId="0" borderId="22" xfId="0" applyNumberFormat="1" applyBorder="1"/>
    <xf numFmtId="168" fontId="0" fillId="0" borderId="0" xfId="0" applyNumberFormat="1" applyFill="1" applyBorder="1"/>
    <xf numFmtId="17" fontId="23" fillId="0" borderId="0" xfId="0" applyNumberFormat="1" applyFont="1" applyFill="1" applyBorder="1" applyAlignment="1">
      <alignment horizontal="center" vertical="center" textRotation="90"/>
    </xf>
    <xf numFmtId="0" fontId="35" fillId="19" borderId="15" xfId="0" applyFont="1" applyFill="1" applyBorder="1" applyAlignment="1">
      <alignment vertical="center" wrapText="1"/>
    </xf>
    <xf numFmtId="0" fontId="0" fillId="0" borderId="15" xfId="0" applyBorder="1"/>
    <xf numFmtId="0" fontId="0" fillId="19" borderId="24" xfId="0" applyFill="1" applyBorder="1"/>
    <xf numFmtId="0" fontId="35" fillId="19" borderId="14" xfId="0" applyFont="1" applyFill="1" applyBorder="1" applyAlignment="1">
      <alignment vertical="center" wrapText="1"/>
    </xf>
    <xf numFmtId="0" fontId="0" fillId="19" borderId="17" xfId="0" applyFill="1" applyBorder="1"/>
    <xf numFmtId="168" fontId="0" fillId="0" borderId="13" xfId="6" applyNumberFormat="1" applyFont="1" applyBorder="1"/>
    <xf numFmtId="0" fontId="18" fillId="0" borderId="0" xfId="0" applyFont="1" applyFill="1" applyBorder="1"/>
    <xf numFmtId="0" fontId="42" fillId="0" borderId="0" xfId="0" applyFont="1" applyFill="1" applyBorder="1" applyAlignment="1">
      <alignment vertical="top" wrapText="1"/>
    </xf>
    <xf numFmtId="0" fontId="42" fillId="0" borderId="0" xfId="0" applyFont="1" applyFill="1" applyBorder="1" applyAlignment="1">
      <alignment vertical="top" textRotation="180"/>
    </xf>
    <xf numFmtId="0" fontId="43" fillId="0" borderId="0" xfId="0" applyFont="1" applyFill="1" applyBorder="1" applyAlignment="1">
      <alignment vertical="top"/>
    </xf>
    <xf numFmtId="0" fontId="42" fillId="0" borderId="0" xfId="0" applyFont="1" applyFill="1" applyBorder="1" applyAlignment="1">
      <alignment vertical="top"/>
    </xf>
    <xf numFmtId="0" fontId="41" fillId="0" borderId="0" xfId="0" applyFont="1" applyFill="1" applyBorder="1" applyAlignment="1">
      <alignment vertical="top" wrapText="1"/>
    </xf>
    <xf numFmtId="14" fontId="3" fillId="0" borderId="0" xfId="0" applyNumberFormat="1" applyFont="1" applyBorder="1" applyAlignment="1">
      <alignment vertical="center"/>
    </xf>
    <xf numFmtId="14" fontId="4" fillId="0" borderId="13" xfId="0" applyNumberFormat="1" applyFont="1" applyBorder="1"/>
    <xf numFmtId="170" fontId="0" fillId="0" borderId="13" xfId="0" applyNumberFormat="1" applyFill="1" applyBorder="1"/>
    <xf numFmtId="171" fontId="0" fillId="0" borderId="0" xfId="0" applyNumberFormat="1"/>
    <xf numFmtId="170" fontId="1" fillId="0" borderId="0" xfId="0" applyNumberFormat="1" applyFont="1" applyFill="1" applyBorder="1" applyAlignment="1" applyProtection="1">
      <alignment vertical="center" wrapText="1"/>
    </xf>
    <xf numFmtId="170" fontId="1" fillId="0" borderId="0" xfId="0" applyNumberFormat="1" applyFont="1" applyBorder="1" applyAlignment="1">
      <alignment vertical="center" wrapText="1"/>
    </xf>
    <xf numFmtId="0" fontId="47" fillId="5" borderId="26" xfId="0" applyFont="1" applyFill="1" applyBorder="1" applyAlignment="1">
      <alignment horizontal="left" vertical="top"/>
    </xf>
    <xf numFmtId="0" fontId="49" fillId="5" borderId="29" xfId="0" applyFont="1" applyFill="1" applyBorder="1" applyAlignment="1">
      <alignment horizontal="left" vertical="top"/>
    </xf>
    <xf numFmtId="0" fontId="53" fillId="5" borderId="43" xfId="0" applyFont="1" applyFill="1" applyBorder="1" applyAlignment="1">
      <alignment horizontal="left" vertical="top"/>
    </xf>
    <xf numFmtId="0" fontId="47" fillId="5" borderId="41" xfId="0" applyFont="1" applyFill="1" applyBorder="1" applyAlignment="1">
      <alignment horizontal="left" vertical="top"/>
    </xf>
    <xf numFmtId="0" fontId="49" fillId="5" borderId="26" xfId="0" applyFont="1" applyFill="1" applyBorder="1" applyAlignment="1">
      <alignment horizontal="left" vertical="top"/>
    </xf>
    <xf numFmtId="0" fontId="47" fillId="5" borderId="38" xfId="0" applyFont="1" applyFill="1" applyBorder="1" applyAlignment="1">
      <alignment horizontal="left" vertical="top"/>
    </xf>
    <xf numFmtId="0" fontId="46" fillId="5" borderId="57" xfId="0" applyFont="1" applyFill="1" applyBorder="1" applyAlignment="1">
      <alignment horizontal="left" vertical="top"/>
    </xf>
    <xf numFmtId="0" fontId="51" fillId="5" borderId="29" xfId="0" applyFont="1" applyFill="1" applyBorder="1" applyAlignment="1">
      <alignment horizontal="left" vertical="top"/>
    </xf>
    <xf numFmtId="0" fontId="46" fillId="5" borderId="29" xfId="0" applyFont="1" applyFill="1" applyBorder="1" applyAlignment="1">
      <alignment horizontal="left" vertical="top"/>
    </xf>
    <xf numFmtId="17" fontId="51" fillId="5" borderId="55" xfId="0" applyNumberFormat="1" applyFont="1" applyFill="1" applyBorder="1" applyAlignment="1">
      <alignment horizontal="left" vertical="top"/>
    </xf>
    <xf numFmtId="0" fontId="46" fillId="5" borderId="46" xfId="0" applyFont="1" applyFill="1" applyBorder="1" applyAlignment="1">
      <alignment horizontal="left" vertical="top"/>
    </xf>
    <xf numFmtId="0" fontId="51" fillId="5" borderId="26" xfId="0" applyFont="1" applyFill="1" applyBorder="1" applyAlignment="1">
      <alignment horizontal="left" vertical="top"/>
    </xf>
    <xf numFmtId="0" fontId="46" fillId="5" borderId="26" xfId="0" applyFont="1" applyFill="1" applyBorder="1" applyAlignment="1">
      <alignment horizontal="left" vertical="top"/>
    </xf>
    <xf numFmtId="0" fontId="51" fillId="5" borderId="47" xfId="0" applyFont="1" applyFill="1" applyBorder="1" applyAlignment="1">
      <alignment horizontal="left" vertical="top"/>
    </xf>
    <xf numFmtId="14" fontId="51" fillId="5" borderId="26" xfId="0" applyNumberFormat="1" applyFont="1" applyFill="1" applyBorder="1" applyAlignment="1">
      <alignment horizontal="left" vertical="top"/>
    </xf>
    <xf numFmtId="0" fontId="46" fillId="5" borderId="47" xfId="0" applyFont="1" applyFill="1" applyBorder="1" applyAlignment="1">
      <alignment horizontal="left" vertical="top"/>
    </xf>
    <xf numFmtId="0" fontId="47" fillId="5" borderId="46" xfId="0" applyFont="1" applyFill="1" applyBorder="1" applyAlignment="1">
      <alignment horizontal="left" vertical="top"/>
    </xf>
    <xf numFmtId="0" fontId="49" fillId="5" borderId="47" xfId="0" applyFont="1" applyFill="1" applyBorder="1" applyAlignment="1">
      <alignment horizontal="left" vertical="top"/>
    </xf>
    <xf numFmtId="0" fontId="47" fillId="5" borderId="50" xfId="0" applyFont="1" applyFill="1" applyBorder="1" applyAlignment="1">
      <alignment horizontal="left" vertical="top"/>
    </xf>
    <xf numFmtId="0" fontId="46" fillId="5" borderId="28" xfId="0" applyFont="1" applyFill="1" applyBorder="1" applyAlignment="1">
      <alignment horizontal="left" vertical="top"/>
    </xf>
    <xf numFmtId="0" fontId="49" fillId="5" borderId="51" xfId="0" applyFont="1" applyFill="1" applyBorder="1" applyAlignment="1">
      <alignment horizontal="left" vertical="top"/>
    </xf>
    <xf numFmtId="0" fontId="47" fillId="5" borderId="54" xfId="0" applyFont="1" applyFill="1" applyBorder="1" applyAlignment="1">
      <alignment horizontal="left" vertical="top"/>
    </xf>
    <xf numFmtId="0" fontId="47" fillId="5" borderId="36" xfId="0" applyFont="1" applyFill="1" applyBorder="1" applyAlignment="1">
      <alignment horizontal="left" vertical="top"/>
    </xf>
    <xf numFmtId="0" fontId="47" fillId="5" borderId="48" xfId="0" applyFont="1" applyFill="1" applyBorder="1" applyAlignment="1">
      <alignment horizontal="left" vertical="top"/>
    </xf>
    <xf numFmtId="0" fontId="47" fillId="5" borderId="27" xfId="0" applyFont="1" applyFill="1" applyBorder="1" applyAlignment="1">
      <alignment horizontal="left" vertical="top"/>
    </xf>
    <xf numFmtId="0" fontId="47" fillId="5" borderId="47" xfId="0" applyFont="1" applyFill="1" applyBorder="1" applyAlignment="1">
      <alignment horizontal="left" vertical="top"/>
    </xf>
    <xf numFmtId="0" fontId="52" fillId="5" borderId="56" xfId="0" applyFont="1" applyFill="1" applyBorder="1" applyAlignment="1">
      <alignment horizontal="left" vertical="top"/>
    </xf>
    <xf numFmtId="0" fontId="52" fillId="5" borderId="42" xfId="0" applyFont="1" applyFill="1" applyBorder="1" applyAlignment="1">
      <alignment horizontal="left" vertical="top"/>
    </xf>
    <xf numFmtId="0" fontId="53" fillId="5" borderId="34" xfId="0" applyFont="1" applyFill="1" applyBorder="1" applyAlignment="1">
      <alignment horizontal="left" vertical="top"/>
    </xf>
    <xf numFmtId="0" fontId="47" fillId="5" borderId="42" xfId="0" applyFont="1" applyFill="1" applyBorder="1" applyAlignment="1">
      <alignment horizontal="left" vertical="top"/>
    </xf>
    <xf numFmtId="0" fontId="47" fillId="5" borderId="35" xfId="0" applyFont="1" applyFill="1" applyBorder="1" applyAlignment="1">
      <alignment horizontal="left" vertical="top"/>
    </xf>
    <xf numFmtId="0" fontId="47" fillId="5" borderId="57" xfId="0" applyFont="1" applyFill="1" applyBorder="1" applyAlignment="1">
      <alignment horizontal="left" vertical="top"/>
    </xf>
    <xf numFmtId="0" fontId="47" fillId="5" borderId="29" xfId="0" applyFont="1" applyFill="1" applyBorder="1" applyAlignment="1">
      <alignment horizontal="left" vertical="top"/>
    </xf>
    <xf numFmtId="0" fontId="47" fillId="5" borderId="58" xfId="0" applyFont="1" applyFill="1" applyBorder="1" applyAlignment="1">
      <alignment horizontal="left" vertical="top"/>
    </xf>
    <xf numFmtId="0" fontId="47" fillId="5" borderId="59" xfId="0" applyFont="1" applyFill="1" applyBorder="1" applyAlignment="1">
      <alignment horizontal="left" vertical="top"/>
    </xf>
    <xf numFmtId="0" fontId="52" fillId="5" borderId="33" xfId="0" applyFont="1" applyFill="1" applyBorder="1" applyAlignment="1">
      <alignment horizontal="left" vertical="center"/>
    </xf>
    <xf numFmtId="1" fontId="51" fillId="5" borderId="47" xfId="0" applyNumberFormat="1" applyFont="1" applyFill="1" applyBorder="1" applyAlignment="1">
      <alignment horizontal="left" vertical="top"/>
    </xf>
    <xf numFmtId="1" fontId="0" fillId="0" borderId="13" xfId="0" applyNumberFormat="1" applyBorder="1"/>
    <xf numFmtId="2" fontId="0" fillId="0" borderId="0" xfId="0" applyNumberFormat="1" applyAlignment="1">
      <alignment horizontal="left" vertical="top"/>
    </xf>
    <xf numFmtId="2" fontId="0" fillId="0" borderId="0" xfId="0" applyNumberFormat="1" applyBorder="1" applyAlignment="1">
      <alignment horizontal="left" vertical="top"/>
    </xf>
    <xf numFmtId="2" fontId="4" fillId="0" borderId="13" xfId="0" applyNumberFormat="1" applyFont="1" applyBorder="1" applyAlignment="1">
      <alignment horizontal="left" vertical="top"/>
    </xf>
    <xf numFmtId="1" fontId="0" fillId="0" borderId="13" xfId="0" applyNumberFormat="1" applyBorder="1" applyAlignment="1">
      <alignment horizontal="left" vertical="top"/>
    </xf>
    <xf numFmtId="1" fontId="0" fillId="0" borderId="13" xfId="0" applyNumberFormat="1" applyBorder="1" applyAlignment="1">
      <alignment horizontal="center" vertical="top"/>
    </xf>
    <xf numFmtId="170" fontId="49" fillId="5" borderId="39" xfId="0" applyNumberFormat="1" applyFont="1" applyFill="1" applyBorder="1" applyAlignment="1">
      <alignment horizontal="left" vertical="top"/>
    </xf>
    <xf numFmtId="170" fontId="49" fillId="5" borderId="40" xfId="0" applyNumberFormat="1" applyFont="1" applyFill="1" applyBorder="1" applyAlignment="1">
      <alignment horizontal="left" vertical="top"/>
    </xf>
    <xf numFmtId="170" fontId="49" fillId="5" borderId="55" xfId="0" applyNumberFormat="1" applyFont="1" applyFill="1" applyBorder="1" applyAlignment="1">
      <alignment horizontal="left" vertical="top"/>
    </xf>
    <xf numFmtId="170" fontId="49" fillId="5" borderId="47" xfId="0" applyNumberFormat="1" applyFont="1" applyFill="1" applyBorder="1" applyAlignment="1">
      <alignment horizontal="left" vertical="top"/>
    </xf>
    <xf numFmtId="0" fontId="49" fillId="5" borderId="37" xfId="0" applyFont="1" applyFill="1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1" fillId="0" borderId="0" xfId="0" applyFont="1" applyAlignment="1">
      <alignment horizontal="left" vertical="top"/>
    </xf>
    <xf numFmtId="170" fontId="53" fillId="5" borderId="60" xfId="0" applyNumberFormat="1" applyFont="1" applyFill="1" applyBorder="1" applyAlignment="1">
      <alignment horizontal="left" vertical="top"/>
    </xf>
    <xf numFmtId="170" fontId="53" fillId="5" borderId="35" xfId="0" applyNumberFormat="1" applyFont="1" applyFill="1" applyBorder="1" applyAlignment="1">
      <alignment horizontal="left" vertical="top"/>
    </xf>
    <xf numFmtId="1" fontId="51" fillId="5" borderId="55" xfId="0" applyNumberFormat="1" applyFont="1" applyFill="1" applyBorder="1" applyAlignment="1">
      <alignment horizontal="left" vertical="top"/>
    </xf>
    <xf numFmtId="0" fontId="47" fillId="5" borderId="28" xfId="0" applyFont="1" applyFill="1" applyBorder="1" applyAlignment="1">
      <alignment horizontal="left" vertical="top"/>
    </xf>
    <xf numFmtId="0" fontId="47" fillId="5" borderId="68" xfId="0" applyFont="1" applyFill="1" applyBorder="1" applyAlignment="1">
      <alignment horizontal="left" vertical="top"/>
    </xf>
    <xf numFmtId="0" fontId="47" fillId="5" borderId="0" xfId="0" applyFont="1" applyFill="1" applyBorder="1" applyAlignment="1">
      <alignment horizontal="left" vertical="top"/>
    </xf>
    <xf numFmtId="0" fontId="47" fillId="5" borderId="49" xfId="0" applyFont="1" applyFill="1" applyBorder="1" applyAlignment="1">
      <alignment horizontal="left" vertical="top"/>
    </xf>
    <xf numFmtId="0" fontId="47" fillId="5" borderId="69" xfId="0" applyFont="1" applyFill="1" applyBorder="1" applyAlignment="1">
      <alignment horizontal="left" vertical="top"/>
    </xf>
    <xf numFmtId="0" fontId="35" fillId="19" borderId="26" xfId="0" applyFont="1" applyFill="1" applyBorder="1" applyAlignment="1">
      <alignment horizontal="left" vertical="top"/>
    </xf>
    <xf numFmtId="168" fontId="35" fillId="19" borderId="26" xfId="0" applyNumberFormat="1" applyFont="1" applyFill="1" applyBorder="1" applyAlignment="1">
      <alignment horizontal="left" vertical="top"/>
    </xf>
    <xf numFmtId="168" fontId="35" fillId="19" borderId="26" xfId="0" applyNumberFormat="1" applyFont="1" applyFill="1" applyBorder="1" applyAlignment="1">
      <alignment horizontal="left" vertical="top" wrapText="1"/>
    </xf>
    <xf numFmtId="0" fontId="0" fillId="0" borderId="26" xfId="0" applyFont="1" applyFill="1" applyBorder="1" applyAlignment="1">
      <alignment horizontal="left" vertical="top"/>
    </xf>
    <xf numFmtId="0" fontId="35" fillId="20" borderId="26" xfId="0" applyFont="1" applyFill="1" applyBorder="1" applyAlignment="1">
      <alignment horizontal="left" vertical="top"/>
    </xf>
    <xf numFmtId="168" fontId="1" fillId="24" borderId="26" xfId="7" applyNumberFormat="1" applyFont="1" applyFill="1" applyBorder="1" applyAlignment="1">
      <alignment horizontal="left" vertical="top"/>
    </xf>
    <xf numFmtId="0" fontId="35" fillId="9" borderId="26" xfId="0" applyFont="1" applyFill="1" applyBorder="1" applyAlignment="1">
      <alignment horizontal="left" vertical="top"/>
    </xf>
    <xf numFmtId="0" fontId="35" fillId="8" borderId="26" xfId="0" applyFont="1" applyFill="1" applyBorder="1" applyAlignment="1">
      <alignment horizontal="left" vertical="top"/>
    </xf>
    <xf numFmtId="0" fontId="35" fillId="7" borderId="26" xfId="0" applyFont="1" applyFill="1" applyBorder="1" applyAlignment="1">
      <alignment horizontal="left" vertical="top"/>
    </xf>
    <xf numFmtId="0" fontId="47" fillId="5" borderId="70" xfId="0" applyFont="1" applyFill="1" applyBorder="1" applyAlignment="1">
      <alignment vertical="top"/>
    </xf>
    <xf numFmtId="0" fontId="47" fillId="5" borderId="71" xfId="0" applyFont="1" applyFill="1" applyBorder="1" applyAlignment="1">
      <alignment vertical="top"/>
    </xf>
    <xf numFmtId="0" fontId="1" fillId="0" borderId="13" xfId="0" applyFont="1" applyBorder="1" applyAlignment="1">
      <alignment vertical="center"/>
    </xf>
    <xf numFmtId="2" fontId="0" fillId="0" borderId="18" xfId="0" applyNumberFormat="1" applyFill="1" applyBorder="1" applyAlignment="1">
      <alignment horizontal="center" vertical="top"/>
    </xf>
    <xf numFmtId="44" fontId="0" fillId="0" borderId="13" xfId="0" applyNumberFormat="1" applyBorder="1"/>
    <xf numFmtId="0" fontId="0" fillId="0" borderId="45" xfId="0" applyBorder="1"/>
    <xf numFmtId="0" fontId="24" fillId="0" borderId="0" xfId="0" applyFont="1" applyAlignment="1">
      <alignment horizontal="center" vertical="top"/>
    </xf>
    <xf numFmtId="0" fontId="1" fillId="0" borderId="0" xfId="0" applyFont="1" applyAlignment="1"/>
    <xf numFmtId="0" fontId="23" fillId="25" borderId="75" xfId="0" applyFont="1" applyFill="1" applyBorder="1"/>
    <xf numFmtId="0" fontId="23" fillId="25" borderId="76" xfId="0" applyFont="1" applyFill="1" applyBorder="1"/>
    <xf numFmtId="0" fontId="15" fillId="25" borderId="77" xfId="0" applyFont="1" applyFill="1" applyBorder="1"/>
    <xf numFmtId="0" fontId="15" fillId="25" borderId="75" xfId="0" applyFont="1" applyFill="1" applyBorder="1"/>
    <xf numFmtId="0" fontId="15" fillId="25" borderId="76" xfId="0" applyFont="1" applyFill="1" applyBorder="1"/>
    <xf numFmtId="0" fontId="23" fillId="25" borderId="77" xfId="0" applyFont="1" applyFill="1" applyBorder="1"/>
    <xf numFmtId="0" fontId="23" fillId="25" borderId="78" xfId="0" applyFont="1" applyFill="1" applyBorder="1"/>
    <xf numFmtId="0" fontId="23" fillId="25" borderId="79" xfId="0" applyFont="1" applyFill="1" applyBorder="1"/>
    <xf numFmtId="0" fontId="23" fillId="25" borderId="80" xfId="0" applyFont="1" applyFill="1" applyBorder="1"/>
    <xf numFmtId="170" fontId="0" fillId="0" borderId="0" xfId="0" applyNumberFormat="1" applyFill="1"/>
    <xf numFmtId="0" fontId="0" fillId="0" borderId="81" xfId="0" applyBorder="1"/>
    <xf numFmtId="0" fontId="0" fillId="0" borderId="82" xfId="0" applyBorder="1"/>
    <xf numFmtId="0" fontId="0" fillId="0" borderId="83" xfId="0" applyBorder="1"/>
    <xf numFmtId="0" fontId="0" fillId="0" borderId="84" xfId="0" applyBorder="1"/>
    <xf numFmtId="0" fontId="0" fillId="0" borderId="85" xfId="0" applyBorder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2" fontId="24" fillId="0" borderId="0" xfId="0" applyNumberFormat="1" applyFont="1" applyFill="1" applyAlignment="1">
      <alignment horizontal="center" vertical="center"/>
    </xf>
    <xf numFmtId="2" fontId="1" fillId="0" borderId="0" xfId="0" applyNumberFormat="1" applyFont="1" applyAlignment="1">
      <alignment horizontal="center" vertical="center" wrapText="1"/>
    </xf>
    <xf numFmtId="2" fontId="9" fillId="0" borderId="0" xfId="0" applyNumberFormat="1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19" fillId="0" borderId="0" xfId="0" applyNumberFormat="1" applyFont="1" applyAlignment="1">
      <alignment horizontal="center" vertical="center" wrapText="1"/>
    </xf>
    <xf numFmtId="2" fontId="19" fillId="0" borderId="0" xfId="0" applyNumberFormat="1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top"/>
    </xf>
    <xf numFmtId="2" fontId="0" fillId="0" borderId="0" xfId="0" applyNumberFormat="1" applyFill="1" applyAlignment="1">
      <alignment horizontal="center" vertical="top"/>
    </xf>
    <xf numFmtId="2" fontId="1" fillId="0" borderId="18" xfId="5" applyNumberFormat="1" applyFill="1" applyBorder="1" applyAlignment="1">
      <alignment horizontal="center" vertical="top" wrapText="1"/>
    </xf>
    <xf numFmtId="2" fontId="1" fillId="0" borderId="18" xfId="5" applyNumberFormat="1" applyFill="1" applyBorder="1" applyAlignment="1">
      <alignment horizontal="center" vertical="top"/>
    </xf>
    <xf numFmtId="2" fontId="0" fillId="0" borderId="18" xfId="0" applyNumberFormat="1" applyBorder="1" applyAlignment="1">
      <alignment horizontal="center" vertical="top"/>
    </xf>
    <xf numFmtId="2" fontId="0" fillId="0" borderId="18" xfId="0" applyNumberFormat="1" applyFont="1" applyFill="1" applyBorder="1" applyAlignment="1">
      <alignment horizontal="center" vertical="top"/>
    </xf>
    <xf numFmtId="170" fontId="0" fillId="20" borderId="13" xfId="0" applyNumberFormat="1" applyFill="1" applyBorder="1"/>
    <xf numFmtId="168" fontId="0" fillId="20" borderId="13" xfId="0" applyNumberFormat="1" applyFill="1" applyBorder="1"/>
    <xf numFmtId="44" fontId="0" fillId="20" borderId="13" xfId="0" applyNumberFormat="1" applyFill="1" applyBorder="1"/>
    <xf numFmtId="169" fontId="0" fillId="20" borderId="13" xfId="0" applyNumberFormat="1" applyFill="1" applyBorder="1" applyAlignment="1">
      <alignment horizontal="center"/>
    </xf>
    <xf numFmtId="0" fontId="0" fillId="20" borderId="13" xfId="0" applyFill="1" applyBorder="1" applyAlignment="1">
      <alignment horizontal="center" vertical="center"/>
    </xf>
    <xf numFmtId="0" fontId="0" fillId="20" borderId="13" xfId="0" applyFill="1" applyBorder="1"/>
    <xf numFmtId="0" fontId="0" fillId="20" borderId="13" xfId="0" applyFill="1" applyBorder="1" applyAlignment="1">
      <alignment horizontal="center" vertical="center" wrapText="1"/>
    </xf>
    <xf numFmtId="0" fontId="10" fillId="20" borderId="13" xfId="0" applyFont="1" applyFill="1" applyBorder="1" applyAlignment="1">
      <alignment horizontal="left" textRotation="90"/>
    </xf>
    <xf numFmtId="2" fontId="0" fillId="20" borderId="13" xfId="0" applyNumberFormat="1" applyFill="1" applyBorder="1" applyAlignment="1">
      <alignment horizontal="center" vertical="center" wrapText="1"/>
    </xf>
    <xf numFmtId="0" fontId="0" fillId="20" borderId="13" xfId="0" applyNumberFormat="1" applyFill="1" applyBorder="1" applyAlignment="1">
      <alignment horizontal="center" vertical="center" wrapText="1"/>
    </xf>
    <xf numFmtId="168" fontId="35" fillId="19" borderId="68" xfId="0" applyNumberFormat="1" applyFont="1" applyFill="1" applyBorder="1" applyAlignment="1">
      <alignment horizontal="left" vertical="top"/>
    </xf>
    <xf numFmtId="168" fontId="1" fillId="24" borderId="68" xfId="7" applyNumberFormat="1" applyFont="1" applyFill="1" applyBorder="1" applyAlignment="1">
      <alignment horizontal="left" vertical="top"/>
    </xf>
    <xf numFmtId="168" fontId="35" fillId="0" borderId="0" xfId="0" applyNumberFormat="1" applyFont="1" applyFill="1" applyBorder="1" applyAlignment="1">
      <alignment horizontal="left" vertical="top"/>
    </xf>
    <xf numFmtId="168" fontId="1" fillId="0" borderId="0" xfId="7" applyNumberFormat="1" applyFont="1" applyFill="1" applyBorder="1" applyAlignment="1">
      <alignment horizontal="left" vertical="top"/>
    </xf>
    <xf numFmtId="0" fontId="16" fillId="0" borderId="0" xfId="0" applyFont="1" applyAlignment="1">
      <alignment horizontal="center"/>
    </xf>
    <xf numFmtId="0" fontId="26" fillId="14" borderId="7" xfId="0" applyFont="1" applyFill="1" applyBorder="1" applyAlignment="1">
      <alignment horizontal="center" vertical="center"/>
    </xf>
    <xf numFmtId="0" fontId="26" fillId="14" borderId="9" xfId="0" applyFont="1" applyFill="1" applyBorder="1" applyAlignment="1">
      <alignment horizontal="center" vertical="center"/>
    </xf>
    <xf numFmtId="0" fontId="27" fillId="14" borderId="0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41" fillId="0" borderId="0" xfId="0" applyFont="1" applyFill="1" applyBorder="1" applyAlignment="1">
      <alignment horizontal="left" vertical="top" wrapText="1"/>
    </xf>
    <xf numFmtId="0" fontId="1" fillId="0" borderId="13" xfId="0" applyFont="1" applyBorder="1" applyAlignment="1">
      <alignment horizontal="center" vertical="center"/>
    </xf>
    <xf numFmtId="168" fontId="1" fillId="0" borderId="13" xfId="0" applyNumberFormat="1" applyFont="1" applyBorder="1" applyAlignment="1">
      <alignment horizontal="center" vertical="center" wrapText="1"/>
    </xf>
    <xf numFmtId="170" fontId="1" fillId="0" borderId="13" xfId="0" applyNumberFormat="1" applyFont="1" applyBorder="1" applyAlignment="1">
      <alignment horizontal="center" vertical="center" wrapText="1"/>
    </xf>
    <xf numFmtId="170" fontId="18" fillId="21" borderId="21" xfId="0" applyNumberFormat="1" applyFont="1" applyFill="1" applyBorder="1" applyAlignment="1">
      <alignment horizontal="center"/>
    </xf>
    <xf numFmtId="170" fontId="1" fillId="0" borderId="17" xfId="0" applyNumberFormat="1" applyFont="1" applyBorder="1" applyAlignment="1">
      <alignment horizontal="center" vertical="center" wrapText="1"/>
    </xf>
    <xf numFmtId="170" fontId="1" fillId="0" borderId="15" xfId="0" applyNumberFormat="1" applyFont="1" applyBorder="1" applyAlignment="1">
      <alignment horizontal="center" vertical="center" wrapText="1"/>
    </xf>
    <xf numFmtId="170" fontId="18" fillId="22" borderId="21" xfId="0" applyNumberFormat="1" applyFont="1" applyFill="1" applyBorder="1" applyAlignment="1">
      <alignment horizontal="center"/>
    </xf>
    <xf numFmtId="170" fontId="1" fillId="0" borderId="17" xfId="0" applyNumberFormat="1" applyFont="1" applyFill="1" applyBorder="1" applyAlignment="1" applyProtection="1">
      <alignment horizontal="center" vertical="center" wrapText="1"/>
    </xf>
    <xf numFmtId="170" fontId="1" fillId="0" borderId="15" xfId="0" applyNumberFormat="1" applyFont="1" applyFill="1" applyBorder="1" applyAlignment="1" applyProtection="1">
      <alignment horizontal="center" vertical="center" wrapText="1"/>
    </xf>
    <xf numFmtId="0" fontId="25" fillId="18" borderId="0" xfId="0" applyFont="1" applyFill="1" applyAlignment="1">
      <alignment horizontal="center" vertical="center"/>
    </xf>
    <xf numFmtId="17" fontId="32" fillId="16" borderId="0" xfId="0" applyNumberFormat="1" applyFont="1" applyFill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169" fontId="1" fillId="0" borderId="13" xfId="0" applyNumberFormat="1" applyFont="1" applyFill="1" applyBorder="1" applyAlignment="1" applyProtection="1">
      <alignment horizontal="center" vertical="center" wrapText="1"/>
    </xf>
    <xf numFmtId="169" fontId="4" fillId="0" borderId="13" xfId="0" applyNumberFormat="1" applyFont="1" applyBorder="1" applyAlignment="1">
      <alignment horizontal="center" vertical="center"/>
    </xf>
    <xf numFmtId="170" fontId="1" fillId="0" borderId="17" xfId="0" applyNumberFormat="1" applyFont="1" applyBorder="1" applyAlignment="1">
      <alignment horizontal="center" vertical="center"/>
    </xf>
    <xf numFmtId="170" fontId="1" fillId="0" borderId="15" xfId="0" applyNumberFormat="1" applyFont="1" applyBorder="1" applyAlignment="1">
      <alignment horizontal="center" vertical="center"/>
    </xf>
    <xf numFmtId="2" fontId="1" fillId="0" borderId="13" xfId="0" applyNumberFormat="1" applyFont="1" applyFill="1" applyBorder="1" applyAlignment="1">
      <alignment horizontal="center" vertical="center" wrapText="1"/>
    </xf>
    <xf numFmtId="170" fontId="1" fillId="0" borderId="13" xfId="0" applyNumberFormat="1" applyFont="1" applyFill="1" applyBorder="1" applyAlignment="1">
      <alignment horizontal="center" vertical="center" wrapText="1"/>
    </xf>
    <xf numFmtId="169" fontId="0" fillId="23" borderId="0" xfId="0" applyNumberFormat="1" applyFill="1" applyBorder="1" applyAlignment="1">
      <alignment horizontal="center"/>
    </xf>
    <xf numFmtId="0" fontId="54" fillId="0" borderId="66" xfId="0" applyFont="1" applyFill="1" applyBorder="1" applyAlignment="1">
      <alignment vertical="center" wrapText="1"/>
    </xf>
    <xf numFmtId="0" fontId="54" fillId="0" borderId="61" xfId="0" applyFont="1" applyFill="1" applyBorder="1" applyAlignment="1">
      <alignment vertical="center" wrapText="1"/>
    </xf>
    <xf numFmtId="0" fontId="54" fillId="0" borderId="67" xfId="0" applyFont="1" applyFill="1" applyBorder="1" applyAlignment="1">
      <alignment vertical="center" wrapText="1"/>
    </xf>
    <xf numFmtId="0" fontId="45" fillId="0" borderId="44" xfId="0" applyFont="1" applyFill="1" applyBorder="1" applyAlignment="1">
      <alignment horizontal="center" vertical="center" wrapText="1"/>
    </xf>
    <xf numFmtId="0" fontId="45" fillId="0" borderId="0" xfId="0" applyFont="1" applyFill="1" applyBorder="1" applyAlignment="1">
      <alignment horizontal="center" vertical="center" wrapText="1"/>
    </xf>
    <xf numFmtId="0" fontId="45" fillId="0" borderId="45" xfId="0" applyFont="1" applyFill="1" applyBorder="1" applyAlignment="1">
      <alignment horizontal="center" vertical="center" wrapText="1"/>
    </xf>
    <xf numFmtId="0" fontId="50" fillId="0" borderId="62" xfId="0" applyFont="1" applyBorder="1" applyAlignment="1">
      <alignment horizontal="center" vertical="center" wrapText="1"/>
    </xf>
    <xf numFmtId="0" fontId="50" fillId="0" borderId="63" xfId="0" applyFont="1" applyBorder="1" applyAlignment="1">
      <alignment horizontal="center" vertical="center" wrapText="1"/>
    </xf>
    <xf numFmtId="0" fontId="50" fillId="0" borderId="64" xfId="0" applyFont="1" applyBorder="1" applyAlignment="1">
      <alignment horizontal="center" vertical="center" wrapText="1"/>
    </xf>
    <xf numFmtId="0" fontId="48" fillId="5" borderId="52" xfId="0" applyFont="1" applyFill="1" applyBorder="1" applyAlignment="1">
      <alignment horizontal="left" vertical="top"/>
    </xf>
    <xf numFmtId="0" fontId="48" fillId="5" borderId="31" xfId="0" applyFont="1" applyFill="1" applyBorder="1" applyAlignment="1">
      <alignment horizontal="left" vertical="top"/>
    </xf>
    <xf numFmtId="0" fontId="48" fillId="5" borderId="30" xfId="0" applyFont="1" applyFill="1" applyBorder="1" applyAlignment="1">
      <alignment horizontal="left" vertical="top"/>
    </xf>
    <xf numFmtId="0" fontId="48" fillId="5" borderId="53" xfId="0" applyFont="1" applyFill="1" applyBorder="1" applyAlignment="1">
      <alignment horizontal="left" vertical="top"/>
    </xf>
    <xf numFmtId="0" fontId="52" fillId="5" borderId="48" xfId="0" applyFont="1" applyFill="1" applyBorder="1" applyAlignment="1">
      <alignment horizontal="left" vertical="center"/>
    </xf>
    <xf numFmtId="0" fontId="52" fillId="5" borderId="32" xfId="0" applyFont="1" applyFill="1" applyBorder="1" applyAlignment="1">
      <alignment horizontal="left" vertical="center"/>
    </xf>
    <xf numFmtId="0" fontId="52" fillId="5" borderId="49" xfId="0" applyFont="1" applyFill="1" applyBorder="1" applyAlignment="1">
      <alignment horizontal="left" vertical="center"/>
    </xf>
    <xf numFmtId="0" fontId="1" fillId="0" borderId="25" xfId="0" applyFont="1" applyBorder="1" applyAlignment="1">
      <alignment horizontal="center" vertical="top" wrapText="1"/>
    </xf>
    <xf numFmtId="2" fontId="1" fillId="0" borderId="18" xfId="5" applyNumberFormat="1" applyFill="1" applyBorder="1" applyAlignment="1">
      <alignment horizontal="center" vertical="top" wrapText="1"/>
    </xf>
    <xf numFmtId="0" fontId="1" fillId="0" borderId="18" xfId="5" applyBorder="1" applyAlignment="1">
      <alignment horizontal="center" vertical="top"/>
    </xf>
    <xf numFmtId="2" fontId="1" fillId="0" borderId="18" xfId="5" applyNumberFormat="1" applyFill="1" applyBorder="1" applyAlignment="1">
      <alignment horizontal="center" vertical="top"/>
    </xf>
    <xf numFmtId="2" fontId="20" fillId="19" borderId="0" xfId="0" applyNumberFormat="1" applyFont="1" applyFill="1" applyAlignment="1">
      <alignment horizontal="center" vertical="center"/>
    </xf>
    <xf numFmtId="2" fontId="1" fillId="0" borderId="0" xfId="0" applyNumberFormat="1" applyFont="1" applyAlignment="1">
      <alignment horizontal="center" vertical="center" wrapText="1"/>
    </xf>
    <xf numFmtId="2" fontId="1" fillId="0" borderId="18" xfId="5" applyNumberFormat="1" applyBorder="1" applyAlignment="1">
      <alignment horizontal="center" vertical="top" wrapText="1"/>
    </xf>
    <xf numFmtId="14" fontId="21" fillId="4" borderId="0" xfId="0" applyNumberFormat="1" applyFont="1" applyFill="1" applyAlignment="1">
      <alignment horizontal="center" vertical="center" wrapText="1"/>
    </xf>
    <xf numFmtId="14" fontId="22" fillId="4" borderId="0" xfId="0" applyNumberFormat="1" applyFont="1" applyFill="1" applyAlignment="1">
      <alignment horizontal="center" vertical="center" wrapText="1"/>
    </xf>
    <xf numFmtId="2" fontId="19" fillId="19" borderId="0" xfId="0" applyNumberFormat="1" applyFont="1" applyFill="1" applyAlignment="1">
      <alignment horizontal="center" vertical="center" wrapText="1"/>
    </xf>
    <xf numFmtId="2" fontId="19" fillId="19" borderId="65" xfId="0" applyNumberFormat="1" applyFont="1" applyFill="1" applyBorder="1" applyAlignment="1">
      <alignment horizontal="center" vertical="center" wrapText="1"/>
    </xf>
    <xf numFmtId="0" fontId="38" fillId="0" borderId="0" xfId="0" applyFont="1" applyBorder="1" applyAlignment="1">
      <alignment horizontal="center" vertical="center"/>
    </xf>
    <xf numFmtId="0" fontId="39" fillId="0" borderId="0" xfId="0" applyFont="1" applyAlignment="1">
      <alignment horizontal="left" vertical="top" wrapText="1"/>
    </xf>
    <xf numFmtId="0" fontId="17" fillId="9" borderId="0" xfId="0" applyFont="1" applyFill="1" applyBorder="1" applyAlignment="1">
      <alignment horizontal="center" vertical="center"/>
    </xf>
    <xf numFmtId="0" fontId="12" fillId="0" borderId="21" xfId="0" applyFont="1" applyBorder="1" applyAlignment="1">
      <alignment horizontal="center"/>
    </xf>
    <xf numFmtId="0" fontId="37" fillId="0" borderId="0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17" fontId="35" fillId="19" borderId="13" xfId="0" applyNumberFormat="1" applyFont="1" applyFill="1" applyBorder="1" applyAlignment="1">
      <alignment horizontal="center" vertical="center"/>
    </xf>
    <xf numFmtId="0" fontId="35" fillId="19" borderId="17" xfId="0" applyFont="1" applyFill="1" applyBorder="1" applyAlignment="1">
      <alignment horizontal="center" vertical="center"/>
    </xf>
    <xf numFmtId="0" fontId="35" fillId="19" borderId="15" xfId="0" applyFont="1" applyFill="1" applyBorder="1" applyAlignment="1">
      <alignment horizontal="center" vertical="center"/>
    </xf>
    <xf numFmtId="0" fontId="35" fillId="19" borderId="17" xfId="0" applyFont="1" applyFill="1" applyBorder="1" applyAlignment="1">
      <alignment horizontal="center" vertical="center" wrapText="1"/>
    </xf>
    <xf numFmtId="0" fontId="1" fillId="19" borderId="22" xfId="0" applyFont="1" applyFill="1" applyBorder="1" applyAlignment="1">
      <alignment horizontal="center"/>
    </xf>
    <xf numFmtId="0" fontId="1" fillId="19" borderId="23" xfId="0" applyFont="1" applyFill="1" applyBorder="1" applyAlignment="1">
      <alignment horizontal="center"/>
    </xf>
    <xf numFmtId="0" fontId="1" fillId="19" borderId="16" xfId="0" applyFont="1" applyFill="1" applyBorder="1" applyAlignment="1">
      <alignment horizontal="center"/>
    </xf>
    <xf numFmtId="0" fontId="35" fillId="24" borderId="26" xfId="0" applyFont="1" applyFill="1" applyBorder="1" applyAlignment="1">
      <alignment horizontal="left" vertical="top"/>
    </xf>
    <xf numFmtId="0" fontId="23" fillId="25" borderId="72" xfId="0" applyFont="1" applyFill="1" applyBorder="1" applyAlignment="1">
      <alignment horizontal="center"/>
    </xf>
    <xf numFmtId="0" fontId="23" fillId="25" borderId="73" xfId="0" applyFont="1" applyFill="1" applyBorder="1" applyAlignment="1">
      <alignment horizontal="center"/>
    </xf>
    <xf numFmtId="0" fontId="23" fillId="25" borderId="74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9">
    <cellStyle name="20% - Accent4" xfId="1" builtinId="42"/>
    <cellStyle name="40% - Accent4" xfId="2" builtinId="43"/>
    <cellStyle name="Bad" xfId="4" builtinId="27"/>
    <cellStyle name="Comma" xfId="7" builtinId="3"/>
    <cellStyle name="Comma 17" xfId="8" xr:uid="{00000000-0005-0000-0000-000004000000}"/>
    <cellStyle name="Comma 2" xfId="3" xr:uid="{00000000-0005-0000-0000-000005000000}"/>
    <cellStyle name="Normal" xfId="0" builtinId="0"/>
    <cellStyle name="Percent" xfId="6" builtinId="5"/>
    <cellStyle name="Total" xfId="5" builtinId="25"/>
  </cellStyles>
  <dxfs count="79"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5C5"/>
        </patternFill>
      </fill>
    </dxf>
    <dxf>
      <font>
        <color auto="1"/>
      </font>
      <fill>
        <patternFill>
          <bgColor rgb="FF66FF33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font>
        <strike/>
      </font>
      <fill>
        <patternFill>
          <bgColor rgb="FFF34F8D"/>
        </patternFill>
      </fill>
    </dxf>
    <dxf>
      <numFmt numFmtId="0" formatCode="General"/>
      <border diagonalUp="0" diagonalDown="0">
        <left/>
        <right/>
        <top style="double">
          <color auto="1"/>
        </top>
        <bottom style="double">
          <color auto="1"/>
        </bottom>
        <vertical style="double">
          <color auto="1"/>
        </vertical>
        <horizontal style="double">
          <color auto="1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double">
          <color auto="1"/>
        </left>
        <right style="double">
          <color auto="1"/>
        </right>
        <top/>
        <bottom/>
        <vertical style="double">
          <color auto="1"/>
        </vertical>
        <horizontal style="double">
          <color auto="1"/>
        </horizontal>
      </border>
    </dxf>
    <dxf>
      <font>
        <color theme="0"/>
      </font>
      <fill>
        <gradientFill>
          <stop position="0">
            <color rgb="FFFF0909"/>
          </stop>
          <stop position="1">
            <color rgb="FFFFFF00"/>
          </stop>
        </gradientFill>
      </fill>
    </dxf>
    <dxf>
      <font>
        <color theme="0"/>
      </font>
      <fill>
        <gradientFill>
          <stop position="0">
            <color rgb="FF225380"/>
          </stop>
          <stop position="1">
            <color theme="4" tint="0.59999389629810485"/>
          </stop>
        </gradientFill>
      </fill>
    </dxf>
    <dxf>
      <font>
        <color theme="0"/>
      </font>
      <fill>
        <gradientFill>
          <stop position="0">
            <color rgb="FFF50995"/>
          </stop>
          <stop position="1">
            <color rgb="FFFBD9F5"/>
          </stop>
        </gradientFill>
      </fill>
    </dxf>
    <dxf>
      <font>
        <color theme="0"/>
      </font>
      <fill>
        <gradientFill>
          <stop position="0">
            <color rgb="FFFF0909"/>
          </stop>
          <stop position="1">
            <color rgb="FFFFFF00"/>
          </stop>
        </gradientFill>
      </fill>
    </dxf>
    <dxf>
      <font>
        <color theme="0"/>
      </font>
      <fill>
        <gradientFill>
          <stop position="0">
            <color rgb="FF225380"/>
          </stop>
          <stop position="1">
            <color theme="4" tint="0.59999389629810485"/>
          </stop>
        </gradientFill>
      </fill>
    </dxf>
    <dxf>
      <font>
        <color theme="0"/>
      </font>
      <fill>
        <gradientFill>
          <stop position="0">
            <color rgb="FFF50995"/>
          </stop>
          <stop position="1">
            <color rgb="FFFBD9F5"/>
          </stop>
        </gradientFill>
      </fill>
    </dxf>
    <dxf>
      <font>
        <color theme="0"/>
      </font>
      <fill>
        <gradientFill>
          <stop position="0">
            <color rgb="FF225380"/>
          </stop>
          <stop position="1">
            <color theme="4" tint="0.59999389629810485"/>
          </stop>
        </gradientFill>
      </fill>
    </dxf>
    <dxf>
      <font>
        <color theme="0"/>
      </font>
      <fill>
        <gradientFill>
          <stop position="0">
            <color rgb="FFF50995"/>
          </stop>
          <stop position="1">
            <color rgb="FFFBD9F5"/>
          </stop>
        </gradientFill>
      </fill>
    </dxf>
    <dxf>
      <font>
        <color theme="0"/>
      </font>
      <fill>
        <gradientFill>
          <stop position="0">
            <color rgb="FFFF0909"/>
          </stop>
          <stop position="1">
            <color rgb="FFFFFF00"/>
          </stop>
        </gradient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gradientFill>
          <stop position="0">
            <color theme="0" tint="-0.34900967436750391"/>
          </stop>
          <stop position="1">
            <color theme="1"/>
          </stop>
        </gradientFill>
      </fill>
    </dxf>
    <dxf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double">
          <color auto="1"/>
        </vertical>
        <horizontal style="double">
          <color auto="1"/>
        </horizontal>
      </border>
    </dxf>
    <dxf>
      <numFmt numFmtId="19" formatCode="dd/mm/yyyy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double">
          <color auto="1"/>
        </vertical>
        <horizontal style="double">
          <color auto="1"/>
        </horizontal>
      </border>
    </dxf>
    <dxf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double">
          <color auto="1"/>
        </vertical>
        <horizontal style="double">
          <color auto="1"/>
        </horizontal>
      </border>
    </dxf>
    <dxf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double">
          <color auto="1"/>
        </vertical>
        <horizontal style="double">
          <color auto="1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 style="double">
          <color auto="1"/>
        </right>
        <top style="double">
          <color auto="1"/>
        </top>
        <bottom style="double">
          <color auto="1"/>
        </bottom>
        <vertical style="double">
          <color auto="1"/>
        </vertical>
        <horizontal style="double">
          <color auto="1"/>
        </horizontal>
      </border>
    </dxf>
    <dxf>
      <border>
        <top style="double">
          <color auto="1"/>
        </top>
      </border>
    </dxf>
    <dxf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</dxf>
    <dxf>
      <border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 tint="4.9989318521683403E-2"/>
        </patternFill>
      </fill>
      <alignment horizontal="left" vertical="top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/>
        <bottom/>
        <vertical style="double">
          <color auto="1"/>
        </vertical>
        <horizontal style="double">
          <color auto="1"/>
        </horizontal>
      </border>
    </dxf>
    <dxf>
      <alignment horizontal="center" vertical="center" textRotation="0" wrapText="0" indent="0" justifyLastLine="0" shrinkToFit="0" readingOrder="0"/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/>
      </font>
      <fill>
        <patternFill>
          <bgColor rgb="FFF34F8D"/>
        </patternFill>
      </fill>
    </dxf>
    <dxf>
      <font>
        <b val="0"/>
        <i/>
        <color theme="1"/>
        <name val="Britannic Bold"/>
        <scheme val="none"/>
      </font>
    </dxf>
    <dxf>
      <font>
        <b/>
        <i val="0"/>
        <color theme="1"/>
      </font>
      <fill>
        <patternFill patternType="solid">
          <bgColor theme="0"/>
        </patternFill>
      </fill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/>
        <horizontal/>
      </border>
    </dxf>
    <dxf>
      <fill>
        <patternFill>
          <bgColor rgb="FFD3B5E9"/>
        </patternFill>
      </fill>
    </dxf>
  </dxfs>
  <tableStyles count="2" defaultTableStyle="TableStyleMedium2" defaultPivotStyle="PivotStyleLight16">
    <tableStyle name="PivotTable Style 1" table="0" count="1" xr9:uid="{00000000-0011-0000-FFFF-FFFF00000000}">
      <tableStyleElement type="wholeTable" dxfId="78"/>
    </tableStyle>
    <tableStyle name="Slicer Style 1" pivot="0" table="0" count="4" xr9:uid="{00000000-0011-0000-FFFF-FFFF01000000}">
      <tableStyleElement type="wholeTable" dxfId="77"/>
      <tableStyleElement type="headerRow" dxfId="76"/>
    </tableStyle>
  </tableStyles>
  <colors>
    <mruColors>
      <color rgb="FF000066"/>
      <color rgb="FFFD9191"/>
      <color rgb="FFE1DFC1"/>
      <color rgb="FFFFC5C5"/>
      <color rgb="FFA50021"/>
      <color rgb="FF8064A2"/>
      <color rgb="FF4F81BD"/>
      <color rgb="FFFA5054"/>
      <color rgb="FFFF8F8F"/>
      <color rgb="FF66FF33"/>
    </mruColors>
  </colors>
  <extLst>
    <ext xmlns:x14="http://schemas.microsoft.com/office/spreadsheetml/2009/9/main" uri="{46F421CA-312F-682f-3DD2-61675219B42D}">
      <x14:dxfs count="2">
        <dxf>
          <font>
            <color theme="0" tint="-0.499984740745262"/>
          </font>
        </dxf>
        <dxf>
          <font>
            <b/>
            <i/>
            <sz val="12"/>
            <color theme="0"/>
            <name val="Bell MT"/>
            <scheme val="none"/>
          </font>
          <fill>
            <gradientFill degree="45">
              <stop position="0">
                <color theme="8" tint="0.80001220740379042"/>
              </stop>
              <stop position="1">
                <color rgb="FF002060"/>
              </stop>
            </gradient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1"/>
            <x14:slicerStyleElement type="hoveredUn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2" dropStyle="combo" dx="22" fmlaLink="$G$28" fmlaRange="$D$4:$D$15" sel="3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504824</xdr:colOff>
      <xdr:row>1</xdr:row>
      <xdr:rowOff>47625</xdr:rowOff>
    </xdr:from>
    <xdr:to>
      <xdr:col>3</xdr:col>
      <xdr:colOff>142875</xdr:colOff>
      <xdr:row>2</xdr:row>
      <xdr:rowOff>152400</xdr:rowOff>
    </xdr:to>
    <xdr:sp macro="" textlink="">
      <xdr:nvSpPr>
        <xdr:cNvPr id="22" name="Arrow: Ben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 rot="10800000" flipH="1">
          <a:off x="1333499" y="238125"/>
          <a:ext cx="809626" cy="295275"/>
        </a:xfrm>
        <a:prstGeom prst="bentArrow">
          <a:avLst/>
        </a:prstGeom>
        <a:ln w="25400" cmpd="sng">
          <a:solidFill>
            <a:schemeClr val="accent5">
              <a:lumMod val="75000"/>
            </a:schemeClr>
          </a:solidFill>
          <a:prstDash val="sysDash"/>
        </a:ln>
        <a:effectLst>
          <a:outerShdw blurRad="50800" dist="76200" dir="8400000" sx="107000" sy="107000" algn="ctr" rotWithShape="0">
            <a:schemeClr val="accent3"/>
          </a:outerShdw>
        </a:effectLst>
        <a:scene3d>
          <a:camera prst="orthographicFront"/>
          <a:lightRig rig="threePt" dir="t"/>
        </a:scene3d>
        <a:sp3d>
          <a:bevelT w="114300" prst="artDeco"/>
          <a:bevelB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26</xdr:row>
          <xdr:rowOff>38100</xdr:rowOff>
        </xdr:from>
        <xdr:to>
          <xdr:col>3</xdr:col>
          <xdr:colOff>1295400</xdr:colOff>
          <xdr:row>27</xdr:row>
          <xdr:rowOff>133350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1095375</xdr:colOff>
      <xdr:row>5</xdr:row>
      <xdr:rowOff>57150</xdr:rowOff>
    </xdr:from>
    <xdr:to>
      <xdr:col>2</xdr:col>
      <xdr:colOff>1095375</xdr:colOff>
      <xdr:row>5</xdr:row>
      <xdr:rowOff>257175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>
          <a:off x="2790825" y="1295400"/>
          <a:ext cx="0" cy="200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419100</xdr:colOff>
      <xdr:row>4</xdr:row>
      <xdr:rowOff>238125</xdr:rowOff>
    </xdr:from>
    <xdr:to>
      <xdr:col>2</xdr:col>
      <xdr:colOff>1047750</xdr:colOff>
      <xdr:row>4</xdr:row>
      <xdr:rowOff>238125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2114550" y="1028700"/>
          <a:ext cx="6286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116540</xdr:colOff>
      <xdr:row>3</xdr:row>
      <xdr:rowOff>215152</xdr:rowOff>
    </xdr:from>
    <xdr:to>
      <xdr:col>7</xdr:col>
      <xdr:colOff>116540</xdr:colOff>
      <xdr:row>4</xdr:row>
      <xdr:rowOff>8964</xdr:rowOff>
    </xdr:to>
    <xdr:sp macro="[0]!Sheet6.PrintPdf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75575" y="1066799"/>
          <a:ext cx="869577" cy="42134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 b="1"/>
            <a:t>PDF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nish%20Kadam/Documents/Salary%20details/Salary%20Sheet%20-%20Finalis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 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user/Desktop/Nov%20Salary/Final%20Sheet%20Revised%20Nov-21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4533.519143055557" createdVersion="5" refreshedVersion="5" minRefreshableVersion="3" recordCount="999" xr:uid="{00000000-000A-0000-FFFF-FFFF00000000}">
  <cacheSource type="worksheet">
    <worksheetSource name="Table1" r:id="rId2"/>
  </cacheSource>
  <cacheFields count="5">
    <cacheField name="Transaction ID" numFmtId="0">
      <sharedItems/>
    </cacheField>
    <cacheField name="Employee Code" numFmtId="0">
      <sharedItems/>
    </cacheField>
    <cacheField name="Employee Name" numFmtId="0">
      <sharedItems containsBlank="1"/>
    </cacheField>
    <cacheField name="Date" numFmtId="14">
      <sharedItems containsNonDate="0" containsDate="1" containsString="0" containsBlank="1" minDate="2021-09-01T00:00:00" maxDate="2021-11-16T00:00:00" count="38">
        <d v="2021-09-01T00:00:00"/>
        <d v="2021-09-02T00:00:00"/>
        <d v="2021-09-03T00:00:00"/>
        <d v="2021-09-04T00:00:00"/>
        <d v="2021-09-06T00:00:00"/>
        <d v="2021-09-07T00:00:00"/>
        <d v="2021-09-08T00:00:00"/>
        <d v="2021-09-09T00:00:00"/>
        <d v="2021-09-10T00:00:00"/>
        <d v="2021-09-11T00:00:00"/>
        <m/>
        <d v="2021-10-01T00:00:00"/>
        <d v="2021-10-02T00:00:00"/>
        <d v="2021-10-03T00:00:00"/>
        <d v="2021-10-04T00:00:00"/>
        <d v="2021-10-05T00:00:00"/>
        <d v="2021-10-06T00:00:00"/>
        <d v="2021-10-07T00:00:00"/>
        <d v="2021-10-08T00:00:00"/>
        <d v="2021-10-09T00:00:00"/>
        <d v="2021-10-10T00:00:00"/>
        <d v="2021-10-11T00:00:00"/>
        <d v="2021-10-12T00:00:00"/>
        <d v="2021-11-01T00:00:00"/>
        <d v="2021-11-02T00:00:00"/>
        <d v="2021-11-03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</sharedItems>
    </cacheField>
    <cacheField name="Leave Typ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">
  <r>
    <s v="Emp_001444440"/>
    <s v="Emp_0014"/>
    <s v="AJAY SAVARA"/>
    <x v="0"/>
    <s v="A"/>
  </r>
  <r>
    <s v="Emp_001444441"/>
    <s v="Emp_0014"/>
    <s v="AJAY SAVARA"/>
    <x v="1"/>
    <s v="A"/>
  </r>
  <r>
    <s v="Emp_001544440"/>
    <s v="Emp_0015"/>
    <s v="AKSHAY SHELAR"/>
    <x v="0"/>
    <s v="A"/>
  </r>
  <r>
    <s v="Emp_001544441"/>
    <s v="Emp_0015"/>
    <s v="AKSHAY SHELAR"/>
    <x v="1"/>
    <s v="A"/>
  </r>
  <r>
    <s v="Emp_001544442"/>
    <s v="Emp_0015"/>
    <s v="AKSHAY SHELAR"/>
    <x v="2"/>
    <s v="A"/>
  </r>
  <r>
    <s v="Emp_001544443"/>
    <s v="Emp_0015"/>
    <s v="AKSHAY SHELAR"/>
    <x v="3"/>
    <s v="A"/>
  </r>
  <r>
    <s v="Emp_001944440"/>
    <s v="Emp_0019"/>
    <s v="AMOL PATIL"/>
    <x v="0"/>
    <s v="A"/>
  </r>
  <r>
    <s v="Emp_001344440"/>
    <s v="Emp_0013"/>
    <s v="KALPESH SHELAR"/>
    <x v="0"/>
    <s v="A"/>
  </r>
  <r>
    <s v="Emp_001844440"/>
    <s v="Emp_0018"/>
    <s v="PRATIK NEVREKAR"/>
    <x v="0"/>
    <s v="A"/>
  </r>
  <r>
    <s v="Emp_001744440"/>
    <s v="Emp_0017"/>
    <s v="PRATIK PATIL"/>
    <x v="0"/>
    <s v="A"/>
  </r>
  <r>
    <s v="Emp_001744441"/>
    <s v="Emp_0017"/>
    <s v="PRATIK PATIL"/>
    <x v="1"/>
    <s v="A"/>
  </r>
  <r>
    <s v="Emp_001744442"/>
    <s v="Emp_0017"/>
    <s v="PRATIK PATIL"/>
    <x v="2"/>
    <s v="A"/>
  </r>
  <r>
    <s v="Emp_000244440"/>
    <s v="Emp_0002"/>
    <s v="SHRINIVAS IRABHATTI"/>
    <x v="0"/>
    <s v="OT"/>
  </r>
  <r>
    <s v="Emp_000544440"/>
    <s v="Emp_0005"/>
    <s v="VAHILE"/>
    <x v="0"/>
    <s v="OT"/>
  </r>
  <r>
    <s v="Emp_000144440"/>
    <s v="Emp_0001"/>
    <s v="VIVEK PATIL"/>
    <x v="0"/>
    <s v="A"/>
  </r>
  <r>
    <s v="Emp_000144441"/>
    <s v="Emp_0001"/>
    <s v="VIVEK PATIL"/>
    <x v="1"/>
    <s v="A"/>
  </r>
  <r>
    <s v="Emp_002044440"/>
    <s v="Emp_0020"/>
    <s v="AKSHAY PAWAR"/>
    <x v="0"/>
    <s v="A"/>
  </r>
  <r>
    <s v="Emp_002044441"/>
    <s v="Emp_0020"/>
    <s v="AKSHAY PAWAR"/>
    <x v="1"/>
    <s v="A"/>
  </r>
  <r>
    <s v="Emp_002044442"/>
    <s v="Emp_0020"/>
    <s v="AKSHAY PAWAR"/>
    <x v="2"/>
    <s v="A"/>
  </r>
  <r>
    <s v="Emp_002044443"/>
    <s v="Emp_0020"/>
    <s v="AKSHAY PAWAR"/>
    <x v="3"/>
    <s v="A"/>
  </r>
  <r>
    <s v="Emp_002044445"/>
    <s v="Emp_0020"/>
    <s v="AKSHAY PAWAR"/>
    <x v="4"/>
    <s v="A"/>
  </r>
  <r>
    <s v="Emp_002044446"/>
    <s v="Emp_0020"/>
    <s v="AKSHAY PAWAR"/>
    <x v="5"/>
    <s v="A"/>
  </r>
  <r>
    <s v="Emp_002144440"/>
    <s v="Emp_0021"/>
    <s v="AMIT JADHAV"/>
    <x v="0"/>
    <s v="A"/>
  </r>
  <r>
    <s v="Emp_002144441"/>
    <s v="Emp_0021"/>
    <s v="AMIT JADHAV"/>
    <x v="1"/>
    <s v="A"/>
  </r>
  <r>
    <s v="Emp_002144442"/>
    <s v="Emp_0021"/>
    <s v="AMIT JADHAV"/>
    <x v="2"/>
    <s v="A"/>
  </r>
  <r>
    <s v="Emp_002144443"/>
    <s v="Emp_0021"/>
    <s v="AMIT JADHAV"/>
    <x v="3"/>
    <s v="A"/>
  </r>
  <r>
    <s v="Emp_002144445"/>
    <s v="Emp_0021"/>
    <s v="AMIT JADHAV"/>
    <x v="4"/>
    <s v="A"/>
  </r>
  <r>
    <s v="Emp_002144446"/>
    <s v="Emp_0021"/>
    <s v="AMIT JADHAV"/>
    <x v="5"/>
    <s v="A"/>
  </r>
  <r>
    <s v="Emp_002144447"/>
    <s v="Emp_0021"/>
    <s v="AMIT JADHAV"/>
    <x v="6"/>
    <s v="A"/>
  </r>
  <r>
    <s v="Emp_002144448"/>
    <s v="Emp_0021"/>
    <s v="AMIT JADHAV"/>
    <x v="7"/>
    <s v="A"/>
  </r>
  <r>
    <s v="Emp_002244440"/>
    <s v="Emp_0022"/>
    <s v="ANKUSH LAHANGE"/>
    <x v="0"/>
    <s v="A"/>
  </r>
  <r>
    <s v="Emp_002244441"/>
    <s v="Emp_0022"/>
    <s v="ANKUSH LAHANGE"/>
    <x v="1"/>
    <s v="A"/>
  </r>
  <r>
    <s v="Emp_002244442"/>
    <s v="Emp_0022"/>
    <s v="ANKUSH LAHANGE"/>
    <x v="2"/>
    <s v="A"/>
  </r>
  <r>
    <s v="Emp_002244443"/>
    <s v="Emp_0022"/>
    <s v="ANKUSH LAHANGE"/>
    <x v="3"/>
    <s v="A"/>
  </r>
  <r>
    <s v="Emp_002244445"/>
    <s v="Emp_0022"/>
    <s v="ANKUSH LAHANGE"/>
    <x v="4"/>
    <s v="A"/>
  </r>
  <r>
    <s v="Emp_002244446"/>
    <s v="Emp_0022"/>
    <s v="ANKUSH LAHANGE"/>
    <x v="5"/>
    <s v="A"/>
  </r>
  <r>
    <s v="Emp_002244447"/>
    <s v="Emp_0022"/>
    <s v="ANKUSH LAHANGE"/>
    <x v="6"/>
    <s v="A"/>
  </r>
  <r>
    <s v="Emp_002344440"/>
    <s v="Emp_0023"/>
    <s v="JYOTI THAKARE"/>
    <x v="0"/>
    <s v="A"/>
  </r>
  <r>
    <s v="Emp_002344441"/>
    <s v="Emp_0023"/>
    <s v="JYOTI THAKARE"/>
    <x v="1"/>
    <s v="A"/>
  </r>
  <r>
    <s v="Emp_002344442"/>
    <s v="Emp_0023"/>
    <s v="JYOTI THAKARE"/>
    <x v="2"/>
    <s v="A"/>
  </r>
  <r>
    <s v="Emp_002344443"/>
    <s v="Emp_0023"/>
    <s v="JYOTI THAKARE"/>
    <x v="3"/>
    <s v="A"/>
  </r>
  <r>
    <s v="Emp_002344445"/>
    <s v="Emp_0023"/>
    <s v="JYOTI THAKARE"/>
    <x v="4"/>
    <s v="&quot;1/2&quot;"/>
  </r>
  <r>
    <s v="Emp_002344446"/>
    <s v="Emp_0023"/>
    <s v="JYOTI THAKARE"/>
    <x v="5"/>
    <s v="A"/>
  </r>
  <r>
    <s v="Emp_002544440"/>
    <s v="Emp_0025"/>
    <s v="MANGESH SUTAR"/>
    <x v="0"/>
    <s v="A"/>
  </r>
  <r>
    <s v="Emp_002544441"/>
    <s v="Emp_0025"/>
    <s v="MANGESH SUTAR"/>
    <x v="1"/>
    <s v="A"/>
  </r>
  <r>
    <s v="Emp_002544442"/>
    <s v="Emp_0025"/>
    <s v="MANGESH SUTAR"/>
    <x v="2"/>
    <s v="A"/>
  </r>
  <r>
    <s v="Emp_002544443"/>
    <s v="Emp_0025"/>
    <s v="MANGESH SUTAR"/>
    <x v="3"/>
    <s v="A"/>
  </r>
  <r>
    <s v="Emp_002544445"/>
    <s v="Emp_0025"/>
    <s v="MANGESH SUTAR"/>
    <x v="4"/>
    <s v="A"/>
  </r>
  <r>
    <s v="Emp_002544446"/>
    <s v="Emp_0025"/>
    <s v="MANGESH SUTAR"/>
    <x v="5"/>
    <s v="A"/>
  </r>
  <r>
    <s v="Emp_002644440"/>
    <s v="Emp_0026"/>
    <s v="NARESH LAHANGE"/>
    <x v="0"/>
    <s v="A"/>
  </r>
  <r>
    <s v="Emp_002644441"/>
    <s v="Emp_0026"/>
    <s v="NARESH LAHANGE"/>
    <x v="1"/>
    <s v="A"/>
  </r>
  <r>
    <s v="Emp_002644442"/>
    <s v="Emp_0026"/>
    <s v="NARESH LAHANGE"/>
    <x v="2"/>
    <s v="A"/>
  </r>
  <r>
    <s v="Emp_002644443"/>
    <s v="Emp_0026"/>
    <s v="NARESH LAHANGE"/>
    <x v="3"/>
    <s v="A"/>
  </r>
  <r>
    <s v="Emp_002644445"/>
    <s v="Emp_0026"/>
    <s v="NARESH LAHANGE"/>
    <x v="4"/>
    <s v="A"/>
  </r>
  <r>
    <s v="Emp_002644446"/>
    <s v="Emp_0026"/>
    <s v="NARESH LAHANGE"/>
    <x v="5"/>
    <s v="A"/>
  </r>
  <r>
    <s v="Emp_002644447"/>
    <s v="Emp_0026"/>
    <s v="NARESH LAHANGE"/>
    <x v="6"/>
    <s v="A"/>
  </r>
  <r>
    <s v="Emp_002644448"/>
    <s v="Emp_0026"/>
    <s v="NARESH LAHANGE"/>
    <x v="7"/>
    <s v="A"/>
  </r>
  <r>
    <s v="Emp_002644449"/>
    <s v="Emp_0026"/>
    <s v="NARESH LAHANGE"/>
    <x v="8"/>
    <s v="A"/>
  </r>
  <r>
    <s v="Emp_002644450"/>
    <s v="Emp_0026"/>
    <s v="NARESH LAHANGE"/>
    <x v="9"/>
    <s v="A"/>
  </r>
  <r>
    <s v="Emp_002744440"/>
    <s v="Emp_0027"/>
    <s v="PRADIP LAHANGE"/>
    <x v="0"/>
    <s v="A"/>
  </r>
  <r>
    <s v="Emp_002844440"/>
    <s v="Emp_0028"/>
    <s v="RAMESH LAHANGE"/>
    <x v="0"/>
    <s v="A"/>
  </r>
  <r>
    <s v="Emp_002844441"/>
    <s v="Emp_0028"/>
    <s v="RAMESH LAHANGE"/>
    <x v="1"/>
    <s v="A"/>
  </r>
  <r>
    <s v="Emp_002844442"/>
    <s v="Emp_0028"/>
    <s v="RAMESH LAHANGE"/>
    <x v="2"/>
    <s v="A"/>
  </r>
  <r>
    <s v="Emp_002844443"/>
    <s v="Emp_0028"/>
    <s v="RAMESH LAHANGE"/>
    <x v="3"/>
    <s v="A"/>
  </r>
  <r>
    <s v="Emp_002844445"/>
    <s v="Emp_0028"/>
    <s v="RAMESH LAHANGE"/>
    <x v="4"/>
    <s v="A"/>
  </r>
  <r>
    <s v="Emp_002844446"/>
    <s v="Emp_0028"/>
    <s v="RAMESH LAHANGE"/>
    <x v="5"/>
    <s v="A"/>
  </r>
  <r>
    <s v="Emp_002944440"/>
    <s v="Emp_0029"/>
    <s v="RUPESH LAHANGE"/>
    <x v="0"/>
    <s v="A"/>
  </r>
  <r>
    <s v="Emp_002944441"/>
    <s v="Emp_0029"/>
    <s v="RUPESH LAHANGE"/>
    <x v="1"/>
    <s v="A"/>
  </r>
  <r>
    <s v="Emp_002944442"/>
    <s v="Emp_0029"/>
    <s v="RUPESH LAHANGE"/>
    <x v="2"/>
    <s v="A"/>
  </r>
  <r>
    <s v="Emp_002944443"/>
    <s v="Emp_0029"/>
    <s v="RUPESH LAHANGE"/>
    <x v="3"/>
    <s v="A"/>
  </r>
  <r>
    <s v="Emp_002944445"/>
    <s v="Emp_0029"/>
    <s v="RUPESH LAHANGE"/>
    <x v="4"/>
    <s v="A"/>
  </r>
  <r>
    <s v="Emp_002944446"/>
    <s v="Emp_0029"/>
    <s v="RUPESH LAHANGE"/>
    <x v="5"/>
    <s v="A"/>
  </r>
  <r>
    <s v="Emp_002944447"/>
    <s v="Emp_0029"/>
    <s v="RUPESH LAHANGE"/>
    <x v="6"/>
    <s v="A"/>
  </r>
  <r>
    <s v="Emp_002944448"/>
    <s v="Emp_0029"/>
    <s v="RUPESH LAHANGE"/>
    <x v="7"/>
    <s v="A"/>
  </r>
  <r>
    <s v="Emp_003044440"/>
    <s v="Emp_0030"/>
    <s v="SANJAY THAKARE"/>
    <x v="0"/>
    <s v="A"/>
  </r>
  <r>
    <s v="Emp_003044441"/>
    <s v="Emp_0030"/>
    <s v="SANJAY THAKARE"/>
    <x v="1"/>
    <s v="A"/>
  </r>
  <r>
    <s v="Emp_003044442"/>
    <s v="Emp_0030"/>
    <s v="SANJAY THAKARE"/>
    <x v="2"/>
    <s v="A"/>
  </r>
  <r>
    <s v="Emp_003044443"/>
    <s v="Emp_0030"/>
    <s v="SANJAY THAKARE"/>
    <x v="3"/>
    <s v="A"/>
  </r>
  <r>
    <s v="Emp_003044445"/>
    <s v="Emp_0030"/>
    <s v="SANJAY THAKARE"/>
    <x v="4"/>
    <s v="A"/>
  </r>
  <r>
    <s v="Emp_003044446"/>
    <s v="Emp_0030"/>
    <s v="SANJAY THAKARE"/>
    <x v="5"/>
    <s v="A"/>
  </r>
  <r>
    <s v="Emp_003144440"/>
    <s v="Emp_0031"/>
    <s v="AJIT THAKARE"/>
    <x v="0"/>
    <s v="A"/>
  </r>
  <r>
    <s v="Emp_003144441"/>
    <s v="Emp_0031"/>
    <s v="AJIT THAKARE"/>
    <x v="1"/>
    <s v="A"/>
  </r>
  <r>
    <s v="Emp_003144442"/>
    <s v="Emp_0031"/>
    <s v="AJIT THAKARE"/>
    <x v="2"/>
    <s v="A"/>
  </r>
  <r>
    <s v="Emp_003144443"/>
    <s v="Emp_0031"/>
    <s v="AJIT THAKARE"/>
    <x v="3"/>
    <s v="A"/>
  </r>
  <r>
    <s v="Emp_003144445"/>
    <s v="Emp_0031"/>
    <s v="AJIT THAKARE"/>
    <x v="4"/>
    <s v="A"/>
  </r>
  <r>
    <s v="Emp_003144446"/>
    <s v="Emp_0031"/>
    <s v="AJIT THAKARE"/>
    <x v="5"/>
    <s v="A"/>
  </r>
  <r>
    <s v="Emp_003144447"/>
    <s v="Emp_0031"/>
    <s v="AJIT THAKARE"/>
    <x v="6"/>
    <s v="A"/>
  </r>
  <r>
    <s v="Emp_003244440"/>
    <s v="Emp_0032"/>
    <s v="DARPAN PARHAD"/>
    <x v="0"/>
    <s v="A"/>
  </r>
  <r>
    <s v="Emp_003244441"/>
    <s v="Emp_0032"/>
    <s v="DARPAN PARHAD"/>
    <x v="1"/>
    <s v="A"/>
  </r>
  <r>
    <s v="Emp_003244442"/>
    <s v="Emp_0032"/>
    <s v="DARPAN PARHAD"/>
    <x v="2"/>
    <s v="A"/>
  </r>
  <r>
    <s v="Emp_003244443"/>
    <s v="Emp_0032"/>
    <s v="DARPAN PARHAD"/>
    <x v="3"/>
    <s v="A"/>
  </r>
  <r>
    <s v="Emp_003244445"/>
    <s v="Emp_0032"/>
    <s v="DARPAN PARHAD"/>
    <x v="4"/>
    <s v="A"/>
  </r>
  <r>
    <s v="Emp_003344440"/>
    <s v="Emp_0033"/>
    <s v="MAHESH LAHANGE"/>
    <x v="0"/>
    <s v="A"/>
  </r>
  <r>
    <s v="Emp_003344441"/>
    <s v="Emp_0033"/>
    <s v="MAHESH LAHANGE"/>
    <x v="1"/>
    <s v="A"/>
  </r>
  <r>
    <s v="Emp_003344442"/>
    <s v="Emp_0033"/>
    <s v="MAHESH LAHANGE"/>
    <x v="2"/>
    <s v="A"/>
  </r>
  <r>
    <s v="Emp_003344443"/>
    <s v="Emp_0033"/>
    <s v="MAHESH LAHANGE"/>
    <x v="3"/>
    <s v="A"/>
  </r>
  <r>
    <s v="Emp_003344445"/>
    <s v="Emp_0033"/>
    <s v="MAHESH LAHANGE"/>
    <x v="4"/>
    <s v="A"/>
  </r>
  <r>
    <s v="Emp_003344446"/>
    <s v="Emp_0033"/>
    <s v="MAHESH LAHANGE"/>
    <x v="5"/>
    <s v="A"/>
  </r>
  <r>
    <s v="Emp_003444440"/>
    <s v="Emp_0034"/>
    <s v="RUPESH GIRANE"/>
    <x v="0"/>
    <s v="A"/>
  </r>
  <r>
    <s v="Emp_003444441"/>
    <s v="Emp_0034"/>
    <s v="RUPESH GIRANE"/>
    <x v="1"/>
    <s v="A"/>
  </r>
  <r>
    <s v="Emp_003444442"/>
    <s v="Emp_0034"/>
    <s v="RUPESH GIRANE"/>
    <x v="2"/>
    <s v="A"/>
  </r>
  <r>
    <s v="Emp_003444443"/>
    <s v="Emp_0034"/>
    <s v="RUPESH GIRANE"/>
    <x v="3"/>
    <s v="A"/>
  </r>
  <r>
    <s v="Emp_003444445"/>
    <s v="Emp_0034"/>
    <s v="RUPESH GIRANE"/>
    <x v="4"/>
    <s v="A"/>
  </r>
  <r>
    <s v="Emp_003444446"/>
    <s v="Emp_0034"/>
    <s v="RUPESH GIRANE"/>
    <x v="5"/>
    <s v="A"/>
  </r>
  <r>
    <s v="Emp_003544440"/>
    <s v="Emp_0035"/>
    <s v="VICKY THAKARE"/>
    <x v="0"/>
    <s v="A"/>
  </r>
  <r>
    <s v="Emp_003544441"/>
    <s v="Emp_0035"/>
    <s v="VICKY THAKARE"/>
    <x v="1"/>
    <s v="A"/>
  </r>
  <r>
    <s v="Emp_003644440"/>
    <s v="Emp_0036"/>
    <s v="VILAS THAKARE"/>
    <x v="0"/>
    <s v="A"/>
  </r>
  <r>
    <s v="Emp_003644441"/>
    <s v="Emp_0036"/>
    <s v="VILAS THAKARE"/>
    <x v="1"/>
    <s v="A"/>
  </r>
  <r>
    <s v="Emp_003644442"/>
    <s v="Emp_0036"/>
    <s v="VILAS THAKARE"/>
    <x v="2"/>
    <s v="A"/>
  </r>
  <r>
    <s v="Emp_003644443"/>
    <s v="Emp_0036"/>
    <s v="VILAS THAKARE"/>
    <x v="3"/>
    <s v="A"/>
  </r>
  <r>
    <s v="Emp_003644445"/>
    <s v="Emp_0036"/>
    <s v="VILAS THAKARE"/>
    <x v="4"/>
    <s v="A"/>
  </r>
  <r>
    <s v="Emp_003644446"/>
    <s v="Emp_0036"/>
    <s v="VILAS THAKARE"/>
    <x v="5"/>
    <s v="A"/>
  </r>
  <r>
    <s v="Emp_003644447"/>
    <s v="Emp_0036"/>
    <s v="VILAS THAKARE"/>
    <x v="6"/>
    <s v="A"/>
  </r>
  <r>
    <s v="Emp_003644448"/>
    <s v="Emp_0036"/>
    <s v="VILAS THAKARE"/>
    <x v="7"/>
    <s v="A"/>
  </r>
  <r>
    <s v="Emp_003744440"/>
    <s v="Emp_0037"/>
    <s v="SUREKHA GHARAT"/>
    <x v="0"/>
    <s v="A"/>
  </r>
  <r>
    <s v="Emp_003744441"/>
    <s v="Emp_0037"/>
    <s v="SUREKHA GHARAT"/>
    <x v="1"/>
    <s v="A"/>
  </r>
  <r>
    <s v="Emp_003744442"/>
    <s v="Emp_0037"/>
    <s v="SUREKHA GHARAT"/>
    <x v="2"/>
    <s v="A"/>
  </r>
  <r>
    <s v="Emp_003744443"/>
    <s v="Emp_0037"/>
    <s v="SUREKHA GHARAT"/>
    <x v="3"/>
    <s v="A"/>
  </r>
  <r>
    <s v="Emp_003744445"/>
    <s v="Emp_0037"/>
    <s v="SUREKHA GHARAT"/>
    <x v="4"/>
    <s v="A"/>
  </r>
  <r>
    <s v="Emp_003744446"/>
    <s v="Emp_0037"/>
    <s v="SUREKHA GHARAT"/>
    <x v="5"/>
    <s v="A"/>
  </r>
  <r>
    <s v="Emp_003744447"/>
    <s v="Emp_0037"/>
    <s v="SUREKHA GHARAT"/>
    <x v="6"/>
    <s v="A"/>
  </r>
  <r>
    <s v="Emp_003744448"/>
    <s v="Emp_0037"/>
    <s v="SUREKHA GHARAT"/>
    <x v="7"/>
    <s v="A"/>
  </r>
  <r>
    <s v="Emp_003744449"/>
    <s v="Emp_0037"/>
    <s v="SUREKHA GHARAT"/>
    <x v="8"/>
    <s v="&quot;1/2&quot;"/>
  </r>
  <r>
    <s v="Emp_003744450"/>
    <s v="Emp_0037"/>
    <s v="SUREKHA GHARAT"/>
    <x v="9"/>
    <s v="A"/>
  </r>
  <r>
    <s v="Emp_003944440"/>
    <s v="Emp_0039"/>
    <s v="MR.RATANA THAKARE"/>
    <x v="0"/>
    <s v="A"/>
  </r>
  <r>
    <s v="Emp_003944441"/>
    <s v="Emp_0039"/>
    <s v="MR.RATANA THAKARE"/>
    <x v="1"/>
    <s v="A"/>
  </r>
  <r>
    <s v="Emp_003944442"/>
    <s v="Emp_0039"/>
    <s v="MR.RATANA THAKARE"/>
    <x v="2"/>
    <s v="A"/>
  </r>
  <r>
    <s v="Emp_003944443"/>
    <s v="Emp_0039"/>
    <s v="MR.RATANA THAKARE"/>
    <x v="3"/>
    <s v="A"/>
  </r>
  <r>
    <s v="Emp_003944445"/>
    <s v="Emp_0039"/>
    <s v="MR.RATANA THAKARE"/>
    <x v="4"/>
    <s v="A"/>
  </r>
  <r>
    <s v="Emp_003944446"/>
    <s v="Emp_0039"/>
    <s v="MR.RATANA THAKARE"/>
    <x v="5"/>
    <s v="A"/>
  </r>
  <r>
    <s v="44440"/>
    <s v=""/>
    <s v="VISHAKHA SHARMA"/>
    <x v="0"/>
    <s v="A"/>
  </r>
  <r>
    <s v="Emp_000344440"/>
    <s v="Emp_0003"/>
    <s v="KUMAR PATIL"/>
    <x v="0"/>
    <s v="A"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11"/>
    <s v="Emp_0011"/>
    <s v="MANISH KADAM"/>
    <x v="10"/>
    <m/>
  </r>
  <r>
    <s v="Emp_000644440"/>
    <s v="Emp_0006"/>
    <s v="SWAPNIL J"/>
    <x v="0"/>
    <s v="A"/>
  </r>
  <r>
    <s v="Emp_000444440"/>
    <s v="Emp_0004"/>
    <s v="VINOD MALUSARE"/>
    <x v="0"/>
    <s v="A"/>
  </r>
  <r>
    <s v="Emp_000744440"/>
    <s v="Emp_0007"/>
    <s v="MAHADEV "/>
    <x v="0"/>
    <s v="A"/>
  </r>
  <r>
    <s v="Emp_000744441"/>
    <s v="Emp_0007"/>
    <s v="MAHADEV "/>
    <x v="1"/>
    <s v="&quot;1/2&quot;"/>
  </r>
  <r>
    <s v="Emp_000344470"/>
    <s v="Emp_0003"/>
    <s v="KUMAR PATIL"/>
    <x v="11"/>
    <s v="A"/>
  </r>
  <r>
    <s v="Emp_002044470"/>
    <s v="Emp_0020"/>
    <s v="AKSHAY PAWAR"/>
    <x v="11"/>
    <s v="A"/>
  </r>
  <r>
    <s v="Emp_002044471"/>
    <s v="Emp_0020"/>
    <s v="AKSHAY PAWAR"/>
    <x v="12"/>
    <s v="A"/>
  </r>
  <r>
    <s v="Emp_002044472"/>
    <s v="Emp_0020"/>
    <s v="AKSHAY PAWAR"/>
    <x v="13"/>
    <s v="A"/>
  </r>
  <r>
    <s v="Emp_002044473"/>
    <s v="Emp_0020"/>
    <s v="AKSHAY PAWAR"/>
    <x v="14"/>
    <s v="A"/>
  </r>
  <r>
    <s v="Emp_002044474"/>
    <s v="Emp_0020"/>
    <s v="AKSHAY PAWAR"/>
    <x v="15"/>
    <s v="A"/>
  </r>
  <r>
    <s v="Emp_002044475"/>
    <s v="Emp_0020"/>
    <s v="AKSHAY PAWAR"/>
    <x v="16"/>
    <s v="A"/>
  </r>
  <r>
    <s v="Emp_002044476"/>
    <s v="Emp_0020"/>
    <s v="AKSHAY PAWAR"/>
    <x v="17"/>
    <s v="A"/>
  </r>
  <r>
    <s v="Emp_002144470"/>
    <s v="Emp_0021"/>
    <s v="AMIT JADHAV"/>
    <x v="11"/>
    <s v="A"/>
  </r>
  <r>
    <s v="Emp_002144471"/>
    <s v="Emp_0021"/>
    <s v="AMIT JADHAV"/>
    <x v="12"/>
    <s v="A"/>
  </r>
  <r>
    <s v="Emp_002144472"/>
    <s v="Emp_0021"/>
    <s v="AMIT JADHAV"/>
    <x v="13"/>
    <s v="A"/>
  </r>
  <r>
    <s v="Emp_002144473"/>
    <s v="Emp_0021"/>
    <s v="AMIT JADHAV"/>
    <x v="14"/>
    <s v="A"/>
  </r>
  <r>
    <s v="Emp_002144474"/>
    <s v="Emp_0021"/>
    <s v="AMIT JADHAV"/>
    <x v="15"/>
    <s v="A"/>
  </r>
  <r>
    <s v="Emp_002144475"/>
    <s v="Emp_0021"/>
    <s v="AMIT JADHAV"/>
    <x v="16"/>
    <s v="A"/>
  </r>
  <r>
    <s v="Emp_002344470"/>
    <s v="Emp_0023"/>
    <s v="JYOTI THAKARE"/>
    <x v="11"/>
    <s v="A"/>
  </r>
  <r>
    <s v="Emp_002344471"/>
    <s v="Emp_0023"/>
    <s v="JYOTI THAKARE"/>
    <x v="12"/>
    <s v="A"/>
  </r>
  <r>
    <s v="Emp_003944470"/>
    <s v="Emp_0039"/>
    <s v="MR.RATANA THAKARE"/>
    <x v="11"/>
    <s v="A"/>
  </r>
  <r>
    <s v="Emp_003944471"/>
    <s v="Emp_0039"/>
    <s v="MR.RATANA THAKARE"/>
    <x v="12"/>
    <s v="A"/>
  </r>
  <r>
    <s v="Emp_003744470"/>
    <s v="Emp_0037"/>
    <s v="SUREKHA GHARAT"/>
    <x v="11"/>
    <s v="A"/>
  </r>
  <r>
    <s v="Emp_003744471"/>
    <s v="Emp_0037"/>
    <s v="SUREKHA GHARAT"/>
    <x v="12"/>
    <s v="A"/>
  </r>
  <r>
    <s v="Emp_003744472"/>
    <s v="Emp_0037"/>
    <s v="SUREKHA GHARAT"/>
    <x v="13"/>
    <s v="A"/>
  </r>
  <r>
    <s v="Emp_003744473"/>
    <s v="Emp_0037"/>
    <s v="SUREKHA GHARAT"/>
    <x v="14"/>
    <s v="A"/>
  </r>
  <r>
    <s v="Emp_003744474"/>
    <s v="Emp_0037"/>
    <s v="SUREKHA GHARAT"/>
    <x v="15"/>
    <s v="A"/>
  </r>
  <r>
    <s v="Emp_003744475"/>
    <s v="Emp_0037"/>
    <s v="SUREKHA GHARAT"/>
    <x v="16"/>
    <s v="A"/>
  </r>
  <r>
    <s v="Emp_003744476"/>
    <s v="Emp_0037"/>
    <s v="SUREKHA GHARAT"/>
    <x v="17"/>
    <s v="A"/>
  </r>
  <r>
    <s v="Emp_003744477"/>
    <s v="Emp_0037"/>
    <s v="SUREKHA GHARAT"/>
    <x v="18"/>
    <s v="A"/>
  </r>
  <r>
    <s v="Emp_003444470"/>
    <s v="Emp_0034"/>
    <s v="RUPESH GIRANE"/>
    <x v="11"/>
    <s v="A"/>
  </r>
  <r>
    <s v="Emp_003444471"/>
    <s v="Emp_0034"/>
    <s v="RUPESH GIRANE"/>
    <x v="12"/>
    <s v="A"/>
  </r>
  <r>
    <s v="Emp_003444472"/>
    <s v="Emp_0034"/>
    <s v="RUPESH GIRANE"/>
    <x v="13"/>
    <s v="A"/>
  </r>
  <r>
    <s v="Emp_003044470"/>
    <s v="Emp_0030"/>
    <s v="SANJAY THAKARE"/>
    <x v="11"/>
    <s v="A"/>
  </r>
  <r>
    <s v="Emp_003044471"/>
    <s v="Emp_0030"/>
    <s v="SANJAY THAKARE"/>
    <x v="12"/>
    <s v="A"/>
  </r>
  <r>
    <s v="Emp_003044472"/>
    <s v="Emp_0030"/>
    <s v="SANJAY THAKARE"/>
    <x v="13"/>
    <s v="A"/>
  </r>
  <r>
    <s v="Emp_003044473"/>
    <s v="Emp_0030"/>
    <s v="SANJAY THAKARE"/>
    <x v="14"/>
    <s v="A"/>
  </r>
  <r>
    <s v="Emp_003044474"/>
    <s v="Emp_0030"/>
    <s v="SANJAY THAKARE"/>
    <x v="15"/>
    <s v="A"/>
  </r>
  <r>
    <s v="Emp_003044475"/>
    <s v="Emp_0030"/>
    <s v="SANJAY THAKARE"/>
    <x v="16"/>
    <s v="A"/>
  </r>
  <r>
    <s v="Emp_003244470"/>
    <s v="Emp_0032"/>
    <s v="DARPAN PARHAD"/>
    <x v="11"/>
    <s v="A"/>
  </r>
  <r>
    <s v="Emp_003244471"/>
    <s v="Emp_0032"/>
    <s v="DARPAN PARHAD"/>
    <x v="12"/>
    <s v="A"/>
  </r>
  <r>
    <s v="Emp_003244472"/>
    <s v="Emp_0032"/>
    <s v="DARPAN PARHAD"/>
    <x v="13"/>
    <s v="A"/>
  </r>
  <r>
    <s v="Emp_003244473"/>
    <s v="Emp_0032"/>
    <s v="DARPAN PARHAD"/>
    <x v="14"/>
    <s v="A"/>
  </r>
  <r>
    <s v="Emp_003244474"/>
    <s v="Emp_0032"/>
    <s v="DARPAN PARHAD"/>
    <x v="15"/>
    <s v="A"/>
  </r>
  <r>
    <s v="Emp_003244475"/>
    <s v="Emp_0032"/>
    <s v="DARPAN PARHAD"/>
    <x v="16"/>
    <s v="A"/>
  </r>
  <r>
    <s v="Emp_003244476"/>
    <s v="Emp_0032"/>
    <s v="DARPAN PARHAD"/>
    <x v="17"/>
    <s v="A"/>
  </r>
  <r>
    <s v="Emp_003244477"/>
    <s v="Emp_0032"/>
    <s v="DARPAN PARHAD"/>
    <x v="18"/>
    <s v="A"/>
  </r>
  <r>
    <s v="Emp_003144470"/>
    <s v="Emp_0031"/>
    <s v="AJIT THAKARE"/>
    <x v="11"/>
    <s v="A"/>
  </r>
  <r>
    <s v="Emp_003144471"/>
    <s v="Emp_0031"/>
    <s v="AJIT THAKARE"/>
    <x v="12"/>
    <s v="A"/>
  </r>
  <r>
    <s v="Emp_003144472"/>
    <s v="Emp_0031"/>
    <s v="AJIT THAKARE"/>
    <x v="13"/>
    <s v="A"/>
  </r>
  <r>
    <s v="Emp_003144473"/>
    <s v="Emp_0031"/>
    <s v="AJIT THAKARE"/>
    <x v="14"/>
    <s v="A"/>
  </r>
  <r>
    <s v="Emp_003144474"/>
    <s v="Emp_0031"/>
    <s v="AJIT THAKARE"/>
    <x v="15"/>
    <s v="A"/>
  </r>
  <r>
    <s v="Emp_003144475"/>
    <s v="Emp_0031"/>
    <s v="AJIT THAKARE"/>
    <x v="16"/>
    <s v="A"/>
  </r>
  <r>
    <s v="Emp_002544470"/>
    <s v="Emp_0025"/>
    <s v="MANGESH SUTAR"/>
    <x v="11"/>
    <s v="A"/>
  </r>
  <r>
    <s v="Emp_002544471"/>
    <s v="Emp_0025"/>
    <s v="MANGESH SUTAR"/>
    <x v="12"/>
    <s v="A"/>
  </r>
  <r>
    <s v="Emp_002544472"/>
    <s v="Emp_0025"/>
    <s v="MANGESH SUTAR"/>
    <x v="13"/>
    <s v="A"/>
  </r>
  <r>
    <s v="Emp_002544473"/>
    <s v="Emp_0025"/>
    <s v="MANGESH SUTAR"/>
    <x v="14"/>
    <s v="A"/>
  </r>
  <r>
    <s v="Emp_002544474"/>
    <s v="Emp_0025"/>
    <s v="MANGESH SUTAR"/>
    <x v="15"/>
    <s v="A"/>
  </r>
  <r>
    <s v="Emp_002544475"/>
    <s v="Emp_0025"/>
    <s v="MANGESH SUTAR"/>
    <x v="16"/>
    <s v="&quot;1/2&quot;"/>
  </r>
  <r>
    <s v="Emp_002944470"/>
    <s v="Emp_0029"/>
    <s v="RUPESH LAHANGE"/>
    <x v="11"/>
    <s v="A"/>
  </r>
  <r>
    <s v="Emp_002944471"/>
    <s v="Emp_0029"/>
    <s v="RUPESH LAHANGE"/>
    <x v="12"/>
    <s v="A"/>
  </r>
  <r>
    <s v="Emp_002944472"/>
    <s v="Emp_0029"/>
    <s v="RUPESH LAHANGE"/>
    <x v="13"/>
    <s v="A"/>
  </r>
  <r>
    <s v="Emp_002944473"/>
    <s v="Emp_0029"/>
    <s v="RUPESH LAHANGE"/>
    <x v="14"/>
    <s v="A"/>
  </r>
  <r>
    <s v="Emp_002944474"/>
    <s v="Emp_0029"/>
    <s v="RUPESH LAHANGE"/>
    <x v="15"/>
    <s v="A"/>
  </r>
  <r>
    <s v="Emp_003544470"/>
    <s v="Emp_0035"/>
    <s v="VICKY THAKARE"/>
    <x v="11"/>
    <s v="A"/>
  </r>
  <r>
    <s v="Emp_003544471"/>
    <s v="Emp_0035"/>
    <s v="VICKY THAKARE"/>
    <x v="12"/>
    <s v="A"/>
  </r>
  <r>
    <s v="Emp_003544472"/>
    <s v="Emp_0035"/>
    <s v="VICKY THAKARE"/>
    <x v="13"/>
    <s v="A"/>
  </r>
  <r>
    <s v="Emp_003544473"/>
    <s v="Emp_0035"/>
    <s v="VICKY THAKARE"/>
    <x v="14"/>
    <s v="A"/>
  </r>
  <r>
    <s v="Emp_003544474"/>
    <s v="Emp_0035"/>
    <s v="VICKY THAKARE"/>
    <x v="15"/>
    <s v="A"/>
  </r>
  <r>
    <s v="Emp_003544475"/>
    <s v="Emp_0035"/>
    <s v="VICKY THAKARE"/>
    <x v="16"/>
    <s v="A"/>
  </r>
  <r>
    <s v="Emp_003644470"/>
    <s v="Emp_0036"/>
    <s v="VILAS THAKARE"/>
    <x v="11"/>
    <s v="A"/>
  </r>
  <r>
    <s v="Emp_003644471"/>
    <s v="Emp_0036"/>
    <s v="VILAS THAKARE"/>
    <x v="12"/>
    <s v="A"/>
  </r>
  <r>
    <s v="Emp_003644472"/>
    <s v="Emp_0036"/>
    <s v="VILAS THAKARE"/>
    <x v="13"/>
    <s v="A"/>
  </r>
  <r>
    <s v="Emp_003644473"/>
    <s v="Emp_0036"/>
    <s v="VILAS THAKARE"/>
    <x v="14"/>
    <s v="A"/>
  </r>
  <r>
    <s v="Emp_003644474"/>
    <s v="Emp_0036"/>
    <s v="VILAS THAKARE"/>
    <x v="15"/>
    <s v="A"/>
  </r>
  <r>
    <s v="Emp_003644475"/>
    <s v="Emp_0036"/>
    <s v="VILAS THAKARE"/>
    <x v="16"/>
    <s v="A"/>
  </r>
  <r>
    <s v="Emp_003644476"/>
    <s v="Emp_0036"/>
    <s v="VILAS THAKARE"/>
    <x v="17"/>
    <s v="A"/>
  </r>
  <r>
    <s v="Emp_003644477"/>
    <s v="Emp_0036"/>
    <s v="VILAS THAKARE"/>
    <x v="18"/>
    <s v="A"/>
  </r>
  <r>
    <s v="Emp_003644478"/>
    <s v="Emp_0036"/>
    <s v="VILAS THAKARE"/>
    <x v="19"/>
    <s v="A"/>
  </r>
  <r>
    <s v="Emp_002644470"/>
    <s v="Emp_0026"/>
    <s v="NARESH LAHANGE"/>
    <x v="11"/>
    <s v="A"/>
  </r>
  <r>
    <s v="Emp_002644471"/>
    <s v="Emp_0026"/>
    <s v="NARESH LAHANGE"/>
    <x v="12"/>
    <s v="A"/>
  </r>
  <r>
    <s v="Emp_002644472"/>
    <s v="Emp_0026"/>
    <s v="NARESH LAHANGE"/>
    <x v="13"/>
    <s v="A"/>
  </r>
  <r>
    <s v="Emp_002644473"/>
    <s v="Emp_0026"/>
    <s v="NARESH LAHANGE"/>
    <x v="14"/>
    <s v="A"/>
  </r>
  <r>
    <s v="Emp_002644474"/>
    <s v="Emp_0026"/>
    <s v="NARESH LAHANGE"/>
    <x v="15"/>
    <s v="A"/>
  </r>
  <r>
    <s v="Emp_002644475"/>
    <s v="Emp_0026"/>
    <s v="NARESH LAHANGE"/>
    <x v="16"/>
    <s v="A"/>
  </r>
  <r>
    <s v="Emp_002644476"/>
    <s v="Emp_0026"/>
    <s v="NARESH LAHANGE"/>
    <x v="17"/>
    <s v="A"/>
  </r>
  <r>
    <s v="Emp_002644477"/>
    <s v="Emp_0026"/>
    <s v="NARESH LAHANGE"/>
    <x v="18"/>
    <s v="A"/>
  </r>
  <r>
    <s v="Emp_002644478"/>
    <s v="Emp_0026"/>
    <s v="NARESH LAHANGE"/>
    <x v="19"/>
    <s v="A"/>
  </r>
  <r>
    <s v="Emp_002744470"/>
    <s v="Emp_0027"/>
    <s v="PRADIP LAHANGE"/>
    <x v="11"/>
    <s v="A"/>
  </r>
  <r>
    <s v="Emp_002744471"/>
    <s v="Emp_0027"/>
    <s v="PRADIP LAHANGE"/>
    <x v="12"/>
    <s v="A"/>
  </r>
  <r>
    <s v="Emp_002744472"/>
    <s v="Emp_0027"/>
    <s v="PRADIP LAHANGE"/>
    <x v="13"/>
    <s v="A"/>
  </r>
  <r>
    <s v="Emp_002744473"/>
    <s v="Emp_0027"/>
    <s v="PRADIP LAHANGE"/>
    <x v="14"/>
    <s v="A"/>
  </r>
  <r>
    <s v="Emp_002244470"/>
    <s v="Emp_0022"/>
    <s v="ANKUSH LAHANGE"/>
    <x v="11"/>
    <s v="A"/>
  </r>
  <r>
    <s v="Emp_002244471"/>
    <s v="Emp_0022"/>
    <s v="ANKUSH LAHANGE"/>
    <x v="12"/>
    <s v="A"/>
  </r>
  <r>
    <s v="Emp_002244472"/>
    <s v="Emp_0022"/>
    <s v="ANKUSH LAHANGE"/>
    <x v="13"/>
    <s v="A"/>
  </r>
  <r>
    <s v="Emp_002244473"/>
    <s v="Emp_0022"/>
    <s v="ANKUSH LAHANGE"/>
    <x v="14"/>
    <s v="A"/>
  </r>
  <r>
    <s v="Emp_002244474"/>
    <s v="Emp_0022"/>
    <s v="ANKUSH LAHANGE"/>
    <x v="15"/>
    <s v="A"/>
  </r>
  <r>
    <s v="Emp_002244475"/>
    <s v="Emp_0022"/>
    <s v="ANKUSH LAHANGE"/>
    <x v="16"/>
    <s v="A"/>
  </r>
  <r>
    <s v="Emp_002244476"/>
    <s v="Emp_0022"/>
    <s v="ANKUSH LAHANGE"/>
    <x v="17"/>
    <s v="A"/>
  </r>
  <r>
    <s v="Emp_002244477"/>
    <s v="Emp_0022"/>
    <s v="ANKUSH LAHANGE"/>
    <x v="18"/>
    <s v="A"/>
  </r>
  <r>
    <s v="Emp_002844470"/>
    <s v="Emp_0028"/>
    <s v="RAMESH LAHANGE"/>
    <x v="11"/>
    <s v="A"/>
  </r>
  <r>
    <s v="Emp_002844471"/>
    <s v="Emp_0028"/>
    <s v="RAMESH LAHANGE"/>
    <x v="12"/>
    <s v="A"/>
  </r>
  <r>
    <s v="Emp_002844472"/>
    <s v="Emp_0028"/>
    <s v="RAMESH LAHANGE"/>
    <x v="13"/>
    <s v="A"/>
  </r>
  <r>
    <s v="Emp_002844473"/>
    <s v="Emp_0028"/>
    <s v="RAMESH LAHANGE"/>
    <x v="14"/>
    <s v="A"/>
  </r>
  <r>
    <s v="Emp_002844474"/>
    <s v="Emp_0028"/>
    <s v="RAMESH LAHANGE"/>
    <x v="15"/>
    <s v="A"/>
  </r>
  <r>
    <s v="Emp_002844475"/>
    <s v="Emp_0028"/>
    <s v="RAMESH LAHANGE"/>
    <x v="16"/>
    <s v="A"/>
  </r>
  <r>
    <s v="Emp_003344470"/>
    <s v="Emp_0033"/>
    <s v="MAHESH LAHANGE"/>
    <x v="11"/>
    <s v="A"/>
  </r>
  <r>
    <s v="Emp_003344471"/>
    <s v="Emp_0033"/>
    <s v="MAHESH LAHANGE"/>
    <x v="12"/>
    <s v="A"/>
  </r>
  <r>
    <s v="Emp_003344472"/>
    <s v="Emp_0033"/>
    <s v="MAHESH LAHANGE"/>
    <x v="13"/>
    <s v="A"/>
  </r>
  <r>
    <s v="Emp_003344473"/>
    <s v="Emp_0033"/>
    <s v="MAHESH LAHANGE"/>
    <x v="14"/>
    <s v="A"/>
  </r>
  <r>
    <s v="Emp_003344474"/>
    <s v="Emp_0033"/>
    <s v="MAHESH LAHANGE"/>
    <x v="15"/>
    <s v="&quot;1/2&quot;"/>
  </r>
  <r>
    <s v="Emp_000544470"/>
    <s v="Emp_0005"/>
    <s v="VAHILE"/>
    <x v="11"/>
    <s v="OT"/>
  </r>
  <r>
    <s v="Emp_000544471"/>
    <s v="Emp_0005"/>
    <s v="VAHILE"/>
    <x v="12"/>
    <s v="OT"/>
  </r>
  <r>
    <s v="Emp_000544472"/>
    <s v="Emp_0005"/>
    <s v="VAHILE"/>
    <x v="13"/>
    <s v="OT"/>
  </r>
  <r>
    <s v="Emp_000244470"/>
    <s v="Emp_0002"/>
    <s v="SHRINIVAS IRABHATTI"/>
    <x v="11"/>
    <s v="A"/>
  </r>
  <r>
    <s v="Emp_000144470"/>
    <s v="Emp_0001"/>
    <s v="VIVEK PATIL"/>
    <x v="11"/>
    <s v="A"/>
  </r>
  <r>
    <s v="Emp_001944470"/>
    <s v="Emp_0019"/>
    <s v="AMOL PATIL"/>
    <x v="11"/>
    <s v="OT"/>
  </r>
  <r>
    <s v="Emp_001944471"/>
    <s v="Emp_0019"/>
    <s v="AMOL PATIL"/>
    <x v="12"/>
    <s v="OT"/>
  </r>
  <r>
    <s v="Emp_001944472"/>
    <s v="Emp_0019"/>
    <s v="AMOL PATIL"/>
    <x v="13"/>
    <s v="OT"/>
  </r>
  <r>
    <s v="Emp_001544470"/>
    <s v="Emp_0015"/>
    <s v="AKSHAY SHELAR"/>
    <x v="11"/>
    <s v="OT"/>
  </r>
  <r>
    <s v="Emp_001744470"/>
    <s v="Emp_0017"/>
    <s v="PRATIK PATIL"/>
    <x v="11"/>
    <s v="OT"/>
  </r>
  <r>
    <s v="Emp_001844470"/>
    <s v="Emp_0018"/>
    <s v="PRATIK NEVREKAR"/>
    <x v="11"/>
    <s v="A"/>
  </r>
  <r>
    <s v="Emp_003044470"/>
    <s v="Emp_0030"/>
    <s v="SANJAY THAKARE"/>
    <x v="11"/>
    <s v="A"/>
  </r>
  <r>
    <s v="Emp_003044471"/>
    <s v="Emp_0030"/>
    <s v="SANJAY THAKARE"/>
    <x v="12"/>
    <s v="A"/>
  </r>
  <r>
    <s v="Emp_003044472"/>
    <s v="Emp_0030"/>
    <s v="SANJAY THAKARE"/>
    <x v="13"/>
    <s v="A"/>
  </r>
  <r>
    <s v="Emp_003044473"/>
    <s v="Emp_0030"/>
    <s v="SANJAY THAKARE"/>
    <x v="14"/>
    <s v="A"/>
  </r>
  <r>
    <s v="Emp_003044474"/>
    <s v="Emp_0030"/>
    <s v="SANJAY THAKARE"/>
    <x v="15"/>
    <s v="A"/>
  </r>
  <r>
    <s v="Emp_003044475"/>
    <s v="Emp_0030"/>
    <s v="SANJAY THAKARE"/>
    <x v="16"/>
    <s v="A"/>
  </r>
  <r>
    <s v="44470"/>
    <s v=""/>
    <s v="VISHAKHA SHARMA"/>
    <x v="11"/>
    <s v="A"/>
  </r>
  <r>
    <s v="44471"/>
    <s v=""/>
    <s v="VISHAKHA SHARMA"/>
    <x v="12"/>
    <s v="A"/>
  </r>
  <r>
    <s v="44472"/>
    <s v=""/>
    <s v="VISHAKHA SHARMA"/>
    <x v="13"/>
    <s v="A"/>
  </r>
  <r>
    <s v="44473"/>
    <s v=""/>
    <s v="VISHAKHA SHARMA"/>
    <x v="14"/>
    <s v="A"/>
  </r>
  <r>
    <s v="44474"/>
    <s v=""/>
    <s v="VISHAKHA SHARMA"/>
    <x v="15"/>
    <s v="A"/>
  </r>
  <r>
    <s v="44475"/>
    <s v=""/>
    <s v="VISHAKHA SHARMA"/>
    <x v="16"/>
    <s v="A"/>
  </r>
  <r>
    <s v="44476"/>
    <s v=""/>
    <s v="VISHAKHA SHARMA"/>
    <x v="17"/>
    <s v="A"/>
  </r>
  <r>
    <s v="44477"/>
    <s v=""/>
    <s v="VISHAKHA SHARMA"/>
    <x v="18"/>
    <s v="A"/>
  </r>
  <r>
    <s v="44478"/>
    <s v=""/>
    <s v="VISHAKHA SHARMA"/>
    <x v="19"/>
    <s v="A"/>
  </r>
  <r>
    <s v="44479"/>
    <s v=""/>
    <s v="VISHAKHA SHARMA"/>
    <x v="20"/>
    <s v="A"/>
  </r>
  <r>
    <s v="44480"/>
    <s v=""/>
    <s v="VISHAKHA SHARMA"/>
    <x v="21"/>
    <s v="A"/>
  </r>
  <r>
    <s v="44481"/>
    <s v=""/>
    <s v="VISHAKHA SHARMA"/>
    <x v="22"/>
    <s v="&quot;1/2&quot;"/>
  </r>
  <r>
    <s v="Emp_000344501"/>
    <s v="Emp_0003"/>
    <s v="KUMAR PATIL"/>
    <x v="23"/>
    <s v="A"/>
  </r>
  <r>
    <s v="Emp_000344502"/>
    <s v="Emp_0003"/>
    <s v="KUMAR PATIL"/>
    <x v="24"/>
    <s v="A"/>
  </r>
  <r>
    <s v="Emp_000344503"/>
    <s v="Emp_0003"/>
    <s v="KUMAR PATIL"/>
    <x v="25"/>
    <s v="A"/>
  </r>
  <r>
    <s v="Emp_000344504"/>
    <s v="Emp_0003"/>
    <s v="KUMAR PATIL"/>
    <x v="26"/>
    <s v="&quot;1/2&quot;"/>
  </r>
  <r>
    <s v="Emp_001244501"/>
    <s v="Emp_0012"/>
    <s v="VIRENDRA ETHAPE"/>
    <x v="23"/>
    <s v="A"/>
  </r>
  <r>
    <s v="Emp_001244502"/>
    <s v="Emp_0012"/>
    <s v="VIRENDRA ETHAPE"/>
    <x v="24"/>
    <s v="A"/>
  </r>
  <r>
    <s v="Emp_001244503"/>
    <s v="Emp_0012"/>
    <s v="VIRENDRA ETHAPE"/>
    <x v="25"/>
    <s v="&quot;1/2&quot;"/>
  </r>
  <r>
    <s v="Emp_000344441"/>
    <s v="Emp_0003"/>
    <s v="KUMAR PATIL"/>
    <x v="1"/>
    <s v="A"/>
  </r>
  <r>
    <s v="Emp_000844440"/>
    <s v="Emp_0008"/>
    <s v="GANESH IYER"/>
    <x v="0"/>
    <s v="A"/>
  </r>
  <r>
    <s v="Emp_000844441"/>
    <s v="Emp_0008"/>
    <s v="GANESH IYER"/>
    <x v="1"/>
    <s v="A"/>
  </r>
  <r>
    <s v="Emp_000244471"/>
    <s v="Emp_0002"/>
    <s v="SHRINIVAS IRABHATTI"/>
    <x v="12"/>
    <s v="A"/>
  </r>
  <r>
    <s v="Emp_000644470"/>
    <s v="Emp_0006"/>
    <s v="SWAPNIL J"/>
    <x v="11"/>
    <s v="A"/>
  </r>
  <r>
    <s v="Emp_000744470"/>
    <s v="Emp_0007"/>
    <s v="MAHADEV "/>
    <x v="11"/>
    <s v="A"/>
  </r>
  <r>
    <s v="Emp_000744471"/>
    <s v="Emp_0007"/>
    <s v="MAHADEV "/>
    <x v="12"/>
    <s v="OT"/>
  </r>
  <r>
    <s v="Emp_002044501"/>
    <s v="Emp_0020"/>
    <s v="AKSHAY PAWAR"/>
    <x v="23"/>
    <s v="A"/>
  </r>
  <r>
    <s v="Emp_002044502"/>
    <s v="Emp_0020"/>
    <s v="AKSHAY PAWAR"/>
    <x v="24"/>
    <s v="A"/>
  </r>
  <r>
    <s v="Emp_002044503"/>
    <s v="Emp_0020"/>
    <s v="AKSHAY PAWAR"/>
    <x v="25"/>
    <s v="A"/>
  </r>
  <r>
    <s v="Emp_002044504"/>
    <s v="Emp_0020"/>
    <s v="AKSHAY PAWAR"/>
    <x v="26"/>
    <s v="A"/>
  </r>
  <r>
    <s v="Emp_002044505"/>
    <s v="Emp_0020"/>
    <s v="AKSHAY PAWAR"/>
    <x v="27"/>
    <s v="A"/>
  </r>
  <r>
    <s v="Emp_002044506"/>
    <s v="Emp_0020"/>
    <s v="AKSHAY PAWAR"/>
    <x v="28"/>
    <s v="A"/>
  </r>
  <r>
    <s v="Emp_002044507"/>
    <s v="Emp_0020"/>
    <s v="AKSHAY PAWAR"/>
    <x v="29"/>
    <s v="A"/>
  </r>
  <r>
    <s v="Emp_002144501"/>
    <s v="Emp_0021"/>
    <s v="AMIT JADHAV"/>
    <x v="23"/>
    <s v="A"/>
  </r>
  <r>
    <s v="Emp_002144502"/>
    <s v="Emp_0021"/>
    <s v="AMIT JADHAV"/>
    <x v="24"/>
    <s v="A"/>
  </r>
  <r>
    <s v="Emp_002144503"/>
    <s v="Emp_0021"/>
    <s v="AMIT JADHAV"/>
    <x v="25"/>
    <s v="A"/>
  </r>
  <r>
    <s v="Emp_002144504"/>
    <s v="Emp_0021"/>
    <s v="AMIT JADHAV"/>
    <x v="26"/>
    <s v="A"/>
  </r>
  <r>
    <s v="Emp_002144505"/>
    <s v="Emp_0021"/>
    <s v="AMIT JADHAV"/>
    <x v="27"/>
    <s v="A"/>
  </r>
  <r>
    <s v="Emp_002144506"/>
    <s v="Emp_0021"/>
    <s v="AMIT JADHAV"/>
    <x v="28"/>
    <s v="A"/>
  </r>
  <r>
    <s v="Emp_002144507"/>
    <s v="Emp_0021"/>
    <s v="AMIT JADHAV"/>
    <x v="29"/>
    <s v="A"/>
  </r>
  <r>
    <s v="Emp_002144508"/>
    <s v="Emp_0021"/>
    <s v="AMIT JADHAV"/>
    <x v="30"/>
    <s v="A"/>
  </r>
  <r>
    <s v="Emp_002144509"/>
    <s v="Emp_0021"/>
    <s v="AMIT JADHAV"/>
    <x v="31"/>
    <s v="A"/>
  </r>
  <r>
    <s v="Emp_002144510"/>
    <s v="Emp_0021"/>
    <s v="AMIT JADHAV"/>
    <x v="32"/>
    <s v="A"/>
  </r>
  <r>
    <s v="Emp_002344501"/>
    <s v="Emp_0023"/>
    <s v="JYOTI THAKARE"/>
    <x v="23"/>
    <s v="A"/>
  </r>
  <r>
    <s v="Emp_002344502"/>
    <s v="Emp_0023"/>
    <s v="JYOTI THAKARE"/>
    <x v="24"/>
    <s v="A"/>
  </r>
  <r>
    <s v="Emp_002344503"/>
    <s v="Emp_0023"/>
    <s v="JYOTI THAKARE"/>
    <x v="25"/>
    <s v="A"/>
  </r>
  <r>
    <s v="Emp_003944501"/>
    <s v="Emp_0039"/>
    <s v="MR.RATANA THAKARE"/>
    <x v="23"/>
    <s v="A"/>
  </r>
  <r>
    <s v="Emp_003944502"/>
    <s v="Emp_0039"/>
    <s v="MR.RATANA THAKARE"/>
    <x v="24"/>
    <s v="A"/>
  </r>
  <r>
    <s v="Emp_003944503"/>
    <s v="Emp_0039"/>
    <s v="MR.RATANA THAKARE"/>
    <x v="25"/>
    <s v="A"/>
  </r>
  <r>
    <s v="Emp_003944504"/>
    <s v="Emp_0039"/>
    <s v="MR.RATANA THAKARE"/>
    <x v="26"/>
    <s v="A"/>
  </r>
  <r>
    <s v="Emp_003744501"/>
    <s v="Emp_0037"/>
    <s v="SUREKHA GHARAT"/>
    <x v="23"/>
    <s v="A"/>
  </r>
  <r>
    <s v="Emp_003744502"/>
    <s v="Emp_0037"/>
    <s v="SUREKHA GHARAT"/>
    <x v="24"/>
    <s v="A"/>
  </r>
  <r>
    <s v="Emp_003744503"/>
    <s v="Emp_0037"/>
    <s v="SUREKHA GHARAT"/>
    <x v="25"/>
    <s v="A"/>
  </r>
  <r>
    <s v="Emp_003744504"/>
    <s v="Emp_0037"/>
    <s v="SUREKHA GHARAT"/>
    <x v="26"/>
    <s v="A"/>
  </r>
  <r>
    <s v="Emp_003744505"/>
    <s v="Emp_0037"/>
    <s v="SUREKHA GHARAT"/>
    <x v="27"/>
    <s v="A"/>
  </r>
  <r>
    <s v="Emp_003744506"/>
    <s v="Emp_0037"/>
    <s v="SUREKHA GHARAT"/>
    <x v="28"/>
    <s v="A"/>
  </r>
  <r>
    <s v="Emp_003744507"/>
    <s v="Emp_0037"/>
    <s v="SUREKHA GHARAT"/>
    <x v="29"/>
    <s v="A"/>
  </r>
  <r>
    <s v="Emp_003744508"/>
    <s v="Emp_0037"/>
    <s v="SUREKHA GHARAT"/>
    <x v="30"/>
    <s v="A"/>
  </r>
  <r>
    <s v="Emp_003744509"/>
    <s v="Emp_0037"/>
    <s v="SUREKHA GHARAT"/>
    <x v="31"/>
    <s v="A"/>
  </r>
  <r>
    <s v="Emp_003744510"/>
    <s v="Emp_0037"/>
    <s v="SUREKHA GHARAT"/>
    <x v="32"/>
    <s v="A"/>
  </r>
  <r>
    <s v="Emp_003744511"/>
    <s v="Emp_0037"/>
    <s v="SUREKHA GHARAT"/>
    <x v="33"/>
    <s v="A"/>
  </r>
  <r>
    <s v="Emp_003744512"/>
    <s v="Emp_0037"/>
    <s v="SUREKHA GHARAT"/>
    <x v="34"/>
    <s v="A"/>
  </r>
  <r>
    <s v="Emp_003744513"/>
    <s v="Emp_0037"/>
    <s v="SUREKHA GHARAT"/>
    <x v="35"/>
    <s v="A"/>
  </r>
  <r>
    <s v="Emp_003744514"/>
    <s v="Emp_0037"/>
    <s v="SUREKHA GHARAT"/>
    <x v="36"/>
    <s v="A"/>
  </r>
  <r>
    <s v="Emp_003744515"/>
    <s v="Emp_0037"/>
    <s v="SUREKHA GHARAT"/>
    <x v="37"/>
    <s v="&quot;1/2&quot;"/>
  </r>
  <r>
    <s v="Emp_003444501"/>
    <s v="Emp_0034"/>
    <s v="RUPESH GIRANE"/>
    <x v="23"/>
    <s v="A"/>
  </r>
  <r>
    <s v="Emp_003444502"/>
    <s v="Emp_0034"/>
    <s v="RUPESH GIRANE"/>
    <x v="24"/>
    <s v="A"/>
  </r>
  <r>
    <s v="Emp_003444503"/>
    <s v="Emp_0034"/>
    <s v="RUPESH GIRANE"/>
    <x v="25"/>
    <s v="A"/>
  </r>
  <r>
    <s v="Emp_003444504"/>
    <s v="Emp_0034"/>
    <s v="RUPESH GIRANE"/>
    <x v="26"/>
    <s v="A"/>
  </r>
  <r>
    <s v="Emp_003444505"/>
    <s v="Emp_0034"/>
    <s v="RUPESH GIRANE"/>
    <x v="27"/>
    <s v="A"/>
  </r>
  <r>
    <s v="Emp_003044501"/>
    <s v="Emp_0030"/>
    <s v="SANJAY THAKARE"/>
    <x v="23"/>
    <s v="OT"/>
  </r>
  <r>
    <s v="Emp_003044502"/>
    <s v="Emp_0030"/>
    <s v="SANJAY THAKARE"/>
    <x v="24"/>
    <s v="OT"/>
  </r>
  <r>
    <s v="Emp_003044503"/>
    <s v="Emp_0030"/>
    <s v="SANJAY THAKARE"/>
    <x v="25"/>
    <s v="A"/>
  </r>
  <r>
    <s v="Emp_003044504"/>
    <s v="Emp_0030"/>
    <s v="SANJAY THAKARE"/>
    <x v="26"/>
    <s v="A"/>
  </r>
  <r>
    <s v="Emp_003044505"/>
    <s v="Emp_0030"/>
    <s v="SANJAY THAKARE"/>
    <x v="27"/>
    <s v="A"/>
  </r>
  <r>
    <s v="Emp_003044506"/>
    <s v="Emp_0030"/>
    <s v="SANJAY THAKARE"/>
    <x v="28"/>
    <s v="A"/>
  </r>
  <r>
    <s v="Emp_003044507"/>
    <s v="Emp_0030"/>
    <s v="SANJAY THAKARE"/>
    <x v="29"/>
    <s v="A"/>
  </r>
  <r>
    <s v="Emp_003044508"/>
    <s v="Emp_0030"/>
    <s v="SANJAY THAKARE"/>
    <x v="30"/>
    <s v="A"/>
  </r>
  <r>
    <s v="Emp_003244501"/>
    <s v="Emp_0032"/>
    <s v="DARPAN PARHAD"/>
    <x v="23"/>
    <s v="OT"/>
  </r>
  <r>
    <s v="Emp_003244502"/>
    <s v="Emp_0032"/>
    <s v="DARPAN PARHAD"/>
    <x v="24"/>
    <s v="OT"/>
  </r>
  <r>
    <s v="Emp_003244503"/>
    <s v="Emp_0032"/>
    <s v="DARPAN PARHAD"/>
    <x v="25"/>
    <s v="OT"/>
  </r>
  <r>
    <s v="Emp_003244504"/>
    <s v="Emp_0032"/>
    <s v="DARPAN PARHAD"/>
    <x v="26"/>
    <s v="A"/>
  </r>
  <r>
    <s v="Emp_003244505"/>
    <s v="Emp_0032"/>
    <s v="DARPAN PARHAD"/>
    <x v="27"/>
    <s v="A"/>
  </r>
  <r>
    <s v="Emp_003244506"/>
    <s v="Emp_0032"/>
    <s v="DARPAN PARHAD"/>
    <x v="28"/>
    <s v="A"/>
  </r>
  <r>
    <s v="Emp_003244507"/>
    <s v="Emp_0032"/>
    <s v="DARPAN PARHAD"/>
    <x v="29"/>
    <s v="A"/>
  </r>
  <r>
    <s v="Emp_003244508"/>
    <s v="Emp_0032"/>
    <s v="DARPAN PARHAD"/>
    <x v="30"/>
    <s v="A"/>
  </r>
  <r>
    <s v="Emp_003144501"/>
    <s v="Emp_0031"/>
    <s v="AJIT THAKARE"/>
    <x v="23"/>
    <s v="A"/>
  </r>
  <r>
    <s v="Emp_003144502"/>
    <s v="Emp_0031"/>
    <s v="AJIT THAKARE"/>
    <x v="24"/>
    <s v="A"/>
  </r>
  <r>
    <s v="Emp_003144503"/>
    <s v="Emp_0031"/>
    <s v="AJIT THAKARE"/>
    <x v="25"/>
    <s v="A"/>
  </r>
  <r>
    <s v="Emp_003144504"/>
    <s v="Emp_0031"/>
    <s v="AJIT THAKARE"/>
    <x v="26"/>
    <s v="A"/>
  </r>
  <r>
    <s v="Emp_003144505"/>
    <s v="Emp_0031"/>
    <s v="AJIT THAKARE"/>
    <x v="27"/>
    <s v="A"/>
  </r>
  <r>
    <s v="Emp_003144506"/>
    <s v="Emp_0031"/>
    <s v="AJIT THAKARE"/>
    <x v="28"/>
    <s v="A"/>
  </r>
  <r>
    <s v="Emp_002544501"/>
    <s v="Emp_0025"/>
    <s v="MANGESH SUTAR"/>
    <x v="23"/>
    <s v="A"/>
  </r>
  <r>
    <s v="Emp_002544502"/>
    <s v="Emp_0025"/>
    <s v="MANGESH SUTAR"/>
    <x v="24"/>
    <s v="A"/>
  </r>
  <r>
    <s v="Emp_002544503"/>
    <s v="Emp_0025"/>
    <s v="MANGESH SUTAR"/>
    <x v="25"/>
    <s v="A"/>
  </r>
  <r>
    <s v="Emp_002544504"/>
    <s v="Emp_0025"/>
    <s v="MANGESH SUTAR"/>
    <x v="26"/>
    <s v="A"/>
  </r>
  <r>
    <s v="Emp_002544505"/>
    <s v="Emp_0025"/>
    <s v="MANGESH SUTAR"/>
    <x v="27"/>
    <s v="A"/>
  </r>
  <r>
    <s v="Emp_002544506"/>
    <s v="Emp_0025"/>
    <s v="MANGESH SUTAR"/>
    <x v="28"/>
    <s v="A"/>
  </r>
  <r>
    <s v="Emp_002544507"/>
    <s v="Emp_0025"/>
    <s v="MANGESH SUTAR"/>
    <x v="29"/>
    <s v="A"/>
  </r>
  <r>
    <s v="Emp_002544508"/>
    <s v="Emp_0025"/>
    <s v="MANGESH SUTAR"/>
    <x v="30"/>
    <s v="A"/>
  </r>
  <r>
    <s v="Emp_002544509"/>
    <s v="Emp_0025"/>
    <s v="MANGESH SUTAR"/>
    <x v="31"/>
    <s v="A"/>
  </r>
  <r>
    <s v="Emp_002944501"/>
    <s v="Emp_0029"/>
    <s v="RUPESH LAHANGE"/>
    <x v="23"/>
    <s v="A"/>
  </r>
  <r>
    <s v="Emp_002944502"/>
    <s v="Emp_0029"/>
    <s v="RUPESH LAHANGE"/>
    <x v="24"/>
    <s v="A"/>
  </r>
  <r>
    <s v="Emp_002944503"/>
    <s v="Emp_0029"/>
    <s v="RUPESH LAHANGE"/>
    <x v="25"/>
    <s v="A"/>
  </r>
  <r>
    <s v="Emp_002944504"/>
    <s v="Emp_0029"/>
    <s v="RUPESH LAHANGE"/>
    <x v="26"/>
    <s v="A"/>
  </r>
  <r>
    <s v="Emp_002944505"/>
    <s v="Emp_0029"/>
    <s v="RUPESH LAHANGE"/>
    <x v="27"/>
    <s v="A"/>
  </r>
  <r>
    <s v="Emp_002944506"/>
    <s v="Emp_0029"/>
    <s v="RUPESH LAHANGE"/>
    <x v="28"/>
    <s v="A"/>
  </r>
  <r>
    <s v="Emp_002944507"/>
    <s v="Emp_0029"/>
    <s v="RUPESH LAHANGE"/>
    <x v="29"/>
    <s v="A"/>
  </r>
  <r>
    <s v="Emp_003644501"/>
    <s v="Emp_0036"/>
    <s v="VILAS THAKARE"/>
    <x v="23"/>
    <s v="A"/>
  </r>
  <r>
    <s v="Emp_003644502"/>
    <s v="Emp_0036"/>
    <s v="VILAS THAKARE"/>
    <x v="24"/>
    <s v="A"/>
  </r>
  <r>
    <s v="Emp_003644503"/>
    <s v="Emp_0036"/>
    <s v="VILAS THAKARE"/>
    <x v="25"/>
    <s v="A"/>
  </r>
  <r>
    <s v="Emp_003644504"/>
    <s v="Emp_0036"/>
    <s v="VILAS THAKARE"/>
    <x v="26"/>
    <s v="A"/>
  </r>
  <r>
    <s v="Emp_003644505"/>
    <s v="Emp_0036"/>
    <s v="VILAS THAKARE"/>
    <x v="27"/>
    <s v="A"/>
  </r>
  <r>
    <s v="Emp_003644506"/>
    <s v="Emp_0036"/>
    <s v="VILAS THAKARE"/>
    <x v="28"/>
    <s v="A"/>
  </r>
  <r>
    <s v="Emp_003644507"/>
    <s v="Emp_0036"/>
    <s v="VILAS THAKARE"/>
    <x v="29"/>
    <s v="A"/>
  </r>
  <r>
    <s v="Emp_003644508"/>
    <s v="Emp_0036"/>
    <s v="VILAS THAKARE"/>
    <x v="30"/>
    <s v="A"/>
  </r>
  <r>
    <s v="Emp_003644509"/>
    <s v="Emp_0036"/>
    <s v="VILAS THAKARE"/>
    <x v="31"/>
    <s v="A"/>
  </r>
  <r>
    <s v="Emp_003644510"/>
    <s v="Emp_0036"/>
    <s v="VILAS THAKARE"/>
    <x v="32"/>
    <s v="A"/>
  </r>
  <r>
    <s v="Emp_003644511"/>
    <s v="Emp_0036"/>
    <s v="VILAS THAKARE"/>
    <x v="33"/>
    <s v="A"/>
  </r>
  <r>
    <s v="Emp_003644512"/>
    <s v="Emp_0036"/>
    <s v="VILAS THAKARE"/>
    <x v="34"/>
    <s v="A"/>
  </r>
  <r>
    <s v="Emp_003644513"/>
    <s v="Emp_0036"/>
    <s v="VILAS THAKARE"/>
    <x v="35"/>
    <s v="A"/>
  </r>
  <r>
    <s v="Emp_003644514"/>
    <s v="Emp_0036"/>
    <s v="VILAS THAKARE"/>
    <x v="36"/>
    <s v="A"/>
  </r>
  <r>
    <s v="Emp_002644501"/>
    <s v="Emp_0026"/>
    <s v="NARESH LAHANGE"/>
    <x v="23"/>
    <s v="A"/>
  </r>
  <r>
    <s v="Emp_002644502"/>
    <s v="Emp_0026"/>
    <s v="NARESH LAHANGE"/>
    <x v="24"/>
    <s v="A"/>
  </r>
  <r>
    <s v="Emp_002644503"/>
    <s v="Emp_0026"/>
    <s v="NARESH LAHANGE"/>
    <x v="25"/>
    <s v="A"/>
  </r>
  <r>
    <s v="Emp_002644504"/>
    <s v="Emp_0026"/>
    <s v="NARESH LAHANGE"/>
    <x v="26"/>
    <s v="A"/>
  </r>
  <r>
    <s v="Emp_002644505"/>
    <s v="Emp_0026"/>
    <s v="NARESH LAHANGE"/>
    <x v="27"/>
    <s v="A"/>
  </r>
  <r>
    <s v="Emp_002644506"/>
    <s v="Emp_0026"/>
    <s v="NARESH LAHANGE"/>
    <x v="28"/>
    <s v="A"/>
  </r>
  <r>
    <s v="Emp_002644507"/>
    <s v="Emp_0026"/>
    <s v="NARESH LAHANGE"/>
    <x v="29"/>
    <s v="A"/>
  </r>
  <r>
    <s v="Emp_002644508"/>
    <s v="Emp_0026"/>
    <s v="NARESH LAHANGE"/>
    <x v="30"/>
    <s v="A"/>
  </r>
  <r>
    <s v="Emp_002744501"/>
    <s v="Emp_0027"/>
    <s v="PRADIP LAHANGE"/>
    <x v="23"/>
    <s v="A"/>
  </r>
  <r>
    <s v="Emp_002744502"/>
    <s v="Emp_0027"/>
    <s v="PRADIP LAHANGE"/>
    <x v="24"/>
    <s v="A"/>
  </r>
  <r>
    <s v="Emp_002744503"/>
    <s v="Emp_0027"/>
    <s v="PRADIP LAHANGE"/>
    <x v="25"/>
    <s v="A"/>
  </r>
  <r>
    <s v="Emp_002744504"/>
    <s v="Emp_0027"/>
    <s v="PRADIP LAHANGE"/>
    <x v="26"/>
    <s v="A"/>
  </r>
  <r>
    <s v="Emp_002744505"/>
    <s v="Emp_0027"/>
    <s v="PRADIP LAHANGE"/>
    <x v="27"/>
    <s v="A"/>
  </r>
  <r>
    <s v="Emp_002744506"/>
    <s v="Emp_0027"/>
    <s v="PRADIP LAHANGE"/>
    <x v="28"/>
    <s v="A"/>
  </r>
  <r>
    <s v="Emp_002744507"/>
    <s v="Emp_0027"/>
    <s v="PRADIP LAHANGE"/>
    <x v="29"/>
    <s v="A"/>
  </r>
  <r>
    <s v="Emp_002744508"/>
    <s v="Emp_0027"/>
    <s v="PRADIP LAHANGE"/>
    <x v="30"/>
    <s v="A"/>
  </r>
  <r>
    <s v="Emp_002244501"/>
    <s v="Emp_0022"/>
    <s v="ANKUSH LAHANGE"/>
    <x v="23"/>
    <s v="A"/>
  </r>
  <r>
    <s v="Emp_002244502"/>
    <s v="Emp_0022"/>
    <s v="ANKUSH LAHANGE"/>
    <x v="24"/>
    <s v="A"/>
  </r>
  <r>
    <s v="Emp_002244503"/>
    <s v="Emp_0022"/>
    <s v="ANKUSH LAHANGE"/>
    <x v="25"/>
    <s v="A"/>
  </r>
  <r>
    <s v="Emp_002244504"/>
    <s v="Emp_0022"/>
    <s v="ANKUSH LAHANGE"/>
    <x v="26"/>
    <s v="A"/>
  </r>
  <r>
    <s v="Emp_002244505"/>
    <s v="Emp_0022"/>
    <s v="ANKUSH LAHANGE"/>
    <x v="27"/>
    <s v="A"/>
  </r>
  <r>
    <s v="Emp_002844501"/>
    <s v="Emp_0028"/>
    <s v="RAMESH LAHANGE"/>
    <x v="23"/>
    <s v="A"/>
  </r>
  <r>
    <s v="Emp_002844502"/>
    <s v="Emp_0028"/>
    <s v="RAMESH LAHANGE"/>
    <x v="24"/>
    <s v="A"/>
  </r>
  <r>
    <s v="Emp_002844503"/>
    <s v="Emp_0028"/>
    <s v="RAMESH LAHANGE"/>
    <x v="25"/>
    <s v="A"/>
  </r>
  <r>
    <s v="Emp_002844504"/>
    <s v="Emp_0028"/>
    <s v="RAMESH LAHANGE"/>
    <x v="26"/>
    <s v="A"/>
  </r>
  <r>
    <s v="Emp_002844505"/>
    <s v="Emp_0028"/>
    <s v="RAMESH LAHANGE"/>
    <x v="27"/>
    <s v="A"/>
  </r>
  <r>
    <s v="Emp_002844506"/>
    <s v="Emp_0028"/>
    <s v="RAMESH LAHANGE"/>
    <x v="28"/>
    <s v="A"/>
  </r>
  <r>
    <s v="Emp_002844507"/>
    <s v="Emp_0028"/>
    <s v="RAMESH LAHANGE"/>
    <x v="29"/>
    <s v="A"/>
  </r>
  <r>
    <s v="Emp_003344501"/>
    <s v="Emp_0033"/>
    <s v="MAHESH LAHANGE"/>
    <x v="23"/>
    <s v="A"/>
  </r>
  <r>
    <s v="Emp_003344502"/>
    <s v="Emp_0033"/>
    <s v="MAHESH LAHANGE"/>
    <x v="24"/>
    <s v="A"/>
  </r>
  <r>
    <s v="Emp_003344503"/>
    <s v="Emp_0033"/>
    <s v="MAHESH LAHANGE"/>
    <x v="25"/>
    <s v="A"/>
  </r>
  <r>
    <s v="Emp_003344504"/>
    <s v="Emp_0033"/>
    <s v="MAHESH LAHANGE"/>
    <x v="26"/>
    <s v="A"/>
  </r>
  <r>
    <s v="Emp_003344505"/>
    <s v="Emp_0033"/>
    <s v="MAHESH LAHANGE"/>
    <x v="27"/>
    <s v="A"/>
  </r>
  <r>
    <s v="Emp_003344506"/>
    <s v="Emp_0033"/>
    <s v="MAHESH LAHANGE"/>
    <x v="28"/>
    <s v="&quot;1/2&quot;"/>
  </r>
  <r>
    <s v="Emp_003644515"/>
    <s v="Emp_0036"/>
    <s v="VILAS THAKARE"/>
    <x v="37"/>
    <s v="OT"/>
  </r>
  <r>
    <s v="Emp_000544501"/>
    <s v="Emp_0005"/>
    <s v="VAHILE"/>
    <x v="23"/>
    <s v="OT"/>
  </r>
  <r>
    <s v="Emp_000244501"/>
    <s v="Emp_0002"/>
    <s v="SHRINIVAS IRABHATTI"/>
    <x v="23"/>
    <s v="A"/>
  </r>
  <r>
    <s v="Emp_001544502"/>
    <s v="Emp_0015"/>
    <s v="AKSHAY SHELAR"/>
    <x v="24"/>
    <s v="OT"/>
  </r>
  <r>
    <s v="Emp_000144501"/>
    <s v="Emp_0001"/>
    <s v="VIVEK PATIL"/>
    <x v="23"/>
    <s v="OT"/>
  </r>
  <r>
    <s v="Emp_001944501"/>
    <s v="Emp_0019"/>
    <s v="AMOL PATIL"/>
    <x v="23"/>
    <s v="A"/>
  </r>
  <r>
    <s v="Emp_001944502"/>
    <s v="Emp_0019"/>
    <s v="AMOL PATIL"/>
    <x v="24"/>
    <s v="A"/>
  </r>
  <r>
    <s v="Emp_001944503"/>
    <s v="Emp_0019"/>
    <s v="AMOL PATIL"/>
    <x v="25"/>
    <s v="A"/>
  </r>
  <r>
    <s v="Emp_001644501"/>
    <s v="Emp_0016"/>
    <s v="MILIND PAWAR"/>
    <x v="23"/>
    <s v="A"/>
  </r>
  <r>
    <s v="Emp_001444501"/>
    <s v="Emp_0014"/>
    <s v="AJAY SAVARA"/>
    <x v="23"/>
    <s v="A"/>
  </r>
  <r>
    <s v="Emp_001444502"/>
    <s v="Emp_0014"/>
    <s v="AJAY SAVARA"/>
    <x v="24"/>
    <s v="A"/>
  </r>
  <r>
    <s v="Emp_001744501"/>
    <s v="Emp_0017"/>
    <s v="PRATIK PATIL"/>
    <x v="23"/>
    <s v="A"/>
  </r>
  <r>
    <s v="Emp_001844501"/>
    <s v="Emp_0018"/>
    <s v="PRATIK NEVREKAR"/>
    <x v="23"/>
    <s v="A"/>
  </r>
  <r>
    <s v="Emp_001844502"/>
    <s v="Emp_0018"/>
    <s v="PRATIK NEVREKAR"/>
    <x v="24"/>
    <s v="A"/>
  </r>
  <r>
    <s v="Emp_001844503"/>
    <s v="Emp_0018"/>
    <s v="PRATIK NEVREKAR"/>
    <x v="25"/>
    <s v="A"/>
  </r>
  <r>
    <s v="Emp_001844504"/>
    <s v="Emp_0018"/>
    <s v="PRATIK NEVREKAR"/>
    <x v="26"/>
    <s v="&quot;1/2&quot;"/>
  </r>
  <r>
    <s v="Emp_001544501"/>
    <s v="Emp_0015"/>
    <s v="AKSHAY SHELAR"/>
    <x v="23"/>
    <s v="OT"/>
  </r>
  <r>
    <s v="Emp_001544502"/>
    <s v="Emp_0015"/>
    <s v="AKSHAY SHELAR"/>
    <x v="24"/>
    <s v="OT"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  <r>
    <s v=""/>
    <s v=""/>
    <m/>
    <x v="1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PivotTable1" cacheId="0" applyNumberFormats="0" applyBorderFormats="0" applyFontFormats="0" applyPatternFormats="0" applyAlignmentFormats="0" applyWidthHeightFormats="1" dataCaption="Values" updatedVersion="5" minRefreshableVersion="3" showDrill="0" useAutoFormatting="1" itemPrintTitles="1" createdVersion="5" indent="0" showHeaders="0" outline="1" outlineData="1" multipleFieldFilters="0">
  <location ref="H20:J37" firstHeaderRow="1" firstDataRow="1" firstDataCol="0"/>
  <pivotFields count="5"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Leave_Code" displayName="Leave_Code" ref="H1:H4" totalsRowShown="0" headerRowDxfId="74" dataDxfId="73" tableBorderDxfId="72">
  <autoFilter ref="H1:H4" xr:uid="{00000000-0009-0000-0100-000002000000}"/>
  <tableColumns count="1">
    <tableColumn id="1" xr3:uid="{00000000-0010-0000-0000-000001000000}" name="Leave Code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E1000" totalsRowShown="0" headerRowDxfId="70" headerRowBorderDxfId="69" tableBorderDxfId="68" totalsRowBorderDxfId="67">
  <autoFilter ref="A1:E1000" xr:uid="{00000000-0009-0000-0100-000001000000}"/>
  <tableColumns count="5">
    <tableColumn id="1" xr3:uid="{00000000-0010-0000-0100-000001000000}" name="Transaction ID" dataDxfId="66">
      <calculatedColumnFormula>B2&amp;D2</calculatedColumnFormula>
    </tableColumn>
    <tableColumn id="2" xr3:uid="{00000000-0010-0000-0100-000002000000}" name="Employee Code" dataDxfId="65">
      <calculatedColumnFormula>IFERROR(INDEX(AttendanceSheet!$B$7:$B10,MATCH('Mark Leave'!C2,AttendanceSheet!$C$7:$C100,0)),"")</calculatedColumnFormula>
    </tableColumn>
    <tableColumn id="3" xr3:uid="{00000000-0010-0000-0100-000003000000}" name="Employee Name" dataDxfId="64"/>
    <tableColumn id="4" xr3:uid="{00000000-0010-0000-0100-000004000000}" name="Date" dataDxfId="63"/>
    <tableColumn id="5" xr3:uid="{00000000-0010-0000-0100-000005000000}" name="Leave Type" dataDxfId="6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e4" displayName="Table4" ref="C6:C100" totalsRowShown="0" headerRowDxfId="50" headerRowCellStyle="20% - Accent4">
  <autoFilter ref="C6:C100" xr:uid="{00000000-0009-0000-0100-000004000000}">
    <filterColumn colId="0" hiddenButton="1"/>
  </autoFilter>
  <tableColumns count="1">
    <tableColumn id="1" xr3:uid="{00000000-0010-0000-0200-000001000000}" name="Employee Name" dataDxfId="49">
      <calculatedColumnFormula>IFERROR(INDEX('Employee Details'!$B$7:$B$100,_xlfn.AGGREGATE(15,3,('Employee Details'!$F$7:$F$100='Setting '!$F$2)/('Employee Details'!$F$7:$F$100='Setting '!$F$2)*ROW('Employee Details'!$F$7:$F$100)-ROW('Employee Details'!$F$6),ROWS('Setting '!$J$1:J1))),"")</calculatedColumnFormula>
    </tableColumn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Q403"/>
  <sheetViews>
    <sheetView showGridLines="0" showRowColHeaders="0" topLeftCell="A20" zoomScaleNormal="100" workbookViewId="0">
      <selection activeCell="C22" sqref="C22"/>
    </sheetView>
  </sheetViews>
  <sheetFormatPr defaultRowHeight="15" x14ac:dyDescent="0.25"/>
  <cols>
    <col min="1" max="1" width="14.85546875" style="9" bestFit="1" customWidth="1"/>
    <col min="2" max="2" width="16.5703125" customWidth="1"/>
    <col min="3" max="3" width="8" customWidth="1"/>
    <col min="4" max="4" width="22.5703125" style="12" customWidth="1"/>
    <col min="5" max="5" width="10.42578125" style="11" customWidth="1"/>
    <col min="6" max="6" width="16.28515625" style="11" customWidth="1"/>
    <col min="7" max="7" width="18.5703125" style="11" customWidth="1"/>
    <col min="8" max="8" width="18.28515625" style="11" customWidth="1"/>
    <col min="17" max="17" width="10.42578125" customWidth="1"/>
  </cols>
  <sheetData>
    <row r="1" spans="1:8" hidden="1" x14ac:dyDescent="0.25">
      <c r="A1" s="14" t="s">
        <v>203</v>
      </c>
      <c r="B1" s="261" t="s">
        <v>0</v>
      </c>
      <c r="C1" s="261"/>
      <c r="D1" s="6">
        <f>+D24</f>
        <v>44440</v>
      </c>
      <c r="E1" s="16" t="s">
        <v>2</v>
      </c>
      <c r="F1" s="16" t="s">
        <v>9</v>
      </c>
      <c r="G1" s="17" t="s">
        <v>5</v>
      </c>
      <c r="H1" s="18" t="s">
        <v>6</v>
      </c>
    </row>
    <row r="2" spans="1:8" hidden="1" x14ac:dyDescent="0.25">
      <c r="A2" s="26" t="s">
        <v>199</v>
      </c>
      <c r="E2" s="11" t="s">
        <v>3</v>
      </c>
      <c r="F2" s="13" t="s">
        <v>4</v>
      </c>
      <c r="G2" s="19" t="s">
        <v>88</v>
      </c>
      <c r="H2" s="20" t="s">
        <v>89</v>
      </c>
    </row>
    <row r="3" spans="1:8" ht="15.75" hidden="1" thickBot="1" x14ac:dyDescent="0.3">
      <c r="A3" s="27" t="s">
        <v>201</v>
      </c>
      <c r="D3" s="29" t="s">
        <v>1</v>
      </c>
      <c r="G3" s="21" t="s">
        <v>8</v>
      </c>
      <c r="H3" s="22" t="s">
        <v>39</v>
      </c>
    </row>
    <row r="4" spans="1:8" ht="16.5" hidden="1" thickTop="1" thickBot="1" x14ac:dyDescent="0.3">
      <c r="A4" s="38" t="s">
        <v>200</v>
      </c>
      <c r="D4" s="15">
        <f>+D1</f>
        <v>44440</v>
      </c>
      <c r="G4" s="21" t="s">
        <v>41</v>
      </c>
      <c r="H4" s="11" t="s">
        <v>42</v>
      </c>
    </row>
    <row r="5" spans="1:8" ht="15.75" hidden="1" thickTop="1" x14ac:dyDescent="0.25">
      <c r="A5" s="9" t="s">
        <v>202</v>
      </c>
      <c r="D5" s="15">
        <f>EOMONTH(D4,0)+1</f>
        <v>44470</v>
      </c>
    </row>
    <row r="6" spans="1:8" hidden="1" x14ac:dyDescent="0.25">
      <c r="D6" s="15">
        <f t="shared" ref="D6:D15" si="0">EOMONTH(D5,0)+1</f>
        <v>44501</v>
      </c>
    </row>
    <row r="7" spans="1:8" hidden="1" x14ac:dyDescent="0.25">
      <c r="D7" s="15">
        <f t="shared" si="0"/>
        <v>44531</v>
      </c>
    </row>
    <row r="8" spans="1:8" hidden="1" x14ac:dyDescent="0.25">
      <c r="D8" s="15">
        <f t="shared" si="0"/>
        <v>44562</v>
      </c>
    </row>
    <row r="9" spans="1:8" hidden="1" x14ac:dyDescent="0.25">
      <c r="D9" s="15">
        <f t="shared" si="0"/>
        <v>44593</v>
      </c>
    </row>
    <row r="10" spans="1:8" hidden="1" x14ac:dyDescent="0.25">
      <c r="D10" s="15">
        <f t="shared" si="0"/>
        <v>44621</v>
      </c>
    </row>
    <row r="11" spans="1:8" hidden="1" x14ac:dyDescent="0.25">
      <c r="D11" s="15">
        <f t="shared" si="0"/>
        <v>44652</v>
      </c>
    </row>
    <row r="12" spans="1:8" hidden="1" x14ac:dyDescent="0.25">
      <c r="D12" s="15">
        <f t="shared" si="0"/>
        <v>44682</v>
      </c>
    </row>
    <row r="13" spans="1:8" hidden="1" x14ac:dyDescent="0.25">
      <c r="D13" s="15">
        <f t="shared" si="0"/>
        <v>44713</v>
      </c>
    </row>
    <row r="14" spans="1:8" hidden="1" x14ac:dyDescent="0.25">
      <c r="D14" s="15">
        <f t="shared" si="0"/>
        <v>44743</v>
      </c>
    </row>
    <row r="15" spans="1:8" hidden="1" x14ac:dyDescent="0.25">
      <c r="D15" s="15">
        <f t="shared" si="0"/>
        <v>44774</v>
      </c>
    </row>
    <row r="16" spans="1:8" hidden="1" x14ac:dyDescent="0.25"/>
    <row r="17" spans="2:17" hidden="1" x14ac:dyDescent="0.25"/>
    <row r="18" spans="2:17" hidden="1" x14ac:dyDescent="0.25">
      <c r="B18" s="28" t="s">
        <v>28</v>
      </c>
      <c r="C18" t="s">
        <v>29</v>
      </c>
    </row>
    <row r="19" spans="2:17" hidden="1" x14ac:dyDescent="0.25">
      <c r="Q19" s="1"/>
    </row>
    <row r="20" spans="2:17" ht="15.75" thickBot="1" x14ac:dyDescent="0.3">
      <c r="Q20" s="1"/>
    </row>
    <row r="21" spans="2:17" x14ac:dyDescent="0.25">
      <c r="B21" s="69"/>
      <c r="C21" s="70"/>
      <c r="D21" s="71"/>
      <c r="E21" s="72"/>
      <c r="F21" s="72"/>
      <c r="G21" s="73"/>
      <c r="Q21" s="1"/>
    </row>
    <row r="22" spans="2:17" x14ac:dyDescent="0.25">
      <c r="B22" s="116" t="s">
        <v>154</v>
      </c>
      <c r="C22" s="74"/>
      <c r="D22" s="75"/>
      <c r="E22" s="76"/>
      <c r="F22" s="76"/>
      <c r="G22" s="77"/>
      <c r="Q22" s="1"/>
    </row>
    <row r="23" spans="2:17" x14ac:dyDescent="0.25">
      <c r="B23" s="78"/>
      <c r="C23" s="79"/>
      <c r="D23" s="80"/>
      <c r="E23" s="81"/>
      <c r="F23" s="81"/>
      <c r="G23" s="82"/>
      <c r="Q23" s="1"/>
    </row>
    <row r="24" spans="2:17" x14ac:dyDescent="0.25">
      <c r="B24" s="83" t="s">
        <v>155</v>
      </c>
      <c r="C24" s="80" t="s">
        <v>156</v>
      </c>
      <c r="D24" s="91">
        <v>44440</v>
      </c>
      <c r="E24" s="81"/>
      <c r="F24" s="81"/>
      <c r="G24" s="82"/>
      <c r="Q24" s="1"/>
    </row>
    <row r="25" spans="2:17" x14ac:dyDescent="0.25">
      <c r="B25" s="78"/>
      <c r="C25" s="80"/>
      <c r="D25" s="80"/>
      <c r="E25" s="81"/>
      <c r="F25" s="81"/>
      <c r="G25" s="82"/>
      <c r="Q25" s="1"/>
    </row>
    <row r="26" spans="2:17" ht="30" x14ac:dyDescent="0.25">
      <c r="B26" s="84" t="s">
        <v>157</v>
      </c>
      <c r="C26" s="81" t="s">
        <v>156</v>
      </c>
      <c r="D26" s="85" t="s">
        <v>158</v>
      </c>
      <c r="E26" s="88">
        <f>+D24</f>
        <v>44440</v>
      </c>
      <c r="F26" s="85" t="s">
        <v>159</v>
      </c>
      <c r="G26" s="89">
        <f>EOMONTH(F28,0)</f>
        <v>44530</v>
      </c>
      <c r="Q26" s="1"/>
    </row>
    <row r="27" spans="2:17" x14ac:dyDescent="0.25">
      <c r="B27" s="262" t="s">
        <v>160</v>
      </c>
      <c r="C27" s="264" t="s">
        <v>156</v>
      </c>
      <c r="D27" s="80"/>
      <c r="E27" s="81"/>
      <c r="F27" s="81"/>
      <c r="G27" s="82"/>
      <c r="Q27" s="1"/>
    </row>
    <row r="28" spans="2:17" ht="15.75" thickBot="1" x14ac:dyDescent="0.3">
      <c r="B28" s="263"/>
      <c r="C28" s="265"/>
      <c r="D28" s="86"/>
      <c r="E28" s="87"/>
      <c r="F28" s="92">
        <f>INDEX(D4:D15,G28)</f>
        <v>44501</v>
      </c>
      <c r="G28" s="90">
        <v>3</v>
      </c>
      <c r="Q28" s="1"/>
    </row>
    <row r="29" spans="2:17" x14ac:dyDescent="0.25">
      <c r="Q29" s="1"/>
    </row>
    <row r="30" spans="2:17" x14ac:dyDescent="0.25">
      <c r="Q30" s="1"/>
    </row>
    <row r="31" spans="2:17" x14ac:dyDescent="0.25">
      <c r="Q31" s="1"/>
    </row>
    <row r="32" spans="2:17" x14ac:dyDescent="0.25">
      <c r="Q32" s="1"/>
    </row>
    <row r="33" spans="17:17" x14ac:dyDescent="0.25">
      <c r="Q33" s="1"/>
    </row>
    <row r="34" spans="17:17" x14ac:dyDescent="0.25">
      <c r="Q34" s="1"/>
    </row>
    <row r="35" spans="17:17" x14ac:dyDescent="0.25">
      <c r="Q35" s="1"/>
    </row>
    <row r="36" spans="17:17" x14ac:dyDescent="0.25">
      <c r="Q36" s="1"/>
    </row>
    <row r="37" spans="17:17" x14ac:dyDescent="0.25">
      <c r="Q37" s="1"/>
    </row>
    <row r="38" spans="17:17" x14ac:dyDescent="0.25">
      <c r="Q38" s="1"/>
    </row>
    <row r="39" spans="17:17" x14ac:dyDescent="0.25">
      <c r="Q39" s="1"/>
    </row>
    <row r="40" spans="17:17" x14ac:dyDescent="0.25">
      <c r="Q40" s="1"/>
    </row>
    <row r="41" spans="17:17" x14ac:dyDescent="0.25">
      <c r="Q41" s="1"/>
    </row>
    <row r="42" spans="17:17" x14ac:dyDescent="0.25">
      <c r="Q42" s="1"/>
    </row>
    <row r="43" spans="17:17" x14ac:dyDescent="0.25">
      <c r="Q43" s="1"/>
    </row>
    <row r="44" spans="17:17" x14ac:dyDescent="0.25">
      <c r="Q44" s="1"/>
    </row>
    <row r="45" spans="17:17" x14ac:dyDescent="0.25">
      <c r="Q45" s="1"/>
    </row>
    <row r="46" spans="17:17" x14ac:dyDescent="0.25">
      <c r="Q46" s="1"/>
    </row>
    <row r="47" spans="17:17" x14ac:dyDescent="0.25">
      <c r="Q47" s="1"/>
    </row>
    <row r="48" spans="17:17" x14ac:dyDescent="0.25">
      <c r="Q48" s="1"/>
    </row>
    <row r="49" spans="17:17" x14ac:dyDescent="0.25">
      <c r="Q49" s="1"/>
    </row>
    <row r="50" spans="17:17" x14ac:dyDescent="0.25">
      <c r="Q50" s="1"/>
    </row>
    <row r="51" spans="17:17" x14ac:dyDescent="0.25">
      <c r="Q51" s="1"/>
    </row>
    <row r="52" spans="17:17" x14ac:dyDescent="0.25">
      <c r="Q52" s="1"/>
    </row>
    <row r="53" spans="17:17" x14ac:dyDescent="0.25">
      <c r="Q53" s="1"/>
    </row>
    <row r="54" spans="17:17" x14ac:dyDescent="0.25">
      <c r="Q54" s="1"/>
    </row>
    <row r="55" spans="17:17" x14ac:dyDescent="0.25">
      <c r="Q55" s="1"/>
    </row>
    <row r="56" spans="17:17" x14ac:dyDescent="0.25">
      <c r="Q56" s="1"/>
    </row>
    <row r="57" spans="17:17" x14ac:dyDescent="0.25">
      <c r="Q57" s="1"/>
    </row>
    <row r="58" spans="17:17" x14ac:dyDescent="0.25">
      <c r="Q58" s="1"/>
    </row>
    <row r="59" spans="17:17" x14ac:dyDescent="0.25">
      <c r="Q59" s="1"/>
    </row>
    <row r="60" spans="17:17" x14ac:dyDescent="0.25">
      <c r="Q60" s="1"/>
    </row>
    <row r="61" spans="17:17" x14ac:dyDescent="0.25">
      <c r="Q61" s="1"/>
    </row>
    <row r="62" spans="17:17" x14ac:dyDescent="0.25">
      <c r="Q62" s="1"/>
    </row>
    <row r="63" spans="17:17" x14ac:dyDescent="0.25">
      <c r="Q63" s="1"/>
    </row>
    <row r="64" spans="17:17" x14ac:dyDescent="0.25">
      <c r="Q64" s="1"/>
    </row>
    <row r="65" spans="17:17" x14ac:dyDescent="0.25">
      <c r="Q65" s="1"/>
    </row>
    <row r="66" spans="17:17" x14ac:dyDescent="0.25">
      <c r="Q66" s="1"/>
    </row>
    <row r="67" spans="17:17" x14ac:dyDescent="0.25">
      <c r="Q67" s="1"/>
    </row>
    <row r="68" spans="17:17" x14ac:dyDescent="0.25">
      <c r="Q68" s="1"/>
    </row>
    <row r="69" spans="17:17" x14ac:dyDescent="0.25">
      <c r="Q69" s="1"/>
    </row>
    <row r="70" spans="17:17" x14ac:dyDescent="0.25">
      <c r="Q70" s="1"/>
    </row>
    <row r="71" spans="17:17" x14ac:dyDescent="0.25">
      <c r="Q71" s="1"/>
    </row>
    <row r="72" spans="17:17" x14ac:dyDescent="0.25">
      <c r="Q72" s="1"/>
    </row>
    <row r="73" spans="17:17" x14ac:dyDescent="0.25">
      <c r="Q73" s="1"/>
    </row>
    <row r="74" spans="17:17" x14ac:dyDescent="0.25">
      <c r="Q74" s="1"/>
    </row>
    <row r="75" spans="17:17" x14ac:dyDescent="0.25">
      <c r="Q75" s="1"/>
    </row>
    <row r="76" spans="17:17" x14ac:dyDescent="0.25">
      <c r="Q76" s="1"/>
    </row>
    <row r="77" spans="17:17" x14ac:dyDescent="0.25">
      <c r="Q77" s="1"/>
    </row>
    <row r="78" spans="17:17" x14ac:dyDescent="0.25">
      <c r="Q78" s="1"/>
    </row>
    <row r="79" spans="17:17" x14ac:dyDescent="0.25">
      <c r="Q79" s="1"/>
    </row>
    <row r="80" spans="17:17" x14ac:dyDescent="0.25">
      <c r="Q80" s="1"/>
    </row>
    <row r="81" spans="17:17" x14ac:dyDescent="0.25">
      <c r="Q81" s="1"/>
    </row>
    <row r="82" spans="17:17" x14ac:dyDescent="0.25">
      <c r="Q82" s="1"/>
    </row>
    <row r="83" spans="17:17" x14ac:dyDescent="0.25">
      <c r="Q83" s="1"/>
    </row>
    <row r="84" spans="17:17" x14ac:dyDescent="0.25">
      <c r="Q84" s="1"/>
    </row>
    <row r="85" spans="17:17" x14ac:dyDescent="0.25">
      <c r="Q85" s="1"/>
    </row>
    <row r="86" spans="17:17" x14ac:dyDescent="0.25">
      <c r="Q86" s="1"/>
    </row>
    <row r="87" spans="17:17" x14ac:dyDescent="0.25">
      <c r="Q87" s="1"/>
    </row>
    <row r="88" spans="17:17" x14ac:dyDescent="0.25">
      <c r="Q88" s="1"/>
    </row>
    <row r="89" spans="17:17" x14ac:dyDescent="0.25">
      <c r="Q89" s="1"/>
    </row>
    <row r="90" spans="17:17" x14ac:dyDescent="0.25">
      <c r="Q90" s="1"/>
    </row>
    <row r="91" spans="17:17" x14ac:dyDescent="0.25">
      <c r="Q91" s="1"/>
    </row>
    <row r="92" spans="17:17" x14ac:dyDescent="0.25">
      <c r="Q92" s="1"/>
    </row>
    <row r="93" spans="17:17" x14ac:dyDescent="0.25">
      <c r="Q93" s="1"/>
    </row>
    <row r="94" spans="17:17" x14ac:dyDescent="0.25">
      <c r="Q94" s="1"/>
    </row>
    <row r="95" spans="17:17" x14ac:dyDescent="0.25">
      <c r="Q95" s="1"/>
    </row>
    <row r="96" spans="17:17" x14ac:dyDescent="0.25">
      <c r="Q96" s="1"/>
    </row>
    <row r="97" spans="17:17" x14ac:dyDescent="0.25">
      <c r="Q97" s="1"/>
    </row>
    <row r="98" spans="17:17" x14ac:dyDescent="0.25">
      <c r="Q98" s="1"/>
    </row>
    <row r="99" spans="17:17" x14ac:dyDescent="0.25">
      <c r="Q99" s="1"/>
    </row>
    <row r="100" spans="17:17" x14ac:dyDescent="0.25">
      <c r="Q100" s="1"/>
    </row>
    <row r="101" spans="17:17" x14ac:dyDescent="0.25">
      <c r="Q101" s="1"/>
    </row>
    <row r="102" spans="17:17" x14ac:dyDescent="0.25">
      <c r="Q102" s="1"/>
    </row>
    <row r="103" spans="17:17" x14ac:dyDescent="0.25">
      <c r="Q103" s="1"/>
    </row>
    <row r="104" spans="17:17" x14ac:dyDescent="0.25">
      <c r="Q104" s="1"/>
    </row>
    <row r="105" spans="17:17" x14ac:dyDescent="0.25">
      <c r="Q105" s="1"/>
    </row>
    <row r="106" spans="17:17" x14ac:dyDescent="0.25">
      <c r="Q106" s="1"/>
    </row>
    <row r="107" spans="17:17" x14ac:dyDescent="0.25">
      <c r="Q107" s="1"/>
    </row>
    <row r="108" spans="17:17" x14ac:dyDescent="0.25">
      <c r="Q108" s="1"/>
    </row>
    <row r="109" spans="17:17" x14ac:dyDescent="0.25">
      <c r="Q109" s="1"/>
    </row>
    <row r="110" spans="17:17" x14ac:dyDescent="0.25">
      <c r="Q110" s="1"/>
    </row>
    <row r="111" spans="17:17" x14ac:dyDescent="0.25">
      <c r="Q111" s="1"/>
    </row>
    <row r="112" spans="17:17" x14ac:dyDescent="0.25">
      <c r="Q112" s="1"/>
    </row>
    <row r="113" spans="17:17" x14ac:dyDescent="0.25">
      <c r="Q113" s="1"/>
    </row>
    <row r="114" spans="17:17" x14ac:dyDescent="0.25">
      <c r="Q114" s="1"/>
    </row>
    <row r="115" spans="17:17" x14ac:dyDescent="0.25">
      <c r="Q115" s="1"/>
    </row>
    <row r="116" spans="17:17" x14ac:dyDescent="0.25">
      <c r="Q116" s="1"/>
    </row>
    <row r="117" spans="17:17" x14ac:dyDescent="0.25">
      <c r="Q117" s="1"/>
    </row>
    <row r="118" spans="17:17" x14ac:dyDescent="0.25">
      <c r="Q118" s="1"/>
    </row>
    <row r="119" spans="17:17" x14ac:dyDescent="0.25">
      <c r="Q119" s="1"/>
    </row>
    <row r="120" spans="17:17" x14ac:dyDescent="0.25">
      <c r="Q120" s="1"/>
    </row>
    <row r="121" spans="17:17" x14ac:dyDescent="0.25">
      <c r="Q121" s="1"/>
    </row>
    <row r="122" spans="17:17" x14ac:dyDescent="0.25">
      <c r="Q122" s="1"/>
    </row>
    <row r="123" spans="17:17" x14ac:dyDescent="0.25">
      <c r="Q123" s="1"/>
    </row>
    <row r="124" spans="17:17" x14ac:dyDescent="0.25">
      <c r="Q124" s="1"/>
    </row>
    <row r="125" spans="17:17" x14ac:dyDescent="0.25">
      <c r="Q125" s="1"/>
    </row>
    <row r="126" spans="17:17" x14ac:dyDescent="0.25">
      <c r="Q126" s="1"/>
    </row>
    <row r="127" spans="17:17" x14ac:dyDescent="0.25">
      <c r="Q127" s="1"/>
    </row>
    <row r="128" spans="17:17" x14ac:dyDescent="0.25">
      <c r="Q128" s="1"/>
    </row>
    <row r="129" spans="17:17" x14ac:dyDescent="0.25">
      <c r="Q129" s="1"/>
    </row>
    <row r="130" spans="17:17" x14ac:dyDescent="0.25">
      <c r="Q130" s="1"/>
    </row>
    <row r="131" spans="17:17" x14ac:dyDescent="0.25">
      <c r="Q131" s="1"/>
    </row>
    <row r="132" spans="17:17" x14ac:dyDescent="0.25">
      <c r="Q132" s="1"/>
    </row>
    <row r="133" spans="17:17" x14ac:dyDescent="0.25">
      <c r="Q133" s="1"/>
    </row>
    <row r="134" spans="17:17" x14ac:dyDescent="0.25">
      <c r="Q134" s="1"/>
    </row>
    <row r="135" spans="17:17" x14ac:dyDescent="0.25">
      <c r="Q135" s="1"/>
    </row>
    <row r="136" spans="17:17" x14ac:dyDescent="0.25">
      <c r="Q136" s="1"/>
    </row>
    <row r="137" spans="17:17" x14ac:dyDescent="0.25">
      <c r="Q137" s="1"/>
    </row>
    <row r="138" spans="17:17" x14ac:dyDescent="0.25">
      <c r="Q138" s="1"/>
    </row>
    <row r="139" spans="17:17" x14ac:dyDescent="0.25">
      <c r="Q139" s="1"/>
    </row>
    <row r="140" spans="17:17" x14ac:dyDescent="0.25">
      <c r="Q140" s="1"/>
    </row>
    <row r="141" spans="17:17" x14ac:dyDescent="0.25">
      <c r="Q141" s="1"/>
    </row>
    <row r="142" spans="17:17" x14ac:dyDescent="0.25">
      <c r="Q142" s="1"/>
    </row>
    <row r="143" spans="17:17" x14ac:dyDescent="0.25">
      <c r="Q143" s="1"/>
    </row>
    <row r="144" spans="17:17" x14ac:dyDescent="0.25">
      <c r="Q144" s="1"/>
    </row>
    <row r="145" spans="17:17" x14ac:dyDescent="0.25">
      <c r="Q145" s="1"/>
    </row>
    <row r="146" spans="17:17" x14ac:dyDescent="0.25">
      <c r="Q146" s="1"/>
    </row>
    <row r="147" spans="17:17" x14ac:dyDescent="0.25">
      <c r="Q147" s="1"/>
    </row>
    <row r="148" spans="17:17" x14ac:dyDescent="0.25">
      <c r="Q148" s="1"/>
    </row>
    <row r="149" spans="17:17" x14ac:dyDescent="0.25">
      <c r="Q149" s="1"/>
    </row>
    <row r="150" spans="17:17" x14ac:dyDescent="0.25">
      <c r="Q150" s="1"/>
    </row>
    <row r="151" spans="17:17" x14ac:dyDescent="0.25">
      <c r="Q151" s="1"/>
    </row>
    <row r="152" spans="17:17" x14ac:dyDescent="0.25">
      <c r="Q152" s="1"/>
    </row>
    <row r="153" spans="17:17" x14ac:dyDescent="0.25">
      <c r="Q153" s="1"/>
    </row>
    <row r="154" spans="17:17" x14ac:dyDescent="0.25">
      <c r="Q154" s="1"/>
    </row>
    <row r="155" spans="17:17" x14ac:dyDescent="0.25">
      <c r="Q155" s="1"/>
    </row>
    <row r="156" spans="17:17" x14ac:dyDescent="0.25">
      <c r="Q156" s="1"/>
    </row>
    <row r="157" spans="17:17" x14ac:dyDescent="0.25">
      <c r="Q157" s="1"/>
    </row>
    <row r="158" spans="17:17" x14ac:dyDescent="0.25">
      <c r="Q158" s="1"/>
    </row>
    <row r="159" spans="17:17" x14ac:dyDescent="0.25">
      <c r="Q159" s="1"/>
    </row>
    <row r="160" spans="17:17" x14ac:dyDescent="0.25">
      <c r="Q160" s="1"/>
    </row>
    <row r="161" spans="17:17" x14ac:dyDescent="0.25">
      <c r="Q161" s="1"/>
    </row>
    <row r="162" spans="17:17" x14ac:dyDescent="0.25">
      <c r="Q162" s="1"/>
    </row>
    <row r="163" spans="17:17" x14ac:dyDescent="0.25">
      <c r="Q163" s="1"/>
    </row>
    <row r="164" spans="17:17" x14ac:dyDescent="0.25">
      <c r="Q164" s="1"/>
    </row>
    <row r="165" spans="17:17" x14ac:dyDescent="0.25">
      <c r="Q165" s="1"/>
    </row>
    <row r="166" spans="17:17" x14ac:dyDescent="0.25">
      <c r="Q166" s="1"/>
    </row>
    <row r="167" spans="17:17" x14ac:dyDescent="0.25">
      <c r="Q167" s="1"/>
    </row>
    <row r="168" spans="17:17" x14ac:dyDescent="0.25">
      <c r="Q168" s="1"/>
    </row>
    <row r="169" spans="17:17" x14ac:dyDescent="0.25">
      <c r="Q169" s="1"/>
    </row>
    <row r="170" spans="17:17" x14ac:dyDescent="0.25">
      <c r="Q170" s="1"/>
    </row>
    <row r="171" spans="17:17" x14ac:dyDescent="0.25">
      <c r="Q171" s="1"/>
    </row>
    <row r="172" spans="17:17" x14ac:dyDescent="0.25">
      <c r="Q172" s="1"/>
    </row>
    <row r="173" spans="17:17" x14ac:dyDescent="0.25">
      <c r="Q173" s="1"/>
    </row>
    <row r="174" spans="17:17" x14ac:dyDescent="0.25">
      <c r="Q174" s="1"/>
    </row>
    <row r="175" spans="17:17" x14ac:dyDescent="0.25">
      <c r="Q175" s="1"/>
    </row>
    <row r="176" spans="17:17" x14ac:dyDescent="0.25">
      <c r="Q176" s="1"/>
    </row>
    <row r="177" spans="17:17" x14ac:dyDescent="0.25">
      <c r="Q177" s="1"/>
    </row>
    <row r="178" spans="17:17" x14ac:dyDescent="0.25">
      <c r="Q178" s="1"/>
    </row>
    <row r="179" spans="17:17" x14ac:dyDescent="0.25">
      <c r="Q179" s="1"/>
    </row>
    <row r="180" spans="17:17" x14ac:dyDescent="0.25">
      <c r="Q180" s="1"/>
    </row>
    <row r="181" spans="17:17" x14ac:dyDescent="0.25">
      <c r="Q181" s="1"/>
    </row>
    <row r="182" spans="17:17" x14ac:dyDescent="0.25">
      <c r="Q182" s="1"/>
    </row>
    <row r="183" spans="17:17" x14ac:dyDescent="0.25">
      <c r="Q183" s="1"/>
    </row>
    <row r="184" spans="17:17" x14ac:dyDescent="0.25">
      <c r="Q184" s="1"/>
    </row>
    <row r="185" spans="17:17" x14ac:dyDescent="0.25">
      <c r="Q185" s="1"/>
    </row>
    <row r="186" spans="17:17" x14ac:dyDescent="0.25">
      <c r="Q186" s="1"/>
    </row>
    <row r="187" spans="17:17" x14ac:dyDescent="0.25">
      <c r="Q187" s="1"/>
    </row>
    <row r="188" spans="17:17" x14ac:dyDescent="0.25">
      <c r="Q188" s="1"/>
    </row>
    <row r="189" spans="17:17" x14ac:dyDescent="0.25">
      <c r="Q189" s="1"/>
    </row>
    <row r="190" spans="17:17" x14ac:dyDescent="0.25">
      <c r="Q190" s="1"/>
    </row>
    <row r="191" spans="17:17" x14ac:dyDescent="0.25">
      <c r="Q191" s="1"/>
    </row>
    <row r="192" spans="17:17" x14ac:dyDescent="0.25">
      <c r="Q192" s="1"/>
    </row>
    <row r="193" spans="17:17" x14ac:dyDescent="0.25">
      <c r="Q193" s="1"/>
    </row>
    <row r="194" spans="17:17" x14ac:dyDescent="0.25">
      <c r="Q194" s="1"/>
    </row>
    <row r="195" spans="17:17" x14ac:dyDescent="0.25">
      <c r="Q195" s="1"/>
    </row>
    <row r="196" spans="17:17" x14ac:dyDescent="0.25">
      <c r="Q196" s="1"/>
    </row>
    <row r="197" spans="17:17" x14ac:dyDescent="0.25">
      <c r="Q197" s="1"/>
    </row>
    <row r="198" spans="17:17" x14ac:dyDescent="0.25">
      <c r="Q198" s="1"/>
    </row>
    <row r="199" spans="17:17" x14ac:dyDescent="0.25">
      <c r="Q199" s="1"/>
    </row>
    <row r="200" spans="17:17" x14ac:dyDescent="0.25">
      <c r="Q200" s="1"/>
    </row>
    <row r="201" spans="17:17" x14ac:dyDescent="0.25">
      <c r="Q201" s="1"/>
    </row>
    <row r="202" spans="17:17" x14ac:dyDescent="0.25">
      <c r="Q202" s="1"/>
    </row>
    <row r="203" spans="17:17" x14ac:dyDescent="0.25">
      <c r="Q203" s="1"/>
    </row>
    <row r="204" spans="17:17" x14ac:dyDescent="0.25">
      <c r="Q204" s="1"/>
    </row>
    <row r="205" spans="17:17" x14ac:dyDescent="0.25">
      <c r="Q205" s="1"/>
    </row>
    <row r="206" spans="17:17" x14ac:dyDescent="0.25">
      <c r="Q206" s="1"/>
    </row>
    <row r="207" spans="17:17" x14ac:dyDescent="0.25">
      <c r="Q207" s="1"/>
    </row>
    <row r="208" spans="17:17" x14ac:dyDescent="0.25">
      <c r="Q208" s="1"/>
    </row>
    <row r="209" spans="17:17" x14ac:dyDescent="0.25">
      <c r="Q209" s="1"/>
    </row>
    <row r="210" spans="17:17" x14ac:dyDescent="0.25">
      <c r="Q210" s="1"/>
    </row>
    <row r="211" spans="17:17" x14ac:dyDescent="0.25">
      <c r="Q211" s="1"/>
    </row>
    <row r="212" spans="17:17" x14ac:dyDescent="0.25">
      <c r="Q212" s="1"/>
    </row>
    <row r="213" spans="17:17" x14ac:dyDescent="0.25">
      <c r="Q213" s="1"/>
    </row>
    <row r="214" spans="17:17" x14ac:dyDescent="0.25">
      <c r="Q214" s="1"/>
    </row>
    <row r="215" spans="17:17" x14ac:dyDescent="0.25">
      <c r="Q215" s="1"/>
    </row>
    <row r="216" spans="17:17" x14ac:dyDescent="0.25">
      <c r="Q216" s="1"/>
    </row>
    <row r="217" spans="17:17" x14ac:dyDescent="0.25">
      <c r="Q217" s="1"/>
    </row>
    <row r="218" spans="17:17" x14ac:dyDescent="0.25">
      <c r="Q218" s="1"/>
    </row>
    <row r="219" spans="17:17" x14ac:dyDescent="0.25">
      <c r="Q219" s="1"/>
    </row>
    <row r="220" spans="17:17" x14ac:dyDescent="0.25">
      <c r="Q220" s="1"/>
    </row>
    <row r="221" spans="17:17" x14ac:dyDescent="0.25">
      <c r="Q221" s="1"/>
    </row>
    <row r="222" spans="17:17" x14ac:dyDescent="0.25">
      <c r="Q222" s="1"/>
    </row>
    <row r="223" spans="17:17" x14ac:dyDescent="0.25">
      <c r="Q223" s="1"/>
    </row>
    <row r="224" spans="17:17" x14ac:dyDescent="0.25">
      <c r="Q224" s="1"/>
    </row>
    <row r="225" spans="17:17" x14ac:dyDescent="0.25">
      <c r="Q225" s="1"/>
    </row>
    <row r="226" spans="17:17" x14ac:dyDescent="0.25">
      <c r="Q226" s="1"/>
    </row>
    <row r="227" spans="17:17" x14ac:dyDescent="0.25">
      <c r="Q227" s="1"/>
    </row>
    <row r="228" spans="17:17" x14ac:dyDescent="0.25">
      <c r="Q228" s="1"/>
    </row>
    <row r="229" spans="17:17" x14ac:dyDescent="0.25">
      <c r="Q229" s="1"/>
    </row>
    <row r="230" spans="17:17" x14ac:dyDescent="0.25">
      <c r="Q230" s="1"/>
    </row>
    <row r="231" spans="17:17" x14ac:dyDescent="0.25">
      <c r="Q231" s="1"/>
    </row>
    <row r="232" spans="17:17" x14ac:dyDescent="0.25">
      <c r="Q232" s="1"/>
    </row>
    <row r="233" spans="17:17" x14ac:dyDescent="0.25">
      <c r="Q233" s="1"/>
    </row>
    <row r="234" spans="17:17" x14ac:dyDescent="0.25">
      <c r="Q234" s="1"/>
    </row>
    <row r="235" spans="17:17" x14ac:dyDescent="0.25">
      <c r="Q235" s="1"/>
    </row>
    <row r="236" spans="17:17" x14ac:dyDescent="0.25">
      <c r="Q236" s="1"/>
    </row>
    <row r="237" spans="17:17" x14ac:dyDescent="0.25">
      <c r="Q237" s="1"/>
    </row>
    <row r="238" spans="17:17" x14ac:dyDescent="0.25">
      <c r="Q238" s="1"/>
    </row>
    <row r="239" spans="17:17" x14ac:dyDescent="0.25">
      <c r="Q239" s="1"/>
    </row>
    <row r="240" spans="17:17" x14ac:dyDescent="0.25">
      <c r="Q240" s="1"/>
    </row>
    <row r="241" spans="17:17" x14ac:dyDescent="0.25">
      <c r="Q241" s="1"/>
    </row>
    <row r="242" spans="17:17" x14ac:dyDescent="0.25">
      <c r="Q242" s="1"/>
    </row>
    <row r="243" spans="17:17" x14ac:dyDescent="0.25">
      <c r="Q243" s="1"/>
    </row>
    <row r="244" spans="17:17" x14ac:dyDescent="0.25">
      <c r="Q244" s="1"/>
    </row>
    <row r="245" spans="17:17" x14ac:dyDescent="0.25">
      <c r="Q245" s="1"/>
    </row>
    <row r="246" spans="17:17" x14ac:dyDescent="0.25">
      <c r="Q246" s="1"/>
    </row>
    <row r="247" spans="17:17" x14ac:dyDescent="0.25">
      <c r="Q247" s="1"/>
    </row>
    <row r="248" spans="17:17" x14ac:dyDescent="0.25">
      <c r="Q248" s="1"/>
    </row>
    <row r="249" spans="17:17" x14ac:dyDescent="0.25">
      <c r="Q249" s="1"/>
    </row>
    <row r="250" spans="17:17" x14ac:dyDescent="0.25">
      <c r="Q250" s="1"/>
    </row>
    <row r="251" spans="17:17" x14ac:dyDescent="0.25">
      <c r="Q251" s="1"/>
    </row>
    <row r="252" spans="17:17" x14ac:dyDescent="0.25">
      <c r="Q252" s="1"/>
    </row>
    <row r="253" spans="17:17" x14ac:dyDescent="0.25">
      <c r="Q253" s="1"/>
    </row>
    <row r="254" spans="17:17" x14ac:dyDescent="0.25">
      <c r="Q254" s="1"/>
    </row>
    <row r="255" spans="17:17" x14ac:dyDescent="0.25">
      <c r="Q255" s="1"/>
    </row>
    <row r="256" spans="17:17" x14ac:dyDescent="0.25">
      <c r="Q256" s="1"/>
    </row>
    <row r="257" spans="17:17" x14ac:dyDescent="0.25">
      <c r="Q257" s="1"/>
    </row>
    <row r="258" spans="17:17" x14ac:dyDescent="0.25">
      <c r="Q258" s="1"/>
    </row>
    <row r="259" spans="17:17" x14ac:dyDescent="0.25">
      <c r="Q259" s="1"/>
    </row>
    <row r="260" spans="17:17" x14ac:dyDescent="0.25">
      <c r="Q260" s="1"/>
    </row>
    <row r="261" spans="17:17" x14ac:dyDescent="0.25">
      <c r="Q261" s="1"/>
    </row>
    <row r="262" spans="17:17" x14ac:dyDescent="0.25">
      <c r="Q262" s="1"/>
    </row>
    <row r="263" spans="17:17" x14ac:dyDescent="0.25">
      <c r="Q263" s="1"/>
    </row>
    <row r="264" spans="17:17" x14ac:dyDescent="0.25">
      <c r="Q264" s="1"/>
    </row>
    <row r="265" spans="17:17" x14ac:dyDescent="0.25">
      <c r="Q265" s="1"/>
    </row>
    <row r="266" spans="17:17" x14ac:dyDescent="0.25">
      <c r="Q266" s="1"/>
    </row>
    <row r="267" spans="17:17" x14ac:dyDescent="0.25">
      <c r="Q267" s="1"/>
    </row>
    <row r="268" spans="17:17" x14ac:dyDescent="0.25">
      <c r="Q268" s="1"/>
    </row>
    <row r="269" spans="17:17" x14ac:dyDescent="0.25">
      <c r="Q269" s="1"/>
    </row>
    <row r="270" spans="17:17" x14ac:dyDescent="0.25">
      <c r="Q270" s="1"/>
    </row>
    <row r="271" spans="17:17" x14ac:dyDescent="0.25">
      <c r="Q271" s="1"/>
    </row>
    <row r="272" spans="17:17" x14ac:dyDescent="0.25">
      <c r="Q272" s="1"/>
    </row>
    <row r="273" spans="17:17" x14ac:dyDescent="0.25">
      <c r="Q273" s="1"/>
    </row>
    <row r="274" spans="17:17" x14ac:dyDescent="0.25">
      <c r="Q274" s="1"/>
    </row>
    <row r="275" spans="17:17" x14ac:dyDescent="0.25">
      <c r="Q275" s="1"/>
    </row>
    <row r="276" spans="17:17" x14ac:dyDescent="0.25">
      <c r="Q276" s="1"/>
    </row>
    <row r="277" spans="17:17" x14ac:dyDescent="0.25">
      <c r="Q277" s="1"/>
    </row>
    <row r="278" spans="17:17" x14ac:dyDescent="0.25">
      <c r="Q278" s="1"/>
    </row>
    <row r="279" spans="17:17" x14ac:dyDescent="0.25">
      <c r="Q279" s="1"/>
    </row>
    <row r="280" spans="17:17" x14ac:dyDescent="0.25">
      <c r="Q280" s="1"/>
    </row>
    <row r="281" spans="17:17" x14ac:dyDescent="0.25">
      <c r="Q281" s="1"/>
    </row>
    <row r="282" spans="17:17" x14ac:dyDescent="0.25">
      <c r="Q282" s="1"/>
    </row>
    <row r="283" spans="17:17" x14ac:dyDescent="0.25">
      <c r="Q283" s="1"/>
    </row>
    <row r="284" spans="17:17" x14ac:dyDescent="0.25">
      <c r="Q284" s="1"/>
    </row>
    <row r="285" spans="17:17" x14ac:dyDescent="0.25">
      <c r="Q285" s="1"/>
    </row>
    <row r="286" spans="17:17" x14ac:dyDescent="0.25">
      <c r="Q286" s="1"/>
    </row>
    <row r="287" spans="17:17" x14ac:dyDescent="0.25">
      <c r="Q287" s="1"/>
    </row>
    <row r="288" spans="17:17" x14ac:dyDescent="0.25">
      <c r="Q288" s="1"/>
    </row>
    <row r="289" spans="17:17" x14ac:dyDescent="0.25">
      <c r="Q289" s="1"/>
    </row>
    <row r="290" spans="17:17" x14ac:dyDescent="0.25">
      <c r="Q290" s="1"/>
    </row>
    <row r="291" spans="17:17" x14ac:dyDescent="0.25">
      <c r="Q291" s="1"/>
    </row>
    <row r="292" spans="17:17" x14ac:dyDescent="0.25">
      <c r="Q292" s="1"/>
    </row>
    <row r="293" spans="17:17" x14ac:dyDescent="0.25">
      <c r="Q293" s="1"/>
    </row>
    <row r="294" spans="17:17" x14ac:dyDescent="0.25">
      <c r="Q294" s="1"/>
    </row>
    <row r="295" spans="17:17" x14ac:dyDescent="0.25">
      <c r="Q295" s="1"/>
    </row>
    <row r="296" spans="17:17" x14ac:dyDescent="0.25">
      <c r="Q296" s="1"/>
    </row>
    <row r="297" spans="17:17" x14ac:dyDescent="0.25">
      <c r="Q297" s="1"/>
    </row>
    <row r="298" spans="17:17" x14ac:dyDescent="0.25">
      <c r="Q298" s="1"/>
    </row>
    <row r="299" spans="17:17" x14ac:dyDescent="0.25">
      <c r="Q299" s="1"/>
    </row>
    <row r="300" spans="17:17" x14ac:dyDescent="0.25">
      <c r="Q300" s="1"/>
    </row>
    <row r="301" spans="17:17" x14ac:dyDescent="0.25">
      <c r="Q301" s="1"/>
    </row>
    <row r="302" spans="17:17" x14ac:dyDescent="0.25">
      <c r="Q302" s="1"/>
    </row>
    <row r="303" spans="17:17" x14ac:dyDescent="0.25">
      <c r="Q303" s="1"/>
    </row>
    <row r="304" spans="17:17" x14ac:dyDescent="0.25">
      <c r="Q304" s="1"/>
    </row>
    <row r="305" spans="17:17" x14ac:dyDescent="0.25">
      <c r="Q305" s="1"/>
    </row>
    <row r="306" spans="17:17" x14ac:dyDescent="0.25">
      <c r="Q306" s="1"/>
    </row>
    <row r="307" spans="17:17" x14ac:dyDescent="0.25">
      <c r="Q307" s="1"/>
    </row>
    <row r="308" spans="17:17" x14ac:dyDescent="0.25">
      <c r="Q308" s="1"/>
    </row>
    <row r="309" spans="17:17" x14ac:dyDescent="0.25">
      <c r="Q309" s="1"/>
    </row>
    <row r="310" spans="17:17" x14ac:dyDescent="0.25">
      <c r="Q310" s="1"/>
    </row>
    <row r="311" spans="17:17" x14ac:dyDescent="0.25">
      <c r="Q311" s="1"/>
    </row>
    <row r="312" spans="17:17" x14ac:dyDescent="0.25">
      <c r="Q312" s="1"/>
    </row>
    <row r="313" spans="17:17" x14ac:dyDescent="0.25">
      <c r="Q313" s="1"/>
    </row>
    <row r="314" spans="17:17" x14ac:dyDescent="0.25">
      <c r="Q314" s="1"/>
    </row>
    <row r="315" spans="17:17" x14ac:dyDescent="0.25">
      <c r="Q315" s="1"/>
    </row>
    <row r="316" spans="17:17" x14ac:dyDescent="0.25">
      <c r="Q316" s="1"/>
    </row>
    <row r="317" spans="17:17" x14ac:dyDescent="0.25">
      <c r="Q317" s="1"/>
    </row>
    <row r="318" spans="17:17" x14ac:dyDescent="0.25">
      <c r="Q318" s="1"/>
    </row>
    <row r="319" spans="17:17" x14ac:dyDescent="0.25">
      <c r="Q319" s="1"/>
    </row>
    <row r="320" spans="17:17" x14ac:dyDescent="0.25">
      <c r="Q320" s="1"/>
    </row>
    <row r="321" spans="17:17" x14ac:dyDescent="0.25">
      <c r="Q321" s="1"/>
    </row>
    <row r="322" spans="17:17" x14ac:dyDescent="0.25">
      <c r="Q322" s="1"/>
    </row>
    <row r="323" spans="17:17" x14ac:dyDescent="0.25">
      <c r="Q323" s="1"/>
    </row>
    <row r="324" spans="17:17" x14ac:dyDescent="0.25">
      <c r="Q324" s="1"/>
    </row>
    <row r="325" spans="17:17" x14ac:dyDescent="0.25">
      <c r="Q325" s="1"/>
    </row>
    <row r="326" spans="17:17" x14ac:dyDescent="0.25">
      <c r="Q326" s="1"/>
    </row>
    <row r="327" spans="17:17" x14ac:dyDescent="0.25">
      <c r="Q327" s="1"/>
    </row>
    <row r="328" spans="17:17" x14ac:dyDescent="0.25">
      <c r="Q328" s="1"/>
    </row>
    <row r="329" spans="17:17" x14ac:dyDescent="0.25">
      <c r="Q329" s="1"/>
    </row>
    <row r="330" spans="17:17" x14ac:dyDescent="0.25">
      <c r="Q330" s="1"/>
    </row>
    <row r="331" spans="17:17" x14ac:dyDescent="0.25">
      <c r="Q331" s="1"/>
    </row>
    <row r="332" spans="17:17" x14ac:dyDescent="0.25">
      <c r="Q332" s="1"/>
    </row>
    <row r="333" spans="17:17" x14ac:dyDescent="0.25">
      <c r="Q333" s="1"/>
    </row>
    <row r="334" spans="17:17" x14ac:dyDescent="0.25">
      <c r="Q334" s="1"/>
    </row>
    <row r="335" spans="17:17" x14ac:dyDescent="0.25">
      <c r="Q335" s="1"/>
    </row>
    <row r="336" spans="17:17" x14ac:dyDescent="0.25">
      <c r="Q336" s="1"/>
    </row>
    <row r="337" spans="17:17" x14ac:dyDescent="0.25">
      <c r="Q337" s="1"/>
    </row>
    <row r="338" spans="17:17" x14ac:dyDescent="0.25">
      <c r="Q338" s="1"/>
    </row>
    <row r="339" spans="17:17" x14ac:dyDescent="0.25">
      <c r="Q339" s="1"/>
    </row>
    <row r="340" spans="17:17" x14ac:dyDescent="0.25">
      <c r="Q340" s="1"/>
    </row>
    <row r="341" spans="17:17" x14ac:dyDescent="0.25">
      <c r="Q341" s="1"/>
    </row>
    <row r="342" spans="17:17" x14ac:dyDescent="0.25">
      <c r="Q342" s="1"/>
    </row>
    <row r="343" spans="17:17" x14ac:dyDescent="0.25">
      <c r="Q343" s="1"/>
    </row>
    <row r="344" spans="17:17" x14ac:dyDescent="0.25">
      <c r="Q344" s="1"/>
    </row>
    <row r="345" spans="17:17" x14ac:dyDescent="0.25">
      <c r="Q345" s="1"/>
    </row>
    <row r="346" spans="17:17" x14ac:dyDescent="0.25">
      <c r="Q346" s="1"/>
    </row>
    <row r="347" spans="17:17" x14ac:dyDescent="0.25">
      <c r="Q347" s="1"/>
    </row>
    <row r="348" spans="17:17" x14ac:dyDescent="0.25">
      <c r="Q348" s="1"/>
    </row>
    <row r="349" spans="17:17" x14ac:dyDescent="0.25">
      <c r="Q349" s="1"/>
    </row>
    <row r="350" spans="17:17" x14ac:dyDescent="0.25">
      <c r="Q350" s="1"/>
    </row>
    <row r="351" spans="17:17" x14ac:dyDescent="0.25">
      <c r="Q351" s="1"/>
    </row>
    <row r="352" spans="17:17" x14ac:dyDescent="0.25">
      <c r="Q352" s="1"/>
    </row>
    <row r="353" spans="17:17" x14ac:dyDescent="0.25">
      <c r="Q353" s="1"/>
    </row>
    <row r="354" spans="17:17" x14ac:dyDescent="0.25">
      <c r="Q354" s="1"/>
    </row>
    <row r="355" spans="17:17" x14ac:dyDescent="0.25">
      <c r="Q355" s="1"/>
    </row>
    <row r="356" spans="17:17" x14ac:dyDescent="0.25">
      <c r="Q356" s="1"/>
    </row>
    <row r="357" spans="17:17" x14ac:dyDescent="0.25">
      <c r="Q357" s="1"/>
    </row>
    <row r="358" spans="17:17" x14ac:dyDescent="0.25">
      <c r="Q358" s="1"/>
    </row>
    <row r="359" spans="17:17" x14ac:dyDescent="0.25">
      <c r="Q359" s="1"/>
    </row>
    <row r="360" spans="17:17" x14ac:dyDescent="0.25">
      <c r="Q360" s="1"/>
    </row>
    <row r="361" spans="17:17" x14ac:dyDescent="0.25">
      <c r="Q361" s="1"/>
    </row>
    <row r="362" spans="17:17" x14ac:dyDescent="0.25">
      <c r="Q362" s="1"/>
    </row>
    <row r="363" spans="17:17" x14ac:dyDescent="0.25">
      <c r="Q363" s="1"/>
    </row>
    <row r="364" spans="17:17" x14ac:dyDescent="0.25">
      <c r="Q364" s="1"/>
    </row>
    <row r="365" spans="17:17" x14ac:dyDescent="0.25">
      <c r="Q365" s="1"/>
    </row>
    <row r="366" spans="17:17" x14ac:dyDescent="0.25">
      <c r="Q366" s="1"/>
    </row>
    <row r="367" spans="17:17" x14ac:dyDescent="0.25">
      <c r="Q367" s="1"/>
    </row>
    <row r="368" spans="17:17" x14ac:dyDescent="0.25">
      <c r="Q368" s="1"/>
    </row>
    <row r="369" spans="17:17" x14ac:dyDescent="0.25">
      <c r="Q369" s="1"/>
    </row>
    <row r="370" spans="17:17" x14ac:dyDescent="0.25">
      <c r="Q370" s="1"/>
    </row>
    <row r="371" spans="17:17" x14ac:dyDescent="0.25">
      <c r="Q371" s="1"/>
    </row>
    <row r="372" spans="17:17" x14ac:dyDescent="0.25">
      <c r="Q372" s="1"/>
    </row>
    <row r="373" spans="17:17" x14ac:dyDescent="0.25">
      <c r="Q373" s="1"/>
    </row>
    <row r="374" spans="17:17" x14ac:dyDescent="0.25">
      <c r="Q374" s="1"/>
    </row>
    <row r="375" spans="17:17" x14ac:dyDescent="0.25">
      <c r="Q375" s="1"/>
    </row>
    <row r="376" spans="17:17" x14ac:dyDescent="0.25">
      <c r="Q376" s="1"/>
    </row>
    <row r="377" spans="17:17" x14ac:dyDescent="0.25">
      <c r="Q377" s="1"/>
    </row>
    <row r="378" spans="17:17" x14ac:dyDescent="0.25">
      <c r="Q378" s="1"/>
    </row>
    <row r="379" spans="17:17" x14ac:dyDescent="0.25">
      <c r="Q379" s="1"/>
    </row>
    <row r="380" spans="17:17" x14ac:dyDescent="0.25">
      <c r="Q380" s="1"/>
    </row>
    <row r="381" spans="17:17" x14ac:dyDescent="0.25">
      <c r="Q381" s="1"/>
    </row>
    <row r="382" spans="17:17" x14ac:dyDescent="0.25">
      <c r="Q382" s="1"/>
    </row>
    <row r="383" spans="17:17" x14ac:dyDescent="0.25">
      <c r="Q383" s="1"/>
    </row>
    <row r="384" spans="17:17" x14ac:dyDescent="0.25">
      <c r="Q384" s="1"/>
    </row>
    <row r="385" spans="17:17" x14ac:dyDescent="0.25">
      <c r="Q385" s="1"/>
    </row>
    <row r="386" spans="17:17" x14ac:dyDescent="0.25">
      <c r="Q386" s="1"/>
    </row>
    <row r="387" spans="17:17" x14ac:dyDescent="0.25">
      <c r="Q387" s="1"/>
    </row>
    <row r="388" spans="17:17" x14ac:dyDescent="0.25">
      <c r="Q388" s="1"/>
    </row>
    <row r="389" spans="17:17" x14ac:dyDescent="0.25">
      <c r="Q389" s="1"/>
    </row>
    <row r="390" spans="17:17" x14ac:dyDescent="0.25">
      <c r="Q390" s="1"/>
    </row>
    <row r="391" spans="17:17" x14ac:dyDescent="0.25">
      <c r="Q391" s="1"/>
    </row>
    <row r="392" spans="17:17" x14ac:dyDescent="0.25">
      <c r="Q392" s="1"/>
    </row>
    <row r="393" spans="17:17" x14ac:dyDescent="0.25">
      <c r="Q393" s="1"/>
    </row>
    <row r="394" spans="17:17" x14ac:dyDescent="0.25">
      <c r="Q394" s="1"/>
    </row>
    <row r="395" spans="17:17" x14ac:dyDescent="0.25">
      <c r="Q395" s="1"/>
    </row>
    <row r="396" spans="17:17" x14ac:dyDescent="0.25">
      <c r="Q396" s="1"/>
    </row>
    <row r="397" spans="17:17" x14ac:dyDescent="0.25">
      <c r="Q397" s="1"/>
    </row>
    <row r="398" spans="17:17" x14ac:dyDescent="0.25">
      <c r="Q398" s="1"/>
    </row>
    <row r="399" spans="17:17" x14ac:dyDescent="0.25">
      <c r="Q399" s="1"/>
    </row>
    <row r="400" spans="17:17" x14ac:dyDescent="0.25">
      <c r="Q400" s="1"/>
    </row>
    <row r="401" spans="17:17" x14ac:dyDescent="0.25">
      <c r="Q401" s="1"/>
    </row>
    <row r="402" spans="17:17" x14ac:dyDescent="0.25">
      <c r="Q402" s="1"/>
    </row>
    <row r="403" spans="17:17" x14ac:dyDescent="0.25">
      <c r="Q403" s="1"/>
    </row>
  </sheetData>
  <mergeCells count="3">
    <mergeCell ref="B1:C1"/>
    <mergeCell ref="B27:B28"/>
    <mergeCell ref="C27:C28"/>
  </mergeCells>
  <conditionalFormatting sqref="A4">
    <cfRule type="expression" dxfId="75" priority="1">
      <formula>AND($A4&lt;&gt;"",$F4="INACTIVE")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Drop Down 3">
              <controlPr defaultSize="0" autoLine="0" autoPict="0">
                <anchor moveWithCells="1">
                  <from>
                    <xdr:col>2</xdr:col>
                    <xdr:colOff>457200</xdr:colOff>
                    <xdr:row>26</xdr:row>
                    <xdr:rowOff>38100</xdr:rowOff>
                  </from>
                  <to>
                    <xdr:col>3</xdr:col>
                    <xdr:colOff>1295400</xdr:colOff>
                    <xdr:row>27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7030A0"/>
  </sheetPr>
  <dimension ref="A1:AW1842"/>
  <sheetViews>
    <sheetView tabSelected="1" topLeftCell="A316" zoomScale="115" zoomScaleNormal="115" workbookViewId="0">
      <selection activeCell="D343" sqref="D343"/>
    </sheetView>
  </sheetViews>
  <sheetFormatPr defaultColWidth="9.140625" defaultRowHeight="15" x14ac:dyDescent="0.25"/>
  <cols>
    <col min="1" max="1" width="16.140625" bestFit="1" customWidth="1"/>
    <col min="2" max="2" width="17.28515625" bestFit="1" customWidth="1"/>
    <col min="3" max="3" width="20.7109375" bestFit="1" customWidth="1"/>
    <col min="4" max="4" width="11.85546875" bestFit="1" customWidth="1"/>
    <col min="5" max="5" width="15.42578125" style="8" bestFit="1" customWidth="1"/>
    <col min="6" max="6" width="13" style="23" customWidth="1"/>
    <col min="7" max="7" width="9.140625" style="129"/>
    <col min="8" max="10" width="13.28515625" style="129" customWidth="1"/>
    <col min="11" max="12" width="13.140625" style="129" customWidth="1"/>
    <col min="13" max="14" width="11.28515625" style="129" customWidth="1"/>
    <col min="15" max="17" width="15.28515625" style="129" customWidth="1"/>
    <col min="18" max="18" width="18.28515625" style="129" bestFit="1" customWidth="1"/>
    <col min="19" max="19" width="20.28515625" style="129" bestFit="1" customWidth="1"/>
    <col min="20" max="37" width="13.140625" style="129" bestFit="1" customWidth="1"/>
    <col min="38" max="38" width="11.28515625" style="129" bestFit="1" customWidth="1"/>
    <col min="39" max="16384" width="9.140625" style="129"/>
  </cols>
  <sheetData>
    <row r="1" spans="1:49" ht="15.75" thickBot="1" x14ac:dyDescent="0.3">
      <c r="A1" s="43" t="s">
        <v>37</v>
      </c>
      <c r="B1" s="44" t="s">
        <v>10</v>
      </c>
      <c r="C1" s="44" t="s">
        <v>11</v>
      </c>
      <c r="D1" s="45" t="s">
        <v>38</v>
      </c>
      <c r="E1" s="46" t="s">
        <v>5</v>
      </c>
      <c r="F1" s="7"/>
    </row>
    <row r="2" spans="1:49" ht="15" customHeight="1" thickTop="1" thickBot="1" x14ac:dyDescent="0.3">
      <c r="A2" s="47" t="str">
        <f t="shared" ref="A2" si="0">B2&amp;D2</f>
        <v>Emp_001444440</v>
      </c>
      <c r="B2" s="48" t="str">
        <f>IFERROR(INDEX(AttendanceSheet!$B$7:$B100,MATCH('Mark Leave'!C2,AttendanceSheet!$C$7:$C100,0)),"")</f>
        <v>Emp_0014</v>
      </c>
      <c r="C2" s="48" t="s">
        <v>25</v>
      </c>
      <c r="D2" s="49">
        <v>44440</v>
      </c>
      <c r="E2" s="40" t="s">
        <v>89</v>
      </c>
      <c r="F2"/>
      <c r="I2" s="130"/>
      <c r="J2" s="130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</row>
    <row r="3" spans="1:49" ht="15" customHeight="1" thickTop="1" thickBot="1" x14ac:dyDescent="0.3">
      <c r="A3" s="47" t="str">
        <f t="shared" ref="A3:A4" si="1">B3&amp;D3</f>
        <v>Emp_001444441</v>
      </c>
      <c r="B3" s="48" t="str">
        <f>IFERROR(INDEX(AttendanceSheet!$B$7:$B101,MATCH('Mark Leave'!C3,AttendanceSheet!$C$7:$C101,0)),"")</f>
        <v>Emp_0014</v>
      </c>
      <c r="C3" s="48" t="s">
        <v>25</v>
      </c>
      <c r="D3" s="49">
        <v>44441</v>
      </c>
      <c r="E3" s="40" t="s">
        <v>89</v>
      </c>
      <c r="F3"/>
      <c r="H3" s="130"/>
      <c r="I3" s="130"/>
      <c r="J3" s="130"/>
      <c r="K3" s="131"/>
      <c r="L3" s="131"/>
      <c r="M3" s="131"/>
      <c r="N3" s="131"/>
      <c r="O3" s="131"/>
      <c r="P3" s="131"/>
    </row>
    <row r="4" spans="1:49" ht="16.5" customHeight="1" thickTop="1" thickBot="1" x14ac:dyDescent="0.3">
      <c r="A4" s="47" t="str">
        <f t="shared" si="1"/>
        <v>Emp_001544440</v>
      </c>
      <c r="B4" s="48" t="str">
        <f>IFERROR(INDEX(AttendanceSheet!$B$7:$B102,MATCH('Mark Leave'!C4,AttendanceSheet!$C$7:$C102,0)),"")</f>
        <v>Emp_0015</v>
      </c>
      <c r="C4" s="48" t="s">
        <v>27</v>
      </c>
      <c r="D4" s="49">
        <v>44440</v>
      </c>
      <c r="E4" s="40" t="s">
        <v>89</v>
      </c>
      <c r="F4"/>
      <c r="G4" s="266" t="s">
        <v>187</v>
      </c>
      <c r="H4" s="266"/>
      <c r="I4" s="266"/>
      <c r="J4" s="130"/>
      <c r="K4" s="132"/>
      <c r="L4" s="132"/>
      <c r="M4" s="132"/>
      <c r="N4" s="132"/>
      <c r="O4" s="132"/>
    </row>
    <row r="5" spans="1:49" ht="15" customHeight="1" thickTop="1" thickBot="1" x14ac:dyDescent="0.3">
      <c r="A5" s="47" t="str">
        <f t="shared" ref="A5:A7" si="2">B5&amp;D5</f>
        <v>Emp_001544441</v>
      </c>
      <c r="B5" s="48" t="str">
        <f>IFERROR(INDEX(AttendanceSheet!$B$7:$B103,MATCH('Mark Leave'!C5,AttendanceSheet!$C$7:$C103,0)),"")</f>
        <v>Emp_0015</v>
      </c>
      <c r="C5" s="48" t="s">
        <v>27</v>
      </c>
      <c r="D5" s="49">
        <v>44441</v>
      </c>
      <c r="E5" s="40" t="s">
        <v>89</v>
      </c>
      <c r="F5"/>
      <c r="G5" s="266"/>
      <c r="H5" s="266"/>
      <c r="I5" s="266"/>
      <c r="J5" s="130"/>
      <c r="K5" s="132"/>
      <c r="L5" s="132"/>
      <c r="M5" s="132"/>
      <c r="N5" s="132"/>
      <c r="O5" s="132"/>
    </row>
    <row r="6" spans="1:49" ht="15" customHeight="1" thickTop="1" thickBot="1" x14ac:dyDescent="0.3">
      <c r="A6" s="47" t="str">
        <f t="shared" si="2"/>
        <v>Emp_001544442</v>
      </c>
      <c r="B6" s="48" t="str">
        <f>IFERROR(INDEX(AttendanceSheet!$B$7:$B104,MATCH('Mark Leave'!C6,AttendanceSheet!$C$7:$C104,0)),"")</f>
        <v>Emp_0015</v>
      </c>
      <c r="C6" s="48" t="s">
        <v>27</v>
      </c>
      <c r="D6" s="49">
        <v>44442</v>
      </c>
      <c r="E6" s="40" t="s">
        <v>89</v>
      </c>
      <c r="F6"/>
      <c r="G6" s="266"/>
      <c r="H6" s="266"/>
      <c r="I6" s="266"/>
      <c r="J6" s="130"/>
      <c r="K6" s="132"/>
      <c r="L6" s="132"/>
      <c r="M6" s="132"/>
      <c r="N6" s="132"/>
      <c r="O6" s="132"/>
    </row>
    <row r="7" spans="1:49" ht="15" customHeight="1" thickTop="1" thickBot="1" x14ac:dyDescent="0.3">
      <c r="A7" s="47" t="str">
        <f t="shared" si="2"/>
        <v>Emp_001544443</v>
      </c>
      <c r="B7" s="48" t="str">
        <f>IFERROR(INDEX(AttendanceSheet!$B$7:$B105,MATCH('Mark Leave'!C7,AttendanceSheet!$C$7:$C105,0)),"")</f>
        <v>Emp_0015</v>
      </c>
      <c r="C7" s="48" t="s">
        <v>27</v>
      </c>
      <c r="D7" s="49">
        <v>44443</v>
      </c>
      <c r="E7" s="40" t="s">
        <v>89</v>
      </c>
      <c r="F7"/>
      <c r="G7" s="266"/>
      <c r="H7" s="266"/>
      <c r="I7" s="266"/>
      <c r="J7" s="130"/>
    </row>
    <row r="8" spans="1:49" ht="15" customHeight="1" thickTop="1" thickBot="1" x14ac:dyDescent="0.3">
      <c r="A8" s="47" t="str">
        <f t="shared" ref="A8:A30" si="3">B8&amp;D8</f>
        <v>Emp_001944440</v>
      </c>
      <c r="B8" s="48" t="str">
        <f>IFERROR(INDEX(AttendanceSheet!$B$7:$B106,MATCH('Mark Leave'!C8,AttendanceSheet!$C$7:$C106,0)),"")</f>
        <v>Emp_0019</v>
      </c>
      <c r="C8" s="38" t="s">
        <v>90</v>
      </c>
      <c r="D8" s="49">
        <v>44440</v>
      </c>
      <c r="E8" s="40" t="s">
        <v>89</v>
      </c>
      <c r="F8"/>
      <c r="G8" s="266"/>
      <c r="H8" s="266"/>
      <c r="I8" s="266"/>
    </row>
    <row r="9" spans="1:49" ht="16.5" customHeight="1" thickTop="1" thickBot="1" x14ac:dyDescent="0.3">
      <c r="A9" s="47" t="str">
        <f t="shared" si="3"/>
        <v>Emp_001344440</v>
      </c>
      <c r="B9" s="48" t="str">
        <f>IFERROR(INDEX(AttendanceSheet!$B$7:$B107,MATCH('Mark Leave'!C9,AttendanceSheet!$C$7:$C107,0)),"")</f>
        <v>Emp_0013</v>
      </c>
      <c r="C9" s="38" t="s">
        <v>91</v>
      </c>
      <c r="D9" s="49">
        <v>44440</v>
      </c>
      <c r="E9" s="40" t="s">
        <v>89</v>
      </c>
      <c r="F9"/>
      <c r="G9" s="134"/>
      <c r="H9" s="134"/>
      <c r="I9" s="134"/>
    </row>
    <row r="10" spans="1:49" ht="15" customHeight="1" thickTop="1" thickBot="1" x14ac:dyDescent="0.3">
      <c r="A10" s="47" t="str">
        <f t="shared" si="3"/>
        <v>Emp_001844440</v>
      </c>
      <c r="B10" s="48" t="str">
        <f>IFERROR(INDEX(AttendanceSheet!$B$7:$B108,MATCH('Mark Leave'!C10,AttendanceSheet!$C$7:$C108,0)),"")</f>
        <v>Emp_0018</v>
      </c>
      <c r="C10" s="38" t="s">
        <v>93</v>
      </c>
      <c r="D10" s="49">
        <v>44440</v>
      </c>
      <c r="E10" s="40" t="s">
        <v>89</v>
      </c>
      <c r="F10"/>
      <c r="G10" s="134"/>
      <c r="H10" s="134"/>
      <c r="I10" s="134"/>
    </row>
    <row r="11" spans="1:49" ht="15" customHeight="1" thickTop="1" thickBot="1" x14ac:dyDescent="0.3">
      <c r="A11" s="47" t="str">
        <f t="shared" si="3"/>
        <v>Emp_001744440</v>
      </c>
      <c r="B11" s="48" t="str">
        <f>IFERROR(INDEX(AttendanceSheet!$B$7:$B109,MATCH('Mark Leave'!C11,AttendanceSheet!$C$7:$C109,0)),"")</f>
        <v>Emp_0017</v>
      </c>
      <c r="C11" s="38" t="s">
        <v>94</v>
      </c>
      <c r="D11" s="49">
        <v>44440</v>
      </c>
      <c r="E11" s="40" t="s">
        <v>89</v>
      </c>
      <c r="F11"/>
      <c r="G11" s="134"/>
      <c r="H11" s="134"/>
      <c r="I11" s="134"/>
    </row>
    <row r="12" spans="1:49" ht="16.5" customHeight="1" thickTop="1" thickBot="1" x14ac:dyDescent="0.3">
      <c r="A12" s="47" t="str">
        <f t="shared" si="3"/>
        <v>Emp_001744441</v>
      </c>
      <c r="B12" s="48" t="str">
        <f>IFERROR(INDEX(AttendanceSheet!$B$7:$B110,MATCH('Mark Leave'!C12,AttendanceSheet!$C$7:$C110,0)),"")</f>
        <v>Emp_0017</v>
      </c>
      <c r="C12" s="38" t="s">
        <v>94</v>
      </c>
      <c r="D12" s="49">
        <v>44441</v>
      </c>
      <c r="E12" s="40" t="s">
        <v>89</v>
      </c>
      <c r="F12"/>
      <c r="G12" s="134"/>
      <c r="H12" s="134"/>
      <c r="I12" s="134"/>
    </row>
    <row r="13" spans="1:49" ht="16.5" customHeight="1" thickTop="1" thickBot="1" x14ac:dyDescent="0.3">
      <c r="A13" s="47" t="str">
        <f t="shared" si="3"/>
        <v>Emp_001744442</v>
      </c>
      <c r="B13" s="48" t="str">
        <f>IFERROR(INDEX(AttendanceSheet!$B$7:$B111,MATCH('Mark Leave'!C13,AttendanceSheet!$C$7:$C111,0)),"")</f>
        <v>Emp_0017</v>
      </c>
      <c r="C13" s="38" t="s">
        <v>94</v>
      </c>
      <c r="D13" s="49">
        <v>44442</v>
      </c>
      <c r="E13" s="40" t="s">
        <v>89</v>
      </c>
      <c r="F13"/>
      <c r="G13" s="134"/>
      <c r="H13" s="134"/>
      <c r="I13" s="134"/>
    </row>
    <row r="14" spans="1:49" ht="16.5" customHeight="1" thickTop="1" thickBot="1" x14ac:dyDescent="0.3">
      <c r="A14" s="47" t="str">
        <f t="shared" si="3"/>
        <v>Emp_000244440</v>
      </c>
      <c r="B14" s="48" t="str">
        <f>IFERROR(INDEX(AttendanceSheet!$B$7:$B112,MATCH('Mark Leave'!C14,AttendanceSheet!$C$7:$C112,0)),"")</f>
        <v>Emp_0002</v>
      </c>
      <c r="C14" s="38" t="s">
        <v>95</v>
      </c>
      <c r="D14" s="49">
        <v>44440</v>
      </c>
      <c r="E14" s="40" t="s">
        <v>42</v>
      </c>
      <c r="F14"/>
      <c r="G14" s="134"/>
      <c r="H14" s="134"/>
      <c r="I14" s="134"/>
    </row>
    <row r="15" spans="1:49" ht="15" customHeight="1" thickTop="1" thickBot="1" x14ac:dyDescent="0.3">
      <c r="A15" s="47" t="str">
        <f t="shared" si="3"/>
        <v>Emp_000544440</v>
      </c>
      <c r="B15" s="48" t="str">
        <f>IFERROR(INDEX(AttendanceSheet!$B$7:$B113,MATCH('Mark Leave'!C15,AttendanceSheet!$C$7:$C113,0)),"")</f>
        <v>Emp_0005</v>
      </c>
      <c r="C15" s="38" t="s">
        <v>96</v>
      </c>
      <c r="D15" s="49">
        <v>44440</v>
      </c>
      <c r="E15" s="40" t="s">
        <v>42</v>
      </c>
      <c r="F15"/>
      <c r="G15" s="134"/>
      <c r="H15" s="134"/>
      <c r="I15" s="134"/>
    </row>
    <row r="16" spans="1:49" ht="15" customHeight="1" thickTop="1" thickBot="1" x14ac:dyDescent="0.3">
      <c r="A16" s="47" t="str">
        <f t="shared" si="3"/>
        <v>Emp_000144440</v>
      </c>
      <c r="B16" s="48" t="str">
        <f>IFERROR(INDEX(AttendanceSheet!$B$7:$B114,MATCH('Mark Leave'!C16,AttendanceSheet!$C$7:$C114,0)),"")</f>
        <v>Emp_0001</v>
      </c>
      <c r="C16" s="38" t="s">
        <v>97</v>
      </c>
      <c r="D16" s="49">
        <v>44440</v>
      </c>
      <c r="E16" s="40" t="s">
        <v>89</v>
      </c>
      <c r="F16"/>
      <c r="H16" s="133"/>
    </row>
    <row r="17" spans="1:8" ht="16.5" customHeight="1" thickTop="1" thickBot="1" x14ac:dyDescent="0.3">
      <c r="A17" s="47" t="str">
        <f t="shared" si="3"/>
        <v>Emp_000144441</v>
      </c>
      <c r="B17" s="48" t="str">
        <f>IFERROR(INDEX(AttendanceSheet!$B$7:$B115,MATCH('Mark Leave'!C17,AttendanceSheet!$C$7:$C115,0)),"")</f>
        <v>Emp_0001</v>
      </c>
      <c r="C17" s="38" t="s">
        <v>97</v>
      </c>
      <c r="D17" s="49">
        <v>44441</v>
      </c>
      <c r="E17" s="40" t="s">
        <v>89</v>
      </c>
      <c r="F17"/>
      <c r="H17" s="133"/>
    </row>
    <row r="18" spans="1:8" ht="15" customHeight="1" thickTop="1" thickBot="1" x14ac:dyDescent="0.3">
      <c r="A18" s="47" t="str">
        <f t="shared" si="3"/>
        <v>Emp_002044440</v>
      </c>
      <c r="B18" s="48" t="str">
        <f>IFERROR(INDEX(AttendanceSheet!$B$7:$B116,MATCH('Mark Leave'!C18,AttendanceSheet!$C$7:$C116,0)),"")</f>
        <v>Emp_0020</v>
      </c>
      <c r="C18" s="38" t="s">
        <v>98</v>
      </c>
      <c r="D18" s="49">
        <v>44440</v>
      </c>
      <c r="E18" s="40" t="s">
        <v>89</v>
      </c>
      <c r="F18"/>
      <c r="H18" s="133"/>
    </row>
    <row r="19" spans="1:8" ht="15" customHeight="1" thickTop="1" thickBot="1" x14ac:dyDescent="0.3">
      <c r="A19" s="47" t="str">
        <f t="shared" si="3"/>
        <v>Emp_002044441</v>
      </c>
      <c r="B19" s="48" t="str">
        <f>IFERROR(INDEX(AttendanceSheet!$B$7:$B117,MATCH('Mark Leave'!C19,AttendanceSheet!$C$7:$C117,0)),"")</f>
        <v>Emp_0020</v>
      </c>
      <c r="C19" s="38" t="s">
        <v>98</v>
      </c>
      <c r="D19" s="49">
        <v>44441</v>
      </c>
      <c r="E19" s="40" t="s">
        <v>89</v>
      </c>
      <c r="F19"/>
      <c r="H19" s="133"/>
    </row>
    <row r="20" spans="1:8" ht="15" customHeight="1" thickTop="1" thickBot="1" x14ac:dyDescent="0.3">
      <c r="A20" s="47" t="str">
        <f t="shared" si="3"/>
        <v>Emp_002044442</v>
      </c>
      <c r="B20" s="48" t="str">
        <f>IFERROR(INDEX(AttendanceSheet!$B$7:$B118,MATCH('Mark Leave'!C20,AttendanceSheet!$C$7:$C118,0)),"")</f>
        <v>Emp_0020</v>
      </c>
      <c r="C20" s="38" t="s">
        <v>98</v>
      </c>
      <c r="D20" s="49">
        <v>44442</v>
      </c>
      <c r="E20" s="40" t="s">
        <v>89</v>
      </c>
      <c r="F20"/>
      <c r="H20" s="133"/>
    </row>
    <row r="21" spans="1:8" ht="15" customHeight="1" thickTop="1" thickBot="1" x14ac:dyDescent="0.3">
      <c r="A21" s="47" t="str">
        <f t="shared" si="3"/>
        <v>Emp_002044443</v>
      </c>
      <c r="B21" s="48" t="str">
        <f>IFERROR(INDEX(AttendanceSheet!$B$7:$B119,MATCH('Mark Leave'!C21,AttendanceSheet!$C$7:$C119,0)),"")</f>
        <v>Emp_0020</v>
      </c>
      <c r="C21" s="38" t="s">
        <v>98</v>
      </c>
      <c r="D21" s="49">
        <v>44443</v>
      </c>
      <c r="E21" s="40" t="s">
        <v>89</v>
      </c>
      <c r="F21"/>
      <c r="H21" s="133"/>
    </row>
    <row r="22" spans="1:8" ht="16.5" customHeight="1" thickTop="1" thickBot="1" x14ac:dyDescent="0.3">
      <c r="A22" s="47" t="str">
        <f t="shared" si="3"/>
        <v>Emp_002044445</v>
      </c>
      <c r="B22" s="48" t="str">
        <f>IFERROR(INDEX(AttendanceSheet!$B$7:$B120,MATCH('Mark Leave'!C22,AttendanceSheet!$C$7:$C120,0)),"")</f>
        <v>Emp_0020</v>
      </c>
      <c r="C22" s="38" t="s">
        <v>98</v>
      </c>
      <c r="D22" s="49">
        <v>44445</v>
      </c>
      <c r="E22" s="40" t="s">
        <v>89</v>
      </c>
      <c r="F22"/>
      <c r="H22" s="133"/>
    </row>
    <row r="23" spans="1:8" ht="15" customHeight="1" thickTop="1" thickBot="1" x14ac:dyDescent="0.3">
      <c r="A23" s="47" t="str">
        <f t="shared" si="3"/>
        <v>Emp_002044446</v>
      </c>
      <c r="B23" s="48" t="str">
        <f>IFERROR(INDEX(AttendanceSheet!$B$7:$B121,MATCH('Mark Leave'!C23,AttendanceSheet!$C$7:$C121,0)),"")</f>
        <v>Emp_0020</v>
      </c>
      <c r="C23" s="38" t="s">
        <v>98</v>
      </c>
      <c r="D23" s="49">
        <v>44446</v>
      </c>
      <c r="E23" s="40" t="s">
        <v>89</v>
      </c>
      <c r="F23"/>
      <c r="H23" s="133"/>
    </row>
    <row r="24" spans="1:8" ht="15" customHeight="1" thickTop="1" thickBot="1" x14ac:dyDescent="0.3">
      <c r="A24" s="47" t="str">
        <f t="shared" si="3"/>
        <v>Emp_002144440</v>
      </c>
      <c r="B24" s="48" t="str">
        <f>IFERROR(INDEX(AttendanceSheet!$B$7:$B122,MATCH('Mark Leave'!C24,AttendanceSheet!$C$7:$C122,0)),"")</f>
        <v>Emp_0021</v>
      </c>
      <c r="C24" s="38" t="s">
        <v>99</v>
      </c>
      <c r="D24" s="49">
        <v>44440</v>
      </c>
      <c r="E24" s="40" t="s">
        <v>89</v>
      </c>
      <c r="F24"/>
      <c r="H24" s="133"/>
    </row>
    <row r="25" spans="1:8" ht="16.5" customHeight="1" thickTop="1" thickBot="1" x14ac:dyDescent="0.3">
      <c r="A25" s="47" t="str">
        <f t="shared" si="3"/>
        <v>Emp_002144441</v>
      </c>
      <c r="B25" s="48" t="str">
        <f>IFERROR(INDEX(AttendanceSheet!$B$7:$B123,MATCH('Mark Leave'!C25,AttendanceSheet!$C$7:$C123,0)),"")</f>
        <v>Emp_0021</v>
      </c>
      <c r="C25" s="38" t="s">
        <v>99</v>
      </c>
      <c r="D25" s="49">
        <v>44441</v>
      </c>
      <c r="E25" s="40" t="s">
        <v>89</v>
      </c>
      <c r="F25"/>
      <c r="H25" s="133"/>
    </row>
    <row r="26" spans="1:8" ht="16.5" customHeight="1" thickTop="1" thickBot="1" x14ac:dyDescent="0.3">
      <c r="A26" s="47" t="str">
        <f t="shared" si="3"/>
        <v>Emp_002144442</v>
      </c>
      <c r="B26" s="48" t="str">
        <f>IFERROR(INDEX(AttendanceSheet!$B$7:$B124,MATCH('Mark Leave'!C26,AttendanceSheet!$C$7:$C124,0)),"")</f>
        <v>Emp_0021</v>
      </c>
      <c r="C26" s="38" t="s">
        <v>99</v>
      </c>
      <c r="D26" s="49">
        <v>44442</v>
      </c>
      <c r="E26" s="40" t="s">
        <v>89</v>
      </c>
      <c r="F26"/>
      <c r="H26" s="133"/>
    </row>
    <row r="27" spans="1:8" ht="16.5" customHeight="1" thickTop="1" thickBot="1" x14ac:dyDescent="0.3">
      <c r="A27" s="47" t="str">
        <f t="shared" si="3"/>
        <v>Emp_002144443</v>
      </c>
      <c r="B27" s="48" t="str">
        <f>IFERROR(INDEX(AttendanceSheet!$B$7:$B125,MATCH('Mark Leave'!C27,AttendanceSheet!$C$7:$C125,0)),"")</f>
        <v>Emp_0021</v>
      </c>
      <c r="C27" s="38" t="s">
        <v>99</v>
      </c>
      <c r="D27" s="49">
        <v>44443</v>
      </c>
      <c r="E27" s="40" t="s">
        <v>89</v>
      </c>
      <c r="F27"/>
      <c r="H27" s="133"/>
    </row>
    <row r="28" spans="1:8" ht="15" customHeight="1" thickTop="1" thickBot="1" x14ac:dyDescent="0.3">
      <c r="A28" s="47" t="str">
        <f t="shared" si="3"/>
        <v>Emp_002144445</v>
      </c>
      <c r="B28" s="48" t="str">
        <f>IFERROR(INDEX(AttendanceSheet!$B$7:$B126,MATCH('Mark Leave'!C28,AttendanceSheet!$C$7:$C126,0)),"")</f>
        <v>Emp_0021</v>
      </c>
      <c r="C28" s="38" t="s">
        <v>99</v>
      </c>
      <c r="D28" s="49">
        <v>44445</v>
      </c>
      <c r="E28" s="40" t="s">
        <v>89</v>
      </c>
      <c r="F28"/>
      <c r="H28" s="133"/>
    </row>
    <row r="29" spans="1:8" ht="15" customHeight="1" thickTop="1" thickBot="1" x14ac:dyDescent="0.3">
      <c r="A29" s="47" t="str">
        <f t="shared" si="3"/>
        <v>Emp_002144446</v>
      </c>
      <c r="B29" s="48" t="str">
        <f>IFERROR(INDEX(AttendanceSheet!$B$7:$B127,MATCH('Mark Leave'!C29,AttendanceSheet!$C$7:$C127,0)),"")</f>
        <v>Emp_0021</v>
      </c>
      <c r="C29" s="38" t="s">
        <v>99</v>
      </c>
      <c r="D29" s="49">
        <v>44446</v>
      </c>
      <c r="E29" s="40" t="s">
        <v>89</v>
      </c>
      <c r="F29"/>
      <c r="H29" s="133"/>
    </row>
    <row r="30" spans="1:8" ht="16.5" customHeight="1" thickTop="1" thickBot="1" x14ac:dyDescent="0.3">
      <c r="A30" s="47" t="str">
        <f t="shared" si="3"/>
        <v>Emp_002144447</v>
      </c>
      <c r="B30" s="48" t="str">
        <f>IFERROR(INDEX(AttendanceSheet!$B$7:$B128,MATCH('Mark Leave'!C30,AttendanceSheet!$C$7:$C128,0)),"")</f>
        <v>Emp_0021</v>
      </c>
      <c r="C30" s="38" t="s">
        <v>99</v>
      </c>
      <c r="D30" s="50">
        <v>44447</v>
      </c>
      <c r="E30" s="40" t="s">
        <v>89</v>
      </c>
      <c r="F30"/>
      <c r="H30" s="133"/>
    </row>
    <row r="31" spans="1:8" ht="15" customHeight="1" thickTop="1" thickBot="1" x14ac:dyDescent="0.3">
      <c r="A31" s="47" t="str">
        <f t="shared" ref="A31:A88" si="4">B31&amp;D31</f>
        <v>Emp_002144448</v>
      </c>
      <c r="B31" s="48" t="str">
        <f>IFERROR(INDEX(AttendanceSheet!$B$7:$B129,MATCH('Mark Leave'!C31,AttendanceSheet!$C$7:$C129,0)),"")</f>
        <v>Emp_0021</v>
      </c>
      <c r="C31" s="38" t="s">
        <v>99</v>
      </c>
      <c r="D31" s="50">
        <v>44448</v>
      </c>
      <c r="E31" s="40" t="s">
        <v>89</v>
      </c>
      <c r="F31"/>
      <c r="H31" s="133"/>
    </row>
    <row r="32" spans="1:8" ht="15" customHeight="1" thickTop="1" thickBot="1" x14ac:dyDescent="0.3">
      <c r="A32" s="47" t="str">
        <f t="shared" si="4"/>
        <v>Emp_002244440</v>
      </c>
      <c r="B32" s="48" t="str">
        <f>IFERROR(INDEX(AttendanceSheet!$B$7:$B130,MATCH('Mark Leave'!C32,AttendanceSheet!$C$7:$C130,0)),"")</f>
        <v>Emp_0022</v>
      </c>
      <c r="C32" s="38" t="s">
        <v>100</v>
      </c>
      <c r="D32" s="49">
        <v>44440</v>
      </c>
      <c r="E32" s="40" t="s">
        <v>89</v>
      </c>
      <c r="F32"/>
      <c r="H32" s="133"/>
    </row>
    <row r="33" spans="1:8" ht="15" customHeight="1" thickTop="1" thickBot="1" x14ac:dyDescent="0.3">
      <c r="A33" s="47" t="str">
        <f t="shared" si="4"/>
        <v>Emp_002244441</v>
      </c>
      <c r="B33" s="48" t="str">
        <f>IFERROR(INDEX(AttendanceSheet!$B$7:$B131,MATCH('Mark Leave'!C33,AttendanceSheet!$C$7:$C131,0)),"")</f>
        <v>Emp_0022</v>
      </c>
      <c r="C33" s="38" t="s">
        <v>100</v>
      </c>
      <c r="D33" s="49">
        <v>44441</v>
      </c>
      <c r="E33" s="40" t="s">
        <v>89</v>
      </c>
      <c r="F33"/>
      <c r="H33" s="133"/>
    </row>
    <row r="34" spans="1:8" ht="15" customHeight="1" thickTop="1" thickBot="1" x14ac:dyDescent="0.3">
      <c r="A34" s="47" t="str">
        <f t="shared" si="4"/>
        <v>Emp_002244442</v>
      </c>
      <c r="B34" s="48" t="str">
        <f>IFERROR(INDEX(AttendanceSheet!$B$7:$B132,MATCH('Mark Leave'!C34,AttendanceSheet!$C$7:$C132,0)),"")</f>
        <v>Emp_0022</v>
      </c>
      <c r="C34" s="38" t="s">
        <v>100</v>
      </c>
      <c r="D34" s="49">
        <v>44442</v>
      </c>
      <c r="E34" s="40" t="s">
        <v>89</v>
      </c>
      <c r="F34"/>
      <c r="H34" s="133"/>
    </row>
    <row r="35" spans="1:8" ht="16.5" customHeight="1" thickTop="1" thickBot="1" x14ac:dyDescent="0.3">
      <c r="A35" s="47" t="str">
        <f t="shared" si="4"/>
        <v>Emp_002244443</v>
      </c>
      <c r="B35" s="48" t="str">
        <f>IFERROR(INDEX(AttendanceSheet!$B$7:$B133,MATCH('Mark Leave'!C35,AttendanceSheet!$C$7:$C133,0)),"")</f>
        <v>Emp_0022</v>
      </c>
      <c r="C35" s="38" t="s">
        <v>100</v>
      </c>
      <c r="D35" s="49">
        <v>44443</v>
      </c>
      <c r="E35" s="40" t="s">
        <v>89</v>
      </c>
      <c r="F35"/>
      <c r="H35" s="133"/>
    </row>
    <row r="36" spans="1:8" ht="15" customHeight="1" thickTop="1" thickBot="1" x14ac:dyDescent="0.3">
      <c r="A36" s="47" t="str">
        <f t="shared" si="4"/>
        <v>Emp_002244445</v>
      </c>
      <c r="B36" s="48" t="str">
        <f>IFERROR(INDEX(AttendanceSheet!$B$7:$B134,MATCH('Mark Leave'!C36,AttendanceSheet!$C$7:$C134,0)),"")</f>
        <v>Emp_0022</v>
      </c>
      <c r="C36" s="38" t="s">
        <v>100</v>
      </c>
      <c r="D36" s="49">
        <v>44445</v>
      </c>
      <c r="E36" s="40" t="s">
        <v>89</v>
      </c>
      <c r="F36"/>
      <c r="H36" s="133"/>
    </row>
    <row r="37" spans="1:8" ht="15" customHeight="1" thickTop="1" thickBot="1" x14ac:dyDescent="0.3">
      <c r="A37" s="47" t="str">
        <f t="shared" si="4"/>
        <v>Emp_002244446</v>
      </c>
      <c r="B37" s="48" t="str">
        <f>IFERROR(INDEX(AttendanceSheet!$B$7:$B135,MATCH('Mark Leave'!C37,AttendanceSheet!$C$7:$C135,0)),"")</f>
        <v>Emp_0022</v>
      </c>
      <c r="C37" s="38" t="s">
        <v>100</v>
      </c>
      <c r="D37" s="49">
        <v>44446</v>
      </c>
      <c r="E37" s="40" t="s">
        <v>89</v>
      </c>
      <c r="F37"/>
      <c r="H37" s="133"/>
    </row>
    <row r="38" spans="1:8" ht="16.5" customHeight="1" thickTop="1" thickBot="1" x14ac:dyDescent="0.3">
      <c r="A38" s="47" t="str">
        <f t="shared" si="4"/>
        <v>Emp_002244447</v>
      </c>
      <c r="B38" s="48" t="str">
        <f>IFERROR(INDEX(AttendanceSheet!$B$7:$B136,MATCH('Mark Leave'!C38,AttendanceSheet!$C$7:$C136,0)),"")</f>
        <v>Emp_0022</v>
      </c>
      <c r="C38" s="38" t="s">
        <v>100</v>
      </c>
      <c r="D38" s="50">
        <v>44447</v>
      </c>
      <c r="E38" s="40" t="s">
        <v>89</v>
      </c>
      <c r="F38"/>
      <c r="H38" s="133"/>
    </row>
    <row r="39" spans="1:8" ht="16.5" customHeight="1" thickTop="1" thickBot="1" x14ac:dyDescent="0.3">
      <c r="A39" s="47" t="str">
        <f t="shared" si="4"/>
        <v>Emp_002344440</v>
      </c>
      <c r="B39" s="48" t="str">
        <f>IFERROR(INDEX(AttendanceSheet!$B$7:$B137,MATCH('Mark Leave'!C39,AttendanceSheet!$C$7:$C137,0)),"")</f>
        <v>Emp_0023</v>
      </c>
      <c r="C39" s="38" t="s">
        <v>101</v>
      </c>
      <c r="D39" s="49">
        <v>44440</v>
      </c>
      <c r="E39" s="40" t="s">
        <v>89</v>
      </c>
      <c r="F39"/>
      <c r="H39" s="133"/>
    </row>
    <row r="40" spans="1:8" ht="16.5" customHeight="1" thickTop="1" thickBot="1" x14ac:dyDescent="0.3">
      <c r="A40" s="47" t="str">
        <f t="shared" si="4"/>
        <v>Emp_002344441</v>
      </c>
      <c r="B40" s="48" t="str">
        <f>IFERROR(INDEX(AttendanceSheet!$B$7:$B138,MATCH('Mark Leave'!C40,AttendanceSheet!$C$7:$C138,0)),"")</f>
        <v>Emp_0023</v>
      </c>
      <c r="C40" s="38" t="s">
        <v>101</v>
      </c>
      <c r="D40" s="49">
        <v>44441</v>
      </c>
      <c r="E40" s="40" t="s">
        <v>89</v>
      </c>
      <c r="F40"/>
      <c r="H40" s="133"/>
    </row>
    <row r="41" spans="1:8" ht="15" customHeight="1" thickTop="1" thickBot="1" x14ac:dyDescent="0.3">
      <c r="A41" s="47" t="str">
        <f t="shared" si="4"/>
        <v>Emp_002344442</v>
      </c>
      <c r="B41" s="48" t="str">
        <f>IFERROR(INDEX(AttendanceSheet!$B$7:$B139,MATCH('Mark Leave'!C41,AttendanceSheet!$C$7:$C139,0)),"")</f>
        <v>Emp_0023</v>
      </c>
      <c r="C41" s="38" t="s">
        <v>101</v>
      </c>
      <c r="D41" s="49">
        <v>44442</v>
      </c>
      <c r="E41" s="40" t="s">
        <v>89</v>
      </c>
      <c r="F41"/>
      <c r="H41" s="133"/>
    </row>
    <row r="42" spans="1:8" ht="15" customHeight="1" thickTop="1" thickBot="1" x14ac:dyDescent="0.3">
      <c r="A42" s="47" t="str">
        <f t="shared" si="4"/>
        <v>Emp_002344443</v>
      </c>
      <c r="B42" s="48" t="str">
        <f>IFERROR(INDEX(AttendanceSheet!$B$7:$B140,MATCH('Mark Leave'!C42,AttendanceSheet!$C$7:$C140,0)),"")</f>
        <v>Emp_0023</v>
      </c>
      <c r="C42" s="38" t="s">
        <v>101</v>
      </c>
      <c r="D42" s="49">
        <v>44443</v>
      </c>
      <c r="E42" s="40" t="s">
        <v>89</v>
      </c>
      <c r="F42"/>
      <c r="H42" s="133"/>
    </row>
    <row r="43" spans="1:8" ht="16.5" thickTop="1" thickBot="1" x14ac:dyDescent="0.3">
      <c r="A43" s="47" t="str">
        <f t="shared" si="4"/>
        <v>Emp_002344445</v>
      </c>
      <c r="B43" s="48" t="str">
        <f>IFERROR(INDEX(AttendanceSheet!$B$7:$B141,MATCH('Mark Leave'!C43,AttendanceSheet!$C$7:$C141,0)),"")</f>
        <v>Emp_0023</v>
      </c>
      <c r="C43" s="38" t="s">
        <v>101</v>
      </c>
      <c r="D43" s="49">
        <v>44445</v>
      </c>
      <c r="E43" s="40" t="s">
        <v>39</v>
      </c>
      <c r="F43"/>
    </row>
    <row r="44" spans="1:8" ht="15" customHeight="1" thickTop="1" thickBot="1" x14ac:dyDescent="0.3">
      <c r="A44" s="47" t="str">
        <f t="shared" si="4"/>
        <v>Emp_002344446</v>
      </c>
      <c r="B44" s="48" t="str">
        <f>IFERROR(INDEX(AttendanceSheet!$B$7:$B142,MATCH('Mark Leave'!C44,AttendanceSheet!$C$7:$C142,0)),"")</f>
        <v>Emp_0023</v>
      </c>
      <c r="C44" s="38" t="s">
        <v>101</v>
      </c>
      <c r="D44" s="49">
        <v>44446</v>
      </c>
      <c r="E44" s="40" t="s">
        <v>89</v>
      </c>
      <c r="F44"/>
    </row>
    <row r="45" spans="1:8" ht="16.5" thickTop="1" thickBot="1" x14ac:dyDescent="0.3">
      <c r="A45" s="47" t="str">
        <f t="shared" si="4"/>
        <v>Emp_002544440</v>
      </c>
      <c r="B45" s="48" t="str">
        <f>IFERROR(INDEX(AttendanceSheet!$B$7:$B143,MATCH('Mark Leave'!C45,AttendanceSheet!$C$7:$C143,0)),"")</f>
        <v>Emp_0025</v>
      </c>
      <c r="C45" s="38" t="s">
        <v>103</v>
      </c>
      <c r="D45" s="49">
        <v>44440</v>
      </c>
      <c r="E45" s="40" t="s">
        <v>89</v>
      </c>
      <c r="F45"/>
    </row>
    <row r="46" spans="1:8" ht="16.5" thickTop="1" thickBot="1" x14ac:dyDescent="0.3">
      <c r="A46" s="47" t="str">
        <f t="shared" si="4"/>
        <v>Emp_002544441</v>
      </c>
      <c r="B46" s="48" t="str">
        <f>IFERROR(INDEX(AttendanceSheet!$B$7:$B144,MATCH('Mark Leave'!C46,AttendanceSheet!$C$7:$C144,0)),"")</f>
        <v>Emp_0025</v>
      </c>
      <c r="C46" s="38" t="s">
        <v>103</v>
      </c>
      <c r="D46" s="49">
        <v>44441</v>
      </c>
      <c r="E46" s="40" t="s">
        <v>89</v>
      </c>
      <c r="F46"/>
    </row>
    <row r="47" spans="1:8" ht="16.5" thickTop="1" thickBot="1" x14ac:dyDescent="0.3">
      <c r="A47" s="47" t="str">
        <f t="shared" si="4"/>
        <v>Emp_002544442</v>
      </c>
      <c r="B47" s="48" t="str">
        <f>IFERROR(INDEX(AttendanceSheet!$B$7:$B145,MATCH('Mark Leave'!C47,AttendanceSheet!$C$7:$C145,0)),"")</f>
        <v>Emp_0025</v>
      </c>
      <c r="C47" s="38" t="s">
        <v>103</v>
      </c>
      <c r="D47" s="49">
        <v>44442</v>
      </c>
      <c r="E47" s="40" t="s">
        <v>89</v>
      </c>
      <c r="F47"/>
    </row>
    <row r="48" spans="1:8" ht="16.5" thickTop="1" thickBot="1" x14ac:dyDescent="0.3">
      <c r="A48" s="47" t="str">
        <f t="shared" si="4"/>
        <v>Emp_002544443</v>
      </c>
      <c r="B48" s="48" t="str">
        <f>IFERROR(INDEX(AttendanceSheet!$B$7:$B146,MATCH('Mark Leave'!C48,AttendanceSheet!$C$7:$C146,0)),"")</f>
        <v>Emp_0025</v>
      </c>
      <c r="C48" s="38" t="s">
        <v>103</v>
      </c>
      <c r="D48" s="49">
        <v>44443</v>
      </c>
      <c r="E48" s="40" t="s">
        <v>89</v>
      </c>
      <c r="F48"/>
    </row>
    <row r="49" spans="1:6" ht="16.5" thickTop="1" thickBot="1" x14ac:dyDescent="0.3">
      <c r="A49" s="47" t="str">
        <f t="shared" si="4"/>
        <v>Emp_002544445</v>
      </c>
      <c r="B49" s="48" t="str">
        <f>IFERROR(INDEX(AttendanceSheet!$B$7:$B147,MATCH('Mark Leave'!C49,AttendanceSheet!$C$7:$C147,0)),"")</f>
        <v>Emp_0025</v>
      </c>
      <c r="C49" s="38" t="s">
        <v>103</v>
      </c>
      <c r="D49" s="49">
        <v>44445</v>
      </c>
      <c r="E49" s="40" t="s">
        <v>89</v>
      </c>
      <c r="F49"/>
    </row>
    <row r="50" spans="1:6" ht="16.5" thickTop="1" thickBot="1" x14ac:dyDescent="0.3">
      <c r="A50" s="47" t="str">
        <f t="shared" si="4"/>
        <v>Emp_002544446</v>
      </c>
      <c r="B50" s="48" t="str">
        <f>IFERROR(INDEX(AttendanceSheet!$B$7:$B148,MATCH('Mark Leave'!C50,AttendanceSheet!$C$7:$C148,0)),"")</f>
        <v>Emp_0025</v>
      </c>
      <c r="C50" s="38" t="s">
        <v>103</v>
      </c>
      <c r="D50" s="49">
        <v>44446</v>
      </c>
      <c r="E50" s="40" t="s">
        <v>89</v>
      </c>
      <c r="F50"/>
    </row>
    <row r="51" spans="1:6" ht="16.5" thickTop="1" thickBot="1" x14ac:dyDescent="0.3">
      <c r="A51" s="47" t="str">
        <f t="shared" si="4"/>
        <v>Emp_002644440</v>
      </c>
      <c r="B51" s="48" t="str">
        <f>IFERROR(INDEX(AttendanceSheet!$B$7:$B149,MATCH('Mark Leave'!C51,AttendanceSheet!$C$7:$C149,0)),"")</f>
        <v>Emp_0026</v>
      </c>
      <c r="C51" s="38" t="s">
        <v>104</v>
      </c>
      <c r="D51" s="49">
        <v>44440</v>
      </c>
      <c r="E51" s="40" t="s">
        <v>89</v>
      </c>
      <c r="F51"/>
    </row>
    <row r="52" spans="1:6" ht="16.5" thickTop="1" thickBot="1" x14ac:dyDescent="0.3">
      <c r="A52" s="47" t="str">
        <f t="shared" si="4"/>
        <v>Emp_002644441</v>
      </c>
      <c r="B52" s="48" t="str">
        <f>IFERROR(INDEX(AttendanceSheet!$B$7:$B150,MATCH('Mark Leave'!C52,AttendanceSheet!$C$7:$C150,0)),"")</f>
        <v>Emp_0026</v>
      </c>
      <c r="C52" s="38" t="s">
        <v>104</v>
      </c>
      <c r="D52" s="49">
        <v>44441</v>
      </c>
      <c r="E52" s="40" t="s">
        <v>89</v>
      </c>
      <c r="F52"/>
    </row>
    <row r="53" spans="1:6" ht="16.5" thickTop="1" thickBot="1" x14ac:dyDescent="0.3">
      <c r="A53" s="47" t="str">
        <f t="shared" si="4"/>
        <v>Emp_002644442</v>
      </c>
      <c r="B53" s="48" t="str">
        <f>IFERROR(INDEX(AttendanceSheet!$B$7:$B151,MATCH('Mark Leave'!C53,AttendanceSheet!$C$7:$C151,0)),"")</f>
        <v>Emp_0026</v>
      </c>
      <c r="C53" s="38" t="s">
        <v>104</v>
      </c>
      <c r="D53" s="49">
        <v>44442</v>
      </c>
      <c r="E53" s="40" t="s">
        <v>89</v>
      </c>
      <c r="F53"/>
    </row>
    <row r="54" spans="1:6" ht="16.5" thickTop="1" thickBot="1" x14ac:dyDescent="0.3">
      <c r="A54" s="47" t="str">
        <f t="shared" si="4"/>
        <v>Emp_002644443</v>
      </c>
      <c r="B54" s="48" t="str">
        <f>IFERROR(INDEX(AttendanceSheet!$B$7:$B152,MATCH('Mark Leave'!C54,AttendanceSheet!$C$7:$C152,0)),"")</f>
        <v>Emp_0026</v>
      </c>
      <c r="C54" s="38" t="s">
        <v>104</v>
      </c>
      <c r="D54" s="49">
        <v>44443</v>
      </c>
      <c r="E54" s="40" t="s">
        <v>89</v>
      </c>
      <c r="F54"/>
    </row>
    <row r="55" spans="1:6" ht="16.5" thickTop="1" thickBot="1" x14ac:dyDescent="0.3">
      <c r="A55" s="47" t="str">
        <f t="shared" si="4"/>
        <v>Emp_002644445</v>
      </c>
      <c r="B55" s="48" t="str">
        <f>IFERROR(INDEX(AttendanceSheet!$B$7:$B153,MATCH('Mark Leave'!C55,AttendanceSheet!$C$7:$C153,0)),"")</f>
        <v>Emp_0026</v>
      </c>
      <c r="C55" s="38" t="s">
        <v>104</v>
      </c>
      <c r="D55" s="49">
        <v>44445</v>
      </c>
      <c r="E55" s="40" t="s">
        <v>89</v>
      </c>
      <c r="F55"/>
    </row>
    <row r="56" spans="1:6" ht="16.5" thickTop="1" thickBot="1" x14ac:dyDescent="0.3">
      <c r="A56" s="47" t="str">
        <f t="shared" si="4"/>
        <v>Emp_002644446</v>
      </c>
      <c r="B56" s="48" t="str">
        <f>IFERROR(INDEX(AttendanceSheet!$B$7:$B154,MATCH('Mark Leave'!C56,AttendanceSheet!$C$7:$C154,0)),"")</f>
        <v>Emp_0026</v>
      </c>
      <c r="C56" s="38" t="s">
        <v>104</v>
      </c>
      <c r="D56" s="49">
        <v>44446</v>
      </c>
      <c r="E56" s="40" t="s">
        <v>89</v>
      </c>
      <c r="F56"/>
    </row>
    <row r="57" spans="1:6" ht="16.5" thickTop="1" thickBot="1" x14ac:dyDescent="0.3">
      <c r="A57" s="47" t="str">
        <f t="shared" si="4"/>
        <v>Emp_002644447</v>
      </c>
      <c r="B57" s="48" t="str">
        <f>IFERROR(INDEX(AttendanceSheet!$B$7:$B155,MATCH('Mark Leave'!C57,AttendanceSheet!$C$7:$C155,0)),"")</f>
        <v>Emp_0026</v>
      </c>
      <c r="C57" s="38" t="s">
        <v>104</v>
      </c>
      <c r="D57" s="50">
        <v>44447</v>
      </c>
      <c r="E57" s="40" t="s">
        <v>89</v>
      </c>
      <c r="F57"/>
    </row>
    <row r="58" spans="1:6" ht="16.5" thickTop="1" thickBot="1" x14ac:dyDescent="0.3">
      <c r="A58" s="47" t="str">
        <f t="shared" si="4"/>
        <v>Emp_002644448</v>
      </c>
      <c r="B58" s="48" t="str">
        <f>IFERROR(INDEX(AttendanceSheet!$B$7:$B156,MATCH('Mark Leave'!C58,AttendanceSheet!$C$7:$C156,0)),"")</f>
        <v>Emp_0026</v>
      </c>
      <c r="C58" s="38" t="s">
        <v>104</v>
      </c>
      <c r="D58" s="50">
        <v>44448</v>
      </c>
      <c r="E58" s="40" t="s">
        <v>89</v>
      </c>
      <c r="F58"/>
    </row>
    <row r="59" spans="1:6" ht="16.5" thickTop="1" thickBot="1" x14ac:dyDescent="0.3">
      <c r="A59" s="47" t="str">
        <f t="shared" si="4"/>
        <v>Emp_002644449</v>
      </c>
      <c r="B59" s="48" t="str">
        <f>IFERROR(INDEX(AttendanceSheet!$B$7:$B157,MATCH('Mark Leave'!C59,AttendanceSheet!$C$7:$C157,0)),"")</f>
        <v>Emp_0026</v>
      </c>
      <c r="C59" s="38" t="s">
        <v>104</v>
      </c>
      <c r="D59" s="50">
        <v>44449</v>
      </c>
      <c r="E59" s="40" t="s">
        <v>89</v>
      </c>
      <c r="F59"/>
    </row>
    <row r="60" spans="1:6" ht="16.5" thickTop="1" thickBot="1" x14ac:dyDescent="0.3">
      <c r="A60" s="47" t="str">
        <f t="shared" si="4"/>
        <v>Emp_002644450</v>
      </c>
      <c r="B60" s="48" t="str">
        <f>IFERROR(INDEX(AttendanceSheet!$B$7:$B158,MATCH('Mark Leave'!C60,AttendanceSheet!$C$7:$C158,0)),"")</f>
        <v>Emp_0026</v>
      </c>
      <c r="C60" s="38" t="s">
        <v>104</v>
      </c>
      <c r="D60" s="50">
        <v>44450</v>
      </c>
      <c r="E60" s="40" t="s">
        <v>89</v>
      </c>
      <c r="F60"/>
    </row>
    <row r="61" spans="1:6" ht="16.5" thickTop="1" thickBot="1" x14ac:dyDescent="0.3">
      <c r="A61" s="47" t="str">
        <f t="shared" si="4"/>
        <v>Emp_002744440</v>
      </c>
      <c r="B61" s="48" t="str">
        <f>IFERROR(INDEX(AttendanceSheet!$B$7:$B159,MATCH('Mark Leave'!C61,AttendanceSheet!$C$7:$C159,0)),"")</f>
        <v>Emp_0027</v>
      </c>
      <c r="C61" s="38" t="s">
        <v>105</v>
      </c>
      <c r="D61" s="50">
        <v>44440</v>
      </c>
      <c r="E61" s="40" t="s">
        <v>89</v>
      </c>
      <c r="F61"/>
    </row>
    <row r="62" spans="1:6" ht="16.5" thickTop="1" thickBot="1" x14ac:dyDescent="0.3">
      <c r="A62" s="47" t="str">
        <f t="shared" si="4"/>
        <v>Emp_002844440</v>
      </c>
      <c r="B62" s="48" t="str">
        <f>IFERROR(INDEX(AttendanceSheet!$B$7:$B160,MATCH('Mark Leave'!C62,AttendanceSheet!$C$7:$C160,0)),"")</f>
        <v>Emp_0028</v>
      </c>
      <c r="C62" s="38" t="s">
        <v>106</v>
      </c>
      <c r="D62" s="49">
        <v>44440</v>
      </c>
      <c r="E62" s="40" t="s">
        <v>89</v>
      </c>
      <c r="F62"/>
    </row>
    <row r="63" spans="1:6" ht="16.5" thickTop="1" thickBot="1" x14ac:dyDescent="0.3">
      <c r="A63" s="47" t="str">
        <f t="shared" si="4"/>
        <v>Emp_002844441</v>
      </c>
      <c r="B63" s="48" t="str">
        <f>IFERROR(INDEX(AttendanceSheet!$B$7:$B161,MATCH('Mark Leave'!C63,AttendanceSheet!$C$7:$C161,0)),"")</f>
        <v>Emp_0028</v>
      </c>
      <c r="C63" s="38" t="s">
        <v>106</v>
      </c>
      <c r="D63" s="49">
        <v>44441</v>
      </c>
      <c r="E63" s="40" t="s">
        <v>89</v>
      </c>
      <c r="F63"/>
    </row>
    <row r="64" spans="1:6" ht="16.5" thickTop="1" thickBot="1" x14ac:dyDescent="0.3">
      <c r="A64" s="47" t="str">
        <f t="shared" si="4"/>
        <v>Emp_002844442</v>
      </c>
      <c r="B64" s="48" t="str">
        <f>IFERROR(INDEX(AttendanceSheet!$B$7:$B162,MATCH('Mark Leave'!C64,AttendanceSheet!$C$7:$C162,0)),"")</f>
        <v>Emp_0028</v>
      </c>
      <c r="C64" s="38" t="s">
        <v>106</v>
      </c>
      <c r="D64" s="49">
        <v>44442</v>
      </c>
      <c r="E64" s="40" t="s">
        <v>89</v>
      </c>
      <c r="F64"/>
    </row>
    <row r="65" spans="1:6" ht="16.5" thickTop="1" thickBot="1" x14ac:dyDescent="0.3">
      <c r="A65" s="47" t="str">
        <f t="shared" si="4"/>
        <v>Emp_002844443</v>
      </c>
      <c r="B65" s="48" t="str">
        <f>IFERROR(INDEX(AttendanceSheet!$B$7:$B163,MATCH('Mark Leave'!C65,AttendanceSheet!$C$7:$C163,0)),"")</f>
        <v>Emp_0028</v>
      </c>
      <c r="C65" s="38" t="s">
        <v>106</v>
      </c>
      <c r="D65" s="49">
        <v>44443</v>
      </c>
      <c r="E65" s="40" t="s">
        <v>89</v>
      </c>
      <c r="F65"/>
    </row>
    <row r="66" spans="1:6" ht="16.5" thickTop="1" thickBot="1" x14ac:dyDescent="0.3">
      <c r="A66" s="47" t="str">
        <f t="shared" si="4"/>
        <v>Emp_002844445</v>
      </c>
      <c r="B66" s="48" t="str">
        <f>IFERROR(INDEX(AttendanceSheet!$B$7:$B164,MATCH('Mark Leave'!C66,AttendanceSheet!$C$7:$C164,0)),"")</f>
        <v>Emp_0028</v>
      </c>
      <c r="C66" s="38" t="s">
        <v>106</v>
      </c>
      <c r="D66" s="49">
        <v>44445</v>
      </c>
      <c r="E66" s="40" t="s">
        <v>89</v>
      </c>
      <c r="F66"/>
    </row>
    <row r="67" spans="1:6" ht="16.5" thickTop="1" thickBot="1" x14ac:dyDescent="0.3">
      <c r="A67" s="47" t="str">
        <f t="shared" si="4"/>
        <v>Emp_002844446</v>
      </c>
      <c r="B67" s="48" t="str">
        <f>IFERROR(INDEX(AttendanceSheet!$B$7:$B165,MATCH('Mark Leave'!C67,AttendanceSheet!$C$7:$C165,0)),"")</f>
        <v>Emp_0028</v>
      </c>
      <c r="C67" s="38" t="s">
        <v>106</v>
      </c>
      <c r="D67" s="49">
        <v>44446</v>
      </c>
      <c r="E67" s="40" t="s">
        <v>89</v>
      </c>
      <c r="F67"/>
    </row>
    <row r="68" spans="1:6" ht="16.5" thickTop="1" thickBot="1" x14ac:dyDescent="0.3">
      <c r="A68" s="47" t="str">
        <f t="shared" si="4"/>
        <v>Emp_002944440</v>
      </c>
      <c r="B68" s="48" t="str">
        <f>IFERROR(INDEX(AttendanceSheet!$B$7:$B166,MATCH('Mark Leave'!C68,AttendanceSheet!$C$7:$C166,0)),"")</f>
        <v>Emp_0029</v>
      </c>
      <c r="C68" s="38" t="s">
        <v>107</v>
      </c>
      <c r="D68" s="49">
        <v>44440</v>
      </c>
      <c r="E68" s="40" t="s">
        <v>89</v>
      </c>
      <c r="F68"/>
    </row>
    <row r="69" spans="1:6" ht="16.5" thickTop="1" thickBot="1" x14ac:dyDescent="0.3">
      <c r="A69" s="47" t="str">
        <f t="shared" si="4"/>
        <v>Emp_002944441</v>
      </c>
      <c r="B69" s="48" t="str">
        <f>IFERROR(INDEX(AttendanceSheet!$B$7:$B167,MATCH('Mark Leave'!C69,AttendanceSheet!$C$7:$C167,0)),"")</f>
        <v>Emp_0029</v>
      </c>
      <c r="C69" s="38" t="s">
        <v>107</v>
      </c>
      <c r="D69" s="49">
        <v>44441</v>
      </c>
      <c r="E69" s="40" t="s">
        <v>89</v>
      </c>
      <c r="F69"/>
    </row>
    <row r="70" spans="1:6" ht="16.5" thickTop="1" thickBot="1" x14ac:dyDescent="0.3">
      <c r="A70" s="47" t="str">
        <f t="shared" si="4"/>
        <v>Emp_002944442</v>
      </c>
      <c r="B70" s="48" t="str">
        <f>IFERROR(INDEX(AttendanceSheet!$B$7:$B168,MATCH('Mark Leave'!C70,AttendanceSheet!$C$7:$C168,0)),"")</f>
        <v>Emp_0029</v>
      </c>
      <c r="C70" s="38" t="s">
        <v>107</v>
      </c>
      <c r="D70" s="49">
        <v>44442</v>
      </c>
      <c r="E70" s="40" t="s">
        <v>89</v>
      </c>
      <c r="F70"/>
    </row>
    <row r="71" spans="1:6" ht="16.5" thickTop="1" thickBot="1" x14ac:dyDescent="0.3">
      <c r="A71" s="47" t="str">
        <f t="shared" si="4"/>
        <v>Emp_002944443</v>
      </c>
      <c r="B71" s="48" t="str">
        <f>IFERROR(INDEX(AttendanceSheet!$B$7:$B169,MATCH('Mark Leave'!C71,AttendanceSheet!$C$7:$C169,0)),"")</f>
        <v>Emp_0029</v>
      </c>
      <c r="C71" s="38" t="s">
        <v>107</v>
      </c>
      <c r="D71" s="49">
        <v>44443</v>
      </c>
      <c r="E71" s="40" t="s">
        <v>89</v>
      </c>
      <c r="F71"/>
    </row>
    <row r="72" spans="1:6" ht="16.5" thickTop="1" thickBot="1" x14ac:dyDescent="0.3">
      <c r="A72" s="47" t="str">
        <f t="shared" si="4"/>
        <v>Emp_002944445</v>
      </c>
      <c r="B72" s="48" t="str">
        <f>IFERROR(INDEX(AttendanceSheet!$B$7:$B170,MATCH('Mark Leave'!C72,AttendanceSheet!$C$7:$C170,0)),"")</f>
        <v>Emp_0029</v>
      </c>
      <c r="C72" s="38" t="s">
        <v>107</v>
      </c>
      <c r="D72" s="49">
        <v>44445</v>
      </c>
      <c r="E72" s="40" t="s">
        <v>89</v>
      </c>
      <c r="F72"/>
    </row>
    <row r="73" spans="1:6" ht="16.5" thickTop="1" thickBot="1" x14ac:dyDescent="0.3">
      <c r="A73" s="47" t="str">
        <f t="shared" si="4"/>
        <v>Emp_002944446</v>
      </c>
      <c r="B73" s="48" t="str">
        <f>IFERROR(INDEX(AttendanceSheet!$B$7:$B171,MATCH('Mark Leave'!C73,AttendanceSheet!$C$7:$C171,0)),"")</f>
        <v>Emp_0029</v>
      </c>
      <c r="C73" s="38" t="s">
        <v>107</v>
      </c>
      <c r="D73" s="49">
        <v>44446</v>
      </c>
      <c r="E73" s="40" t="s">
        <v>89</v>
      </c>
      <c r="F73"/>
    </row>
    <row r="74" spans="1:6" ht="16.5" thickTop="1" thickBot="1" x14ac:dyDescent="0.3">
      <c r="A74" s="47" t="str">
        <f t="shared" si="4"/>
        <v>Emp_002944447</v>
      </c>
      <c r="B74" s="48" t="str">
        <f>IFERROR(INDEX(AttendanceSheet!$B$7:$B172,MATCH('Mark Leave'!C74,AttendanceSheet!$C$7:$C172,0)),"")</f>
        <v>Emp_0029</v>
      </c>
      <c r="C74" s="38" t="s">
        <v>107</v>
      </c>
      <c r="D74" s="50">
        <v>44447</v>
      </c>
      <c r="E74" s="40" t="s">
        <v>89</v>
      </c>
      <c r="F74"/>
    </row>
    <row r="75" spans="1:6" ht="16.5" thickTop="1" thickBot="1" x14ac:dyDescent="0.3">
      <c r="A75" s="47" t="str">
        <f t="shared" si="4"/>
        <v>Emp_002944448</v>
      </c>
      <c r="B75" s="48" t="str">
        <f>IFERROR(INDEX(AttendanceSheet!$B$7:$B173,MATCH('Mark Leave'!C75,AttendanceSheet!$C$7:$C173,0)),"")</f>
        <v>Emp_0029</v>
      </c>
      <c r="C75" s="38" t="s">
        <v>107</v>
      </c>
      <c r="D75" s="50">
        <v>44448</v>
      </c>
      <c r="E75" s="40" t="s">
        <v>89</v>
      </c>
      <c r="F75"/>
    </row>
    <row r="76" spans="1:6" ht="16.5" thickTop="1" thickBot="1" x14ac:dyDescent="0.3">
      <c r="A76" s="47" t="str">
        <f t="shared" si="4"/>
        <v>Emp_003044440</v>
      </c>
      <c r="B76" s="48" t="str">
        <f>IFERROR(INDEX(AttendanceSheet!$B$7:$B174,MATCH('Mark Leave'!C76,AttendanceSheet!$C$7:$C174,0)),"")</f>
        <v>Emp_0030</v>
      </c>
      <c r="C76" s="38" t="s">
        <v>238</v>
      </c>
      <c r="D76" s="49">
        <v>44440</v>
      </c>
      <c r="E76" s="40" t="s">
        <v>89</v>
      </c>
      <c r="F76"/>
    </row>
    <row r="77" spans="1:6" ht="16.5" thickTop="1" thickBot="1" x14ac:dyDescent="0.3">
      <c r="A77" s="47" t="str">
        <f t="shared" si="4"/>
        <v>Emp_003044441</v>
      </c>
      <c r="B77" s="48" t="str">
        <f>IFERROR(INDEX(AttendanceSheet!$B$7:$B175,MATCH('Mark Leave'!C77,AttendanceSheet!$C$7:$C175,0)),"")</f>
        <v>Emp_0030</v>
      </c>
      <c r="C77" s="38" t="s">
        <v>238</v>
      </c>
      <c r="D77" s="49">
        <v>44441</v>
      </c>
      <c r="E77" s="40" t="s">
        <v>89</v>
      </c>
      <c r="F77"/>
    </row>
    <row r="78" spans="1:6" ht="16.5" thickTop="1" thickBot="1" x14ac:dyDescent="0.3">
      <c r="A78" s="47" t="str">
        <f t="shared" si="4"/>
        <v>Emp_003044442</v>
      </c>
      <c r="B78" s="48" t="str">
        <f>IFERROR(INDEX(AttendanceSheet!$B$7:$B176,MATCH('Mark Leave'!C78,AttendanceSheet!$C$7:$C176,0)),"")</f>
        <v>Emp_0030</v>
      </c>
      <c r="C78" s="38" t="s">
        <v>238</v>
      </c>
      <c r="D78" s="49">
        <v>44442</v>
      </c>
      <c r="E78" s="40" t="s">
        <v>89</v>
      </c>
      <c r="F78"/>
    </row>
    <row r="79" spans="1:6" ht="16.5" thickTop="1" thickBot="1" x14ac:dyDescent="0.3">
      <c r="A79" s="47" t="str">
        <f t="shared" si="4"/>
        <v>Emp_003044443</v>
      </c>
      <c r="B79" s="48" t="str">
        <f>IFERROR(INDEX(AttendanceSheet!$B$7:$B177,MATCH('Mark Leave'!C79,AttendanceSheet!$C$7:$C177,0)),"")</f>
        <v>Emp_0030</v>
      </c>
      <c r="C79" s="38" t="s">
        <v>238</v>
      </c>
      <c r="D79" s="49">
        <v>44443</v>
      </c>
      <c r="E79" s="40" t="s">
        <v>89</v>
      </c>
      <c r="F79"/>
    </row>
    <row r="80" spans="1:6" ht="16.5" thickTop="1" thickBot="1" x14ac:dyDescent="0.3">
      <c r="A80" s="47" t="str">
        <f t="shared" si="4"/>
        <v>Emp_003044445</v>
      </c>
      <c r="B80" s="48" t="str">
        <f>IFERROR(INDEX(AttendanceSheet!$B$7:$B178,MATCH('Mark Leave'!C80,AttendanceSheet!$C$7:$C178,0)),"")</f>
        <v>Emp_0030</v>
      </c>
      <c r="C80" s="38" t="s">
        <v>238</v>
      </c>
      <c r="D80" s="49">
        <v>44445</v>
      </c>
      <c r="E80" s="40" t="s">
        <v>89</v>
      </c>
      <c r="F80"/>
    </row>
    <row r="81" spans="1:6" ht="16.5" thickTop="1" thickBot="1" x14ac:dyDescent="0.3">
      <c r="A81" s="47" t="str">
        <f t="shared" si="4"/>
        <v>Emp_003044446</v>
      </c>
      <c r="B81" s="48" t="str">
        <f>IFERROR(INDEX(AttendanceSheet!$B$7:$B179,MATCH('Mark Leave'!C81,AttendanceSheet!$C$7:$C179,0)),"")</f>
        <v>Emp_0030</v>
      </c>
      <c r="C81" s="38" t="s">
        <v>238</v>
      </c>
      <c r="D81" s="49">
        <v>44446</v>
      </c>
      <c r="E81" s="40" t="s">
        <v>89</v>
      </c>
      <c r="F81"/>
    </row>
    <row r="82" spans="1:6" ht="16.5" thickTop="1" thickBot="1" x14ac:dyDescent="0.3">
      <c r="A82" s="47" t="str">
        <f t="shared" si="4"/>
        <v>Emp_003144440</v>
      </c>
      <c r="B82" s="48" t="str">
        <f>IFERROR(INDEX(AttendanceSheet!$B$7:$B180,MATCH('Mark Leave'!C82,AttendanceSheet!$C$7:$C180,0)),"")</f>
        <v>Emp_0031</v>
      </c>
      <c r="C82" s="38" t="s">
        <v>108</v>
      </c>
      <c r="D82" s="49">
        <v>44440</v>
      </c>
      <c r="E82" s="40" t="s">
        <v>89</v>
      </c>
      <c r="F82"/>
    </row>
    <row r="83" spans="1:6" ht="16.5" thickTop="1" thickBot="1" x14ac:dyDescent="0.3">
      <c r="A83" s="47" t="str">
        <f t="shared" si="4"/>
        <v>Emp_003144441</v>
      </c>
      <c r="B83" s="48" t="str">
        <f>IFERROR(INDEX(AttendanceSheet!$B$7:$B181,MATCH('Mark Leave'!C83,AttendanceSheet!$C$7:$C181,0)),"")</f>
        <v>Emp_0031</v>
      </c>
      <c r="C83" s="38" t="s">
        <v>108</v>
      </c>
      <c r="D83" s="49">
        <v>44441</v>
      </c>
      <c r="E83" s="40" t="s">
        <v>89</v>
      </c>
      <c r="F83"/>
    </row>
    <row r="84" spans="1:6" ht="16.5" thickTop="1" thickBot="1" x14ac:dyDescent="0.3">
      <c r="A84" s="47" t="str">
        <f t="shared" si="4"/>
        <v>Emp_003144442</v>
      </c>
      <c r="B84" s="48" t="str">
        <f>IFERROR(INDEX(AttendanceSheet!$B$7:$B182,MATCH('Mark Leave'!C84,AttendanceSheet!$C$7:$C182,0)),"")</f>
        <v>Emp_0031</v>
      </c>
      <c r="C84" s="38" t="s">
        <v>108</v>
      </c>
      <c r="D84" s="49">
        <v>44442</v>
      </c>
      <c r="E84" s="40" t="s">
        <v>89</v>
      </c>
      <c r="F84"/>
    </row>
    <row r="85" spans="1:6" ht="16.5" thickTop="1" thickBot="1" x14ac:dyDescent="0.3">
      <c r="A85" s="47" t="str">
        <f t="shared" si="4"/>
        <v>Emp_003144443</v>
      </c>
      <c r="B85" s="48" t="str">
        <f>IFERROR(INDEX(AttendanceSheet!$B$7:$B183,MATCH('Mark Leave'!C85,AttendanceSheet!$C$7:$C183,0)),"")</f>
        <v>Emp_0031</v>
      </c>
      <c r="C85" s="38" t="s">
        <v>108</v>
      </c>
      <c r="D85" s="49">
        <v>44443</v>
      </c>
      <c r="E85" s="40" t="s">
        <v>89</v>
      </c>
      <c r="F85"/>
    </row>
    <row r="86" spans="1:6" ht="15" customHeight="1" thickTop="1" thickBot="1" x14ac:dyDescent="0.3">
      <c r="A86" s="47" t="str">
        <f t="shared" si="4"/>
        <v>Emp_003144445</v>
      </c>
      <c r="B86" s="48" t="str">
        <f>IFERROR(INDEX(AttendanceSheet!$B$7:$B184,MATCH('Mark Leave'!C86,AttendanceSheet!$C$7:$C184,0)),"")</f>
        <v>Emp_0031</v>
      </c>
      <c r="C86" s="38" t="s">
        <v>108</v>
      </c>
      <c r="D86" s="49">
        <v>44445</v>
      </c>
      <c r="E86" s="40" t="s">
        <v>89</v>
      </c>
      <c r="F86"/>
    </row>
    <row r="87" spans="1:6" ht="15" customHeight="1" thickTop="1" thickBot="1" x14ac:dyDescent="0.3">
      <c r="A87" s="47" t="str">
        <f t="shared" si="4"/>
        <v>Emp_003144446</v>
      </c>
      <c r="B87" s="48" t="str">
        <f>IFERROR(INDEX(AttendanceSheet!$B$7:$B185,MATCH('Mark Leave'!C87,AttendanceSheet!$C$7:$C185,0)),"")</f>
        <v>Emp_0031</v>
      </c>
      <c r="C87" s="38" t="s">
        <v>108</v>
      </c>
      <c r="D87" s="49">
        <v>44446</v>
      </c>
      <c r="E87" s="40" t="s">
        <v>89</v>
      </c>
      <c r="F87"/>
    </row>
    <row r="88" spans="1:6" ht="15" customHeight="1" thickTop="1" thickBot="1" x14ac:dyDescent="0.3">
      <c r="A88" s="47" t="str">
        <f t="shared" si="4"/>
        <v>Emp_003144447</v>
      </c>
      <c r="B88" s="48" t="str">
        <f>IFERROR(INDEX(AttendanceSheet!$B$7:$B186,MATCH('Mark Leave'!C88,AttendanceSheet!$C$7:$C186,0)),"")</f>
        <v>Emp_0031</v>
      </c>
      <c r="C88" s="38" t="s">
        <v>108</v>
      </c>
      <c r="D88" s="50">
        <v>44447</v>
      </c>
      <c r="E88" s="40" t="s">
        <v>89</v>
      </c>
      <c r="F88"/>
    </row>
    <row r="89" spans="1:6" ht="15" customHeight="1" thickTop="1" thickBot="1" x14ac:dyDescent="0.3">
      <c r="A89" s="47" t="str">
        <f t="shared" ref="A89:A129" si="5">B89&amp;D89</f>
        <v>Emp_003244440</v>
      </c>
      <c r="B89" s="48" t="str">
        <f>IFERROR(INDEX(AttendanceSheet!$B$7:$B187,MATCH('Mark Leave'!C89,AttendanceSheet!$C$7:$C187,0)),"")</f>
        <v>Emp_0032</v>
      </c>
      <c r="C89" s="38" t="s">
        <v>109</v>
      </c>
      <c r="D89" s="49">
        <v>44440</v>
      </c>
      <c r="E89" s="40" t="s">
        <v>89</v>
      </c>
      <c r="F89"/>
    </row>
    <row r="90" spans="1:6" ht="15" customHeight="1" thickTop="1" thickBot="1" x14ac:dyDescent="0.3">
      <c r="A90" s="47" t="str">
        <f t="shared" si="5"/>
        <v>Emp_003244441</v>
      </c>
      <c r="B90" s="48" t="str">
        <f>IFERROR(INDEX(AttendanceSheet!$B$7:$B188,MATCH('Mark Leave'!C90,AttendanceSheet!$C$7:$C188,0)),"")</f>
        <v>Emp_0032</v>
      </c>
      <c r="C90" s="38" t="s">
        <v>109</v>
      </c>
      <c r="D90" s="49">
        <v>44441</v>
      </c>
      <c r="E90" s="40" t="s">
        <v>89</v>
      </c>
      <c r="F90"/>
    </row>
    <row r="91" spans="1:6" ht="15" customHeight="1" thickTop="1" thickBot="1" x14ac:dyDescent="0.3">
      <c r="A91" s="47" t="str">
        <f t="shared" si="5"/>
        <v>Emp_003244442</v>
      </c>
      <c r="B91" s="48" t="str">
        <f>IFERROR(INDEX(AttendanceSheet!$B$7:$B189,MATCH('Mark Leave'!C91,AttendanceSheet!$C$7:$C189,0)),"")</f>
        <v>Emp_0032</v>
      </c>
      <c r="C91" s="38" t="s">
        <v>109</v>
      </c>
      <c r="D91" s="49">
        <v>44442</v>
      </c>
      <c r="E91" s="40" t="s">
        <v>89</v>
      </c>
      <c r="F91"/>
    </row>
    <row r="92" spans="1:6" ht="15" customHeight="1" thickTop="1" thickBot="1" x14ac:dyDescent="0.3">
      <c r="A92" s="47" t="str">
        <f t="shared" si="5"/>
        <v>Emp_003244443</v>
      </c>
      <c r="B92" s="48" t="str">
        <f>IFERROR(INDEX(AttendanceSheet!$B$7:$B190,MATCH('Mark Leave'!C92,AttendanceSheet!$C$7:$C190,0)),"")</f>
        <v>Emp_0032</v>
      </c>
      <c r="C92" s="38" t="s">
        <v>109</v>
      </c>
      <c r="D92" s="49">
        <v>44443</v>
      </c>
      <c r="E92" s="40" t="s">
        <v>89</v>
      </c>
      <c r="F92"/>
    </row>
    <row r="93" spans="1:6" ht="15" customHeight="1" thickTop="1" thickBot="1" x14ac:dyDescent="0.3">
      <c r="A93" s="47" t="str">
        <f t="shared" si="5"/>
        <v>Emp_003244445</v>
      </c>
      <c r="B93" s="48" t="str">
        <f>IFERROR(INDEX(AttendanceSheet!$B$7:$B191,MATCH('Mark Leave'!C93,AttendanceSheet!$C$7:$C191,0)),"")</f>
        <v>Emp_0032</v>
      </c>
      <c r="C93" s="38" t="s">
        <v>109</v>
      </c>
      <c r="D93" s="49">
        <v>44445</v>
      </c>
      <c r="E93" s="40" t="s">
        <v>89</v>
      </c>
      <c r="F93"/>
    </row>
    <row r="94" spans="1:6" ht="15" customHeight="1" thickTop="1" thickBot="1" x14ac:dyDescent="0.3">
      <c r="A94" s="47" t="str">
        <f t="shared" si="5"/>
        <v>Emp_003344440</v>
      </c>
      <c r="B94" s="48" t="str">
        <f>IFERROR(INDEX(AttendanceSheet!$B$7:$B192,MATCH('Mark Leave'!C94,AttendanceSheet!$C$7:$C192,0)),"")</f>
        <v>Emp_0033</v>
      </c>
      <c r="C94" s="38" t="s">
        <v>110</v>
      </c>
      <c r="D94" s="49">
        <v>44440</v>
      </c>
      <c r="E94" s="40" t="s">
        <v>89</v>
      </c>
      <c r="F94"/>
    </row>
    <row r="95" spans="1:6" ht="15" customHeight="1" thickTop="1" thickBot="1" x14ac:dyDescent="0.3">
      <c r="A95" s="47" t="str">
        <f t="shared" si="5"/>
        <v>Emp_003344441</v>
      </c>
      <c r="B95" s="48" t="str">
        <f>IFERROR(INDEX(AttendanceSheet!$B$7:$B193,MATCH('Mark Leave'!C95,AttendanceSheet!$C$7:$C193,0)),"")</f>
        <v>Emp_0033</v>
      </c>
      <c r="C95" s="38" t="s">
        <v>110</v>
      </c>
      <c r="D95" s="49">
        <v>44441</v>
      </c>
      <c r="E95" s="40" t="s">
        <v>89</v>
      </c>
      <c r="F95"/>
    </row>
    <row r="96" spans="1:6" ht="15" customHeight="1" thickTop="1" thickBot="1" x14ac:dyDescent="0.3">
      <c r="A96" s="47" t="str">
        <f t="shared" si="5"/>
        <v>Emp_003344442</v>
      </c>
      <c r="B96" s="48" t="str">
        <f>IFERROR(INDEX(AttendanceSheet!$B$7:$B194,MATCH('Mark Leave'!C96,AttendanceSheet!$C$7:$C194,0)),"")</f>
        <v>Emp_0033</v>
      </c>
      <c r="C96" s="38" t="s">
        <v>110</v>
      </c>
      <c r="D96" s="49">
        <v>44442</v>
      </c>
      <c r="E96" s="40" t="s">
        <v>89</v>
      </c>
      <c r="F96"/>
    </row>
    <row r="97" spans="1:6" ht="15" customHeight="1" thickTop="1" thickBot="1" x14ac:dyDescent="0.3">
      <c r="A97" s="47" t="str">
        <f t="shared" si="5"/>
        <v>Emp_003344443</v>
      </c>
      <c r="B97" s="48" t="str">
        <f>IFERROR(INDEX(AttendanceSheet!$B$7:$B195,MATCH('Mark Leave'!C97,AttendanceSheet!$C$7:$C195,0)),"")</f>
        <v>Emp_0033</v>
      </c>
      <c r="C97" s="38" t="s">
        <v>110</v>
      </c>
      <c r="D97" s="49">
        <v>44443</v>
      </c>
      <c r="E97" s="40" t="s">
        <v>89</v>
      </c>
      <c r="F97"/>
    </row>
    <row r="98" spans="1:6" ht="15" customHeight="1" thickTop="1" thickBot="1" x14ac:dyDescent="0.3">
      <c r="A98" s="47" t="str">
        <f t="shared" si="5"/>
        <v>Emp_003344445</v>
      </c>
      <c r="B98" s="48" t="str">
        <f>IFERROR(INDEX(AttendanceSheet!$B$7:$B196,MATCH('Mark Leave'!C98,AttendanceSheet!$C$7:$C196,0)),"")</f>
        <v>Emp_0033</v>
      </c>
      <c r="C98" s="38" t="s">
        <v>110</v>
      </c>
      <c r="D98" s="49">
        <v>44445</v>
      </c>
      <c r="E98" s="40" t="s">
        <v>89</v>
      </c>
      <c r="F98"/>
    </row>
    <row r="99" spans="1:6" ht="15" customHeight="1" thickTop="1" thickBot="1" x14ac:dyDescent="0.3">
      <c r="A99" s="47" t="str">
        <f t="shared" si="5"/>
        <v>Emp_003344446</v>
      </c>
      <c r="B99" s="48" t="str">
        <f>IFERROR(INDEX(AttendanceSheet!$B$7:$B197,MATCH('Mark Leave'!C99,AttendanceSheet!$C$7:$C197,0)),"")</f>
        <v>Emp_0033</v>
      </c>
      <c r="C99" s="38" t="s">
        <v>110</v>
      </c>
      <c r="D99" s="49">
        <v>44446</v>
      </c>
      <c r="E99" s="40" t="s">
        <v>89</v>
      </c>
      <c r="F99"/>
    </row>
    <row r="100" spans="1:6" ht="15" customHeight="1" thickTop="1" thickBot="1" x14ac:dyDescent="0.3">
      <c r="A100" s="47" t="str">
        <f t="shared" si="5"/>
        <v>Emp_003444440</v>
      </c>
      <c r="B100" s="48" t="str">
        <f>IFERROR(INDEX(AttendanceSheet!$B$7:$B198,MATCH('Mark Leave'!C100,AttendanceSheet!$C$7:$C198,0)),"")</f>
        <v>Emp_0034</v>
      </c>
      <c r="C100" s="51" t="s">
        <v>111</v>
      </c>
      <c r="D100" s="49">
        <v>44440</v>
      </c>
      <c r="E100" s="40" t="s">
        <v>89</v>
      </c>
      <c r="F100"/>
    </row>
    <row r="101" spans="1:6" ht="16.5" thickTop="1" thickBot="1" x14ac:dyDescent="0.3">
      <c r="A101" s="47" t="str">
        <f t="shared" si="5"/>
        <v>Emp_003444441</v>
      </c>
      <c r="B101" s="48" t="str">
        <f>IFERROR(INDEX(AttendanceSheet!$B$7:$B199,MATCH('Mark Leave'!C101,AttendanceSheet!$C$7:$C199,0)),"")</f>
        <v>Emp_0034</v>
      </c>
      <c r="C101" s="51" t="s">
        <v>111</v>
      </c>
      <c r="D101" s="49">
        <v>44441</v>
      </c>
      <c r="E101" s="40" t="s">
        <v>89</v>
      </c>
    </row>
    <row r="102" spans="1:6" ht="16.5" thickTop="1" thickBot="1" x14ac:dyDescent="0.3">
      <c r="A102" s="47" t="str">
        <f t="shared" si="5"/>
        <v>Emp_003444442</v>
      </c>
      <c r="B102" s="48" t="str">
        <f>IFERROR(INDEX(AttendanceSheet!$B$7:$B200,MATCH('Mark Leave'!C102,AttendanceSheet!$C$7:$C200,0)),"")</f>
        <v>Emp_0034</v>
      </c>
      <c r="C102" s="51" t="s">
        <v>111</v>
      </c>
      <c r="D102" s="49">
        <v>44442</v>
      </c>
      <c r="E102" s="40" t="s">
        <v>89</v>
      </c>
    </row>
    <row r="103" spans="1:6" ht="16.5" thickTop="1" thickBot="1" x14ac:dyDescent="0.3">
      <c r="A103" s="47" t="str">
        <f t="shared" si="5"/>
        <v>Emp_003444443</v>
      </c>
      <c r="B103" s="48" t="str">
        <f>IFERROR(INDEX(AttendanceSheet!$B$7:$B201,MATCH('Mark Leave'!C103,AttendanceSheet!$C$7:$C201,0)),"")</f>
        <v>Emp_0034</v>
      </c>
      <c r="C103" s="51" t="s">
        <v>111</v>
      </c>
      <c r="D103" s="49">
        <v>44443</v>
      </c>
      <c r="E103" s="40" t="s">
        <v>89</v>
      </c>
    </row>
    <row r="104" spans="1:6" ht="16.5" thickTop="1" thickBot="1" x14ac:dyDescent="0.3">
      <c r="A104" s="47" t="str">
        <f t="shared" si="5"/>
        <v>Emp_003444445</v>
      </c>
      <c r="B104" s="48" t="str">
        <f>IFERROR(INDEX(AttendanceSheet!$B$7:$B202,MATCH('Mark Leave'!C104,AttendanceSheet!$C$7:$C202,0)),"")</f>
        <v>Emp_0034</v>
      </c>
      <c r="C104" s="51" t="s">
        <v>111</v>
      </c>
      <c r="D104" s="49">
        <v>44445</v>
      </c>
      <c r="E104" s="40" t="s">
        <v>89</v>
      </c>
    </row>
    <row r="105" spans="1:6" ht="16.5" thickTop="1" thickBot="1" x14ac:dyDescent="0.3">
      <c r="A105" s="47" t="str">
        <f t="shared" si="5"/>
        <v>Emp_003444446</v>
      </c>
      <c r="B105" s="48" t="str">
        <f>IFERROR(INDEX(AttendanceSheet!$B$7:$B203,MATCH('Mark Leave'!C105,AttendanceSheet!$C$7:$C203,0)),"")</f>
        <v>Emp_0034</v>
      </c>
      <c r="C105" s="51" t="s">
        <v>111</v>
      </c>
      <c r="D105" s="49">
        <v>44446</v>
      </c>
      <c r="E105" s="40" t="s">
        <v>89</v>
      </c>
    </row>
    <row r="106" spans="1:6" ht="16.5" thickTop="1" thickBot="1" x14ac:dyDescent="0.3">
      <c r="A106" s="47" t="str">
        <f t="shared" si="5"/>
        <v>Emp_003544440</v>
      </c>
      <c r="B106" s="48" t="str">
        <f>IFERROR(INDEX(AttendanceSheet!$B$7:$B204,MATCH('Mark Leave'!C106,AttendanceSheet!$C$7:$C204,0)),"")</f>
        <v>Emp_0035</v>
      </c>
      <c r="C106" s="38" t="s">
        <v>112</v>
      </c>
      <c r="D106" s="49">
        <v>44440</v>
      </c>
      <c r="E106" s="40" t="s">
        <v>89</v>
      </c>
    </row>
    <row r="107" spans="1:6" ht="16.5" thickTop="1" thickBot="1" x14ac:dyDescent="0.3">
      <c r="A107" s="47" t="str">
        <f t="shared" si="5"/>
        <v>Emp_003544441</v>
      </c>
      <c r="B107" s="48" t="str">
        <f>IFERROR(INDEX(AttendanceSheet!$B$7:$B205,MATCH('Mark Leave'!C107,AttendanceSheet!$C$7:$C205,0)),"")</f>
        <v>Emp_0035</v>
      </c>
      <c r="C107" s="38" t="s">
        <v>112</v>
      </c>
      <c r="D107" s="49">
        <v>44441</v>
      </c>
      <c r="E107" s="40" t="s">
        <v>89</v>
      </c>
    </row>
    <row r="108" spans="1:6" ht="16.5" thickTop="1" thickBot="1" x14ac:dyDescent="0.3">
      <c r="A108" s="47" t="str">
        <f t="shared" si="5"/>
        <v>Emp_003644440</v>
      </c>
      <c r="B108" s="48" t="str">
        <f>IFERROR(INDEX(AttendanceSheet!$B$7:$B206,MATCH('Mark Leave'!C108,AttendanceSheet!$C$7:$C206,0)),"")</f>
        <v>Emp_0036</v>
      </c>
      <c r="C108" s="38" t="s">
        <v>113</v>
      </c>
      <c r="D108" s="49">
        <v>44440</v>
      </c>
      <c r="E108" s="40" t="s">
        <v>89</v>
      </c>
    </row>
    <row r="109" spans="1:6" ht="16.5" thickTop="1" thickBot="1" x14ac:dyDescent="0.3">
      <c r="A109" s="47" t="str">
        <f t="shared" si="5"/>
        <v>Emp_003644441</v>
      </c>
      <c r="B109" s="48" t="str">
        <f>IFERROR(INDEX(AttendanceSheet!$B$7:$B207,MATCH('Mark Leave'!C109,AttendanceSheet!$C$7:$C207,0)),"")</f>
        <v>Emp_0036</v>
      </c>
      <c r="C109" s="38" t="s">
        <v>113</v>
      </c>
      <c r="D109" s="49">
        <v>44441</v>
      </c>
      <c r="E109" s="40" t="s">
        <v>89</v>
      </c>
    </row>
    <row r="110" spans="1:6" ht="16.5" thickTop="1" thickBot="1" x14ac:dyDescent="0.3">
      <c r="A110" s="47" t="str">
        <f t="shared" si="5"/>
        <v>Emp_003644442</v>
      </c>
      <c r="B110" s="48" t="str">
        <f>IFERROR(INDEX(AttendanceSheet!$B$7:$B208,MATCH('Mark Leave'!C110,AttendanceSheet!$C$7:$C208,0)),"")</f>
        <v>Emp_0036</v>
      </c>
      <c r="C110" s="38" t="s">
        <v>113</v>
      </c>
      <c r="D110" s="49">
        <v>44442</v>
      </c>
      <c r="E110" s="40" t="s">
        <v>89</v>
      </c>
    </row>
    <row r="111" spans="1:6" ht="16.5" thickTop="1" thickBot="1" x14ac:dyDescent="0.3">
      <c r="A111" s="47" t="str">
        <f t="shared" si="5"/>
        <v>Emp_003644443</v>
      </c>
      <c r="B111" s="48" t="str">
        <f>IFERROR(INDEX(AttendanceSheet!$B$7:$B209,MATCH('Mark Leave'!C111,AttendanceSheet!$C$7:$C209,0)),"")</f>
        <v>Emp_0036</v>
      </c>
      <c r="C111" s="38" t="s">
        <v>113</v>
      </c>
      <c r="D111" s="49">
        <v>44443</v>
      </c>
      <c r="E111" s="40" t="s">
        <v>89</v>
      </c>
    </row>
    <row r="112" spans="1:6" ht="16.5" thickTop="1" thickBot="1" x14ac:dyDescent="0.3">
      <c r="A112" s="47" t="str">
        <f t="shared" si="5"/>
        <v>Emp_003644445</v>
      </c>
      <c r="B112" s="48" t="str">
        <f>IFERROR(INDEX(AttendanceSheet!$B$7:$B210,MATCH('Mark Leave'!C112,AttendanceSheet!$C$7:$C210,0)),"")</f>
        <v>Emp_0036</v>
      </c>
      <c r="C112" s="38" t="s">
        <v>113</v>
      </c>
      <c r="D112" s="49">
        <v>44445</v>
      </c>
      <c r="E112" s="40" t="s">
        <v>89</v>
      </c>
    </row>
    <row r="113" spans="1:5" ht="16.5" thickTop="1" thickBot="1" x14ac:dyDescent="0.3">
      <c r="A113" s="47" t="str">
        <f t="shared" si="5"/>
        <v>Emp_003644446</v>
      </c>
      <c r="B113" s="48" t="str">
        <f>IFERROR(INDEX(AttendanceSheet!$B$7:$B211,MATCH('Mark Leave'!C113,AttendanceSheet!$C$7:$C211,0)),"")</f>
        <v>Emp_0036</v>
      </c>
      <c r="C113" s="38" t="s">
        <v>113</v>
      </c>
      <c r="D113" s="49">
        <v>44446</v>
      </c>
      <c r="E113" s="40" t="s">
        <v>89</v>
      </c>
    </row>
    <row r="114" spans="1:5" ht="16.5" thickTop="1" thickBot="1" x14ac:dyDescent="0.3">
      <c r="A114" s="47" t="str">
        <f t="shared" si="5"/>
        <v>Emp_003644447</v>
      </c>
      <c r="B114" s="48" t="str">
        <f>IFERROR(INDEX(AttendanceSheet!$B$7:$B212,MATCH('Mark Leave'!C114,AttendanceSheet!$C$7:$C212,0)),"")</f>
        <v>Emp_0036</v>
      </c>
      <c r="C114" s="38" t="s">
        <v>113</v>
      </c>
      <c r="D114" s="50">
        <v>44447</v>
      </c>
      <c r="E114" s="40" t="s">
        <v>89</v>
      </c>
    </row>
    <row r="115" spans="1:5" ht="16.5" thickTop="1" thickBot="1" x14ac:dyDescent="0.3">
      <c r="A115" s="47" t="str">
        <f t="shared" si="5"/>
        <v>Emp_003644448</v>
      </c>
      <c r="B115" s="48" t="str">
        <f>IFERROR(INDEX(AttendanceSheet!$B$7:$B213,MATCH('Mark Leave'!C115,AttendanceSheet!$C$7:$C213,0)),"")</f>
        <v>Emp_0036</v>
      </c>
      <c r="C115" s="38" t="s">
        <v>113</v>
      </c>
      <c r="D115" s="50">
        <v>44448</v>
      </c>
      <c r="E115" s="40" t="s">
        <v>89</v>
      </c>
    </row>
    <row r="116" spans="1:5" ht="16.5" thickTop="1" thickBot="1" x14ac:dyDescent="0.3">
      <c r="A116" s="47" t="str">
        <f t="shared" si="5"/>
        <v>Emp_003744440</v>
      </c>
      <c r="B116" s="48" t="str">
        <f>IFERROR(INDEX(AttendanceSheet!$B$7:$B214,MATCH('Mark Leave'!C116,AttendanceSheet!$C$7:$C214,0)),"")</f>
        <v>Emp_0037</v>
      </c>
      <c r="C116" s="38" t="s">
        <v>114</v>
      </c>
      <c r="D116" s="49">
        <v>44440</v>
      </c>
      <c r="E116" s="40" t="s">
        <v>89</v>
      </c>
    </row>
    <row r="117" spans="1:5" ht="16.5" thickTop="1" thickBot="1" x14ac:dyDescent="0.3">
      <c r="A117" s="47" t="str">
        <f t="shared" si="5"/>
        <v>Emp_003744441</v>
      </c>
      <c r="B117" s="48" t="str">
        <f>IFERROR(INDEX(AttendanceSheet!$B$7:$B215,MATCH('Mark Leave'!C117,AttendanceSheet!$C$7:$C215,0)),"")</f>
        <v>Emp_0037</v>
      </c>
      <c r="C117" s="38" t="s">
        <v>114</v>
      </c>
      <c r="D117" s="49">
        <v>44441</v>
      </c>
      <c r="E117" s="40" t="s">
        <v>89</v>
      </c>
    </row>
    <row r="118" spans="1:5" ht="16.5" thickTop="1" thickBot="1" x14ac:dyDescent="0.3">
      <c r="A118" s="47" t="str">
        <f t="shared" si="5"/>
        <v>Emp_003744442</v>
      </c>
      <c r="B118" s="48" t="str">
        <f>IFERROR(INDEX(AttendanceSheet!$B$7:$B216,MATCH('Mark Leave'!C118,AttendanceSheet!$C$7:$C216,0)),"")</f>
        <v>Emp_0037</v>
      </c>
      <c r="C118" s="38" t="s">
        <v>114</v>
      </c>
      <c r="D118" s="49">
        <v>44442</v>
      </c>
      <c r="E118" s="40" t="s">
        <v>89</v>
      </c>
    </row>
    <row r="119" spans="1:5" ht="16.5" thickTop="1" thickBot="1" x14ac:dyDescent="0.3">
      <c r="A119" s="47" t="str">
        <f t="shared" si="5"/>
        <v>Emp_003744443</v>
      </c>
      <c r="B119" s="48" t="str">
        <f>IFERROR(INDEX(AttendanceSheet!$B$7:$B217,MATCH('Mark Leave'!C119,AttendanceSheet!$C$7:$C217,0)),"")</f>
        <v>Emp_0037</v>
      </c>
      <c r="C119" s="38" t="s">
        <v>114</v>
      </c>
      <c r="D119" s="49">
        <v>44443</v>
      </c>
      <c r="E119" s="40" t="s">
        <v>89</v>
      </c>
    </row>
    <row r="120" spans="1:5" ht="16.5" thickTop="1" thickBot="1" x14ac:dyDescent="0.3">
      <c r="A120" s="47" t="str">
        <f t="shared" si="5"/>
        <v>Emp_003744445</v>
      </c>
      <c r="B120" s="48" t="str">
        <f>IFERROR(INDEX(AttendanceSheet!$B$7:$B218,MATCH('Mark Leave'!C120,AttendanceSheet!$C$7:$C218,0)),"")</f>
        <v>Emp_0037</v>
      </c>
      <c r="C120" s="38" t="s">
        <v>114</v>
      </c>
      <c r="D120" s="49">
        <v>44445</v>
      </c>
      <c r="E120" s="40" t="s">
        <v>89</v>
      </c>
    </row>
    <row r="121" spans="1:5" ht="16.5" thickTop="1" thickBot="1" x14ac:dyDescent="0.3">
      <c r="A121" s="47" t="str">
        <f t="shared" si="5"/>
        <v>Emp_003744446</v>
      </c>
      <c r="B121" s="48" t="str">
        <f>IFERROR(INDEX(AttendanceSheet!$B$7:$B219,MATCH('Mark Leave'!C121,AttendanceSheet!$C$7:$C219,0)),"")</f>
        <v>Emp_0037</v>
      </c>
      <c r="C121" s="38" t="s">
        <v>114</v>
      </c>
      <c r="D121" s="49">
        <v>44446</v>
      </c>
      <c r="E121" s="40" t="s">
        <v>89</v>
      </c>
    </row>
    <row r="122" spans="1:5" ht="16.5" thickTop="1" thickBot="1" x14ac:dyDescent="0.3">
      <c r="A122" s="47" t="str">
        <f t="shared" si="5"/>
        <v>Emp_003744447</v>
      </c>
      <c r="B122" s="48" t="str">
        <f>IFERROR(INDEX(AttendanceSheet!$B$7:$B220,MATCH('Mark Leave'!C122,AttendanceSheet!$C$7:$C220,0)),"")</f>
        <v>Emp_0037</v>
      </c>
      <c r="C122" s="38" t="s">
        <v>114</v>
      </c>
      <c r="D122" s="50">
        <v>44447</v>
      </c>
      <c r="E122" s="40" t="s">
        <v>89</v>
      </c>
    </row>
    <row r="123" spans="1:5" ht="16.5" thickTop="1" thickBot="1" x14ac:dyDescent="0.3">
      <c r="A123" s="47" t="str">
        <f t="shared" si="5"/>
        <v>Emp_003744448</v>
      </c>
      <c r="B123" s="48" t="str">
        <f>IFERROR(INDEX(AttendanceSheet!$B$7:$B221,MATCH('Mark Leave'!C123,AttendanceSheet!$C$7:$C221,0)),"")</f>
        <v>Emp_0037</v>
      </c>
      <c r="C123" s="38" t="s">
        <v>114</v>
      </c>
      <c r="D123" s="50">
        <v>44448</v>
      </c>
      <c r="E123" s="40" t="s">
        <v>89</v>
      </c>
    </row>
    <row r="124" spans="1:5" ht="16.5" thickTop="1" thickBot="1" x14ac:dyDescent="0.3">
      <c r="A124" s="47" t="str">
        <f t="shared" si="5"/>
        <v>Emp_003744449</v>
      </c>
      <c r="B124" s="48" t="str">
        <f>IFERROR(INDEX(AttendanceSheet!$B$7:$B222,MATCH('Mark Leave'!C124,AttendanceSheet!$C$7:$C222,0)),"")</f>
        <v>Emp_0037</v>
      </c>
      <c r="C124" s="38" t="s">
        <v>114</v>
      </c>
      <c r="D124" s="50">
        <v>44449</v>
      </c>
      <c r="E124" s="40" t="s">
        <v>39</v>
      </c>
    </row>
    <row r="125" spans="1:5" ht="16.5" thickTop="1" thickBot="1" x14ac:dyDescent="0.3">
      <c r="A125" s="47" t="str">
        <f t="shared" si="5"/>
        <v>Emp_003744450</v>
      </c>
      <c r="B125" s="48" t="str">
        <f>IFERROR(INDEX(AttendanceSheet!$B$7:$B223,MATCH('Mark Leave'!C125,AttendanceSheet!$C$7:$C223,0)),"")</f>
        <v>Emp_0037</v>
      </c>
      <c r="C125" s="38" t="s">
        <v>114</v>
      </c>
      <c r="D125" s="50">
        <v>44450</v>
      </c>
      <c r="E125" s="40" t="s">
        <v>89</v>
      </c>
    </row>
    <row r="126" spans="1:5" ht="16.5" thickTop="1" thickBot="1" x14ac:dyDescent="0.3">
      <c r="A126" s="47" t="str">
        <f t="shared" si="5"/>
        <v>Emp_003944440</v>
      </c>
      <c r="B126" s="48" t="str">
        <f>IFERROR(INDEX(AttendanceSheet!$B$7:$B224,MATCH('Mark Leave'!C126,AttendanceSheet!$C$7:$C224,0)),"")</f>
        <v>Emp_0039</v>
      </c>
      <c r="C126" s="38" t="s">
        <v>116</v>
      </c>
      <c r="D126" s="49">
        <v>44440</v>
      </c>
      <c r="E126" s="40" t="s">
        <v>89</v>
      </c>
    </row>
    <row r="127" spans="1:5" ht="16.5" thickTop="1" thickBot="1" x14ac:dyDescent="0.3">
      <c r="A127" s="47" t="str">
        <f t="shared" si="5"/>
        <v>Emp_003944441</v>
      </c>
      <c r="B127" s="48" t="str">
        <f>IFERROR(INDEX(AttendanceSheet!$B$7:$B225,MATCH('Mark Leave'!C127,AttendanceSheet!$C$7:$C225,0)),"")</f>
        <v>Emp_0039</v>
      </c>
      <c r="C127" s="38" t="s">
        <v>116</v>
      </c>
      <c r="D127" s="49">
        <v>44441</v>
      </c>
      <c r="E127" s="40" t="s">
        <v>89</v>
      </c>
    </row>
    <row r="128" spans="1:5" ht="16.5" thickTop="1" thickBot="1" x14ac:dyDescent="0.3">
      <c r="A128" s="47" t="str">
        <f t="shared" si="5"/>
        <v>Emp_003944442</v>
      </c>
      <c r="B128" s="48" t="str">
        <f>IFERROR(INDEX(AttendanceSheet!$B$7:$B226,MATCH('Mark Leave'!C128,AttendanceSheet!$C$7:$C226,0)),"")</f>
        <v>Emp_0039</v>
      </c>
      <c r="C128" s="38" t="s">
        <v>116</v>
      </c>
      <c r="D128" s="49">
        <v>44442</v>
      </c>
      <c r="E128" s="40" t="s">
        <v>89</v>
      </c>
    </row>
    <row r="129" spans="1:5" ht="16.5" thickTop="1" thickBot="1" x14ac:dyDescent="0.3">
      <c r="A129" s="47" t="str">
        <f t="shared" si="5"/>
        <v>Emp_003944443</v>
      </c>
      <c r="B129" s="48" t="str">
        <f>IFERROR(INDEX(AttendanceSheet!$B$7:$B227,MATCH('Mark Leave'!C129,AttendanceSheet!$C$7:$C227,0)),"")</f>
        <v>Emp_0039</v>
      </c>
      <c r="C129" s="38" t="s">
        <v>116</v>
      </c>
      <c r="D129" s="49">
        <v>44443</v>
      </c>
      <c r="E129" s="40" t="s">
        <v>89</v>
      </c>
    </row>
    <row r="130" spans="1:5" ht="16.5" thickTop="1" thickBot="1" x14ac:dyDescent="0.3">
      <c r="A130" s="47" t="str">
        <f t="shared" ref="A130:A131" si="6">B130&amp;D130</f>
        <v>Emp_003944445</v>
      </c>
      <c r="B130" s="48" t="str">
        <f>IFERROR(INDEX(AttendanceSheet!$B$7:$B228,MATCH('Mark Leave'!C130,AttendanceSheet!$C$7:$C228,0)),"")</f>
        <v>Emp_0039</v>
      </c>
      <c r="C130" s="38" t="s">
        <v>116</v>
      </c>
      <c r="D130" s="49">
        <v>44445</v>
      </c>
      <c r="E130" s="40" t="s">
        <v>89</v>
      </c>
    </row>
    <row r="131" spans="1:5" ht="16.5" thickTop="1" thickBot="1" x14ac:dyDescent="0.3">
      <c r="A131" s="47" t="str">
        <f t="shared" si="6"/>
        <v>Emp_003944446</v>
      </c>
      <c r="B131" s="48" t="str">
        <f>IFERROR(INDEX(AttendanceSheet!$B$7:$B229,MATCH('Mark Leave'!C131,AttendanceSheet!$C$7:$C229,0)),"")</f>
        <v>Emp_0039</v>
      </c>
      <c r="C131" s="38" t="s">
        <v>116</v>
      </c>
      <c r="D131" s="49">
        <v>44446</v>
      </c>
      <c r="E131" s="40" t="s">
        <v>89</v>
      </c>
    </row>
    <row r="132" spans="1:5" ht="16.5" thickTop="1" thickBot="1" x14ac:dyDescent="0.3">
      <c r="A132" s="47" t="str">
        <f t="shared" ref="A132:A149" si="7">B132&amp;D132</f>
        <v>44440</v>
      </c>
      <c r="B132" s="48" t="str">
        <f>IFERROR(INDEX(AttendanceSheet!$B$7:$B230,MATCH('Mark Leave'!C132,AttendanceSheet!$C$7:$C230,0)),"")</f>
        <v/>
      </c>
      <c r="C132" s="38" t="s">
        <v>180</v>
      </c>
      <c r="D132" s="49">
        <v>44440</v>
      </c>
      <c r="E132" s="40" t="s">
        <v>89</v>
      </c>
    </row>
    <row r="133" spans="1:5" ht="16.5" thickTop="1" thickBot="1" x14ac:dyDescent="0.3">
      <c r="A133" s="47" t="str">
        <f t="shared" si="7"/>
        <v>Emp_000344440</v>
      </c>
      <c r="B133" s="48" t="str">
        <f>IFERROR(INDEX(AttendanceSheet!$B$7:$B231,MATCH('Mark Leave'!C133,AttendanceSheet!$C$7:$C231,0)),"")</f>
        <v>Emp_0003</v>
      </c>
      <c r="C133" s="38" t="s">
        <v>117</v>
      </c>
      <c r="D133" s="49">
        <v>44440</v>
      </c>
      <c r="E133" s="40" t="s">
        <v>89</v>
      </c>
    </row>
    <row r="134" spans="1:5" ht="16.5" thickTop="1" thickBot="1" x14ac:dyDescent="0.3">
      <c r="A134" s="47" t="str">
        <f t="shared" si="7"/>
        <v>Emp_0011</v>
      </c>
      <c r="B134" s="48" t="str">
        <f>IFERROR(INDEX(AttendanceSheet!$B$7:$B232,MATCH('Mark Leave'!C134,AttendanceSheet!$C$7:$C232,0)),"")</f>
        <v>Emp_0011</v>
      </c>
      <c r="C134" s="38" t="s">
        <v>31</v>
      </c>
      <c r="D134" s="49"/>
      <c r="E134" s="40"/>
    </row>
    <row r="135" spans="1:5" ht="16.5" thickTop="1" thickBot="1" x14ac:dyDescent="0.3">
      <c r="A135" s="47" t="str">
        <f t="shared" si="7"/>
        <v>Emp_0011</v>
      </c>
      <c r="B135" s="48" t="str">
        <f>IFERROR(INDEX(AttendanceSheet!$B$7:$B233,MATCH('Mark Leave'!C135,AttendanceSheet!$C$7:$C233,0)),"")</f>
        <v>Emp_0011</v>
      </c>
      <c r="C135" s="38" t="s">
        <v>31</v>
      </c>
      <c r="D135" s="49"/>
      <c r="E135" s="40"/>
    </row>
    <row r="136" spans="1:5" ht="16.5" thickTop="1" thickBot="1" x14ac:dyDescent="0.3">
      <c r="A136" s="47" t="str">
        <f t="shared" si="7"/>
        <v>Emp_0011</v>
      </c>
      <c r="B136" s="48" t="str">
        <f>IFERROR(INDEX(AttendanceSheet!$B$7:$B234,MATCH('Mark Leave'!C136,AttendanceSheet!$C$7:$C234,0)),"")</f>
        <v>Emp_0011</v>
      </c>
      <c r="C136" s="38" t="s">
        <v>31</v>
      </c>
      <c r="D136" s="49"/>
      <c r="E136" s="40"/>
    </row>
    <row r="137" spans="1:5" ht="16.5" thickTop="1" thickBot="1" x14ac:dyDescent="0.3">
      <c r="A137" s="47" t="str">
        <f t="shared" si="7"/>
        <v>Emp_0011</v>
      </c>
      <c r="B137" s="48" t="str">
        <f>IFERROR(INDEX(AttendanceSheet!$B$7:$B235,MATCH('Mark Leave'!C137,AttendanceSheet!$C$7:$C235,0)),"")</f>
        <v>Emp_0011</v>
      </c>
      <c r="C137" s="38" t="s">
        <v>31</v>
      </c>
      <c r="D137" s="49"/>
      <c r="E137" s="40"/>
    </row>
    <row r="138" spans="1:5" ht="16.5" thickTop="1" thickBot="1" x14ac:dyDescent="0.3">
      <c r="A138" s="47" t="str">
        <f t="shared" si="7"/>
        <v>Emp_0011</v>
      </c>
      <c r="B138" s="48" t="str">
        <f>IFERROR(INDEX(AttendanceSheet!$B$7:$B236,MATCH('Mark Leave'!C138,AttendanceSheet!$C$7:$C236,0)),"")</f>
        <v>Emp_0011</v>
      </c>
      <c r="C138" s="38" t="s">
        <v>31</v>
      </c>
      <c r="D138" s="49"/>
      <c r="E138" s="40"/>
    </row>
    <row r="139" spans="1:5" ht="16.5" thickTop="1" thickBot="1" x14ac:dyDescent="0.3">
      <c r="A139" s="47" t="str">
        <f t="shared" si="7"/>
        <v>Emp_0011</v>
      </c>
      <c r="B139" s="48" t="str">
        <f>IFERROR(INDEX(AttendanceSheet!$B$7:$B237,MATCH('Mark Leave'!C139,AttendanceSheet!$C$7:$C237,0)),"")</f>
        <v>Emp_0011</v>
      </c>
      <c r="C139" s="38" t="s">
        <v>31</v>
      </c>
      <c r="D139" s="49"/>
      <c r="E139" s="40"/>
    </row>
    <row r="140" spans="1:5" ht="16.5" thickTop="1" thickBot="1" x14ac:dyDescent="0.3">
      <c r="A140" s="47" t="str">
        <f t="shared" si="7"/>
        <v>Emp_0011</v>
      </c>
      <c r="B140" s="48" t="str">
        <f>IFERROR(INDEX(AttendanceSheet!$B$7:$B238,MATCH('Mark Leave'!C140,AttendanceSheet!$C$7:$C238,0)),"")</f>
        <v>Emp_0011</v>
      </c>
      <c r="C140" s="38" t="s">
        <v>31</v>
      </c>
      <c r="D140" s="49"/>
      <c r="E140" s="40"/>
    </row>
    <row r="141" spans="1:5" ht="16.5" thickTop="1" thickBot="1" x14ac:dyDescent="0.3">
      <c r="A141" s="47" t="str">
        <f t="shared" si="7"/>
        <v>Emp_0011</v>
      </c>
      <c r="B141" s="48" t="str">
        <f>IFERROR(INDEX(AttendanceSheet!$B$7:$B239,MATCH('Mark Leave'!C141,AttendanceSheet!$C$7:$C239,0)),"")</f>
        <v>Emp_0011</v>
      </c>
      <c r="C141" s="38" t="s">
        <v>31</v>
      </c>
      <c r="D141" s="49"/>
      <c r="E141" s="40"/>
    </row>
    <row r="142" spans="1:5" ht="16.5" thickTop="1" thickBot="1" x14ac:dyDescent="0.3">
      <c r="A142" s="47" t="str">
        <f t="shared" si="7"/>
        <v>Emp_0011</v>
      </c>
      <c r="B142" s="48" t="str">
        <f>IFERROR(INDEX(AttendanceSheet!$B$7:$B240,MATCH('Mark Leave'!C142,AttendanceSheet!$C$7:$C240,0)),"")</f>
        <v>Emp_0011</v>
      </c>
      <c r="C142" s="38" t="s">
        <v>31</v>
      </c>
      <c r="D142" s="49"/>
      <c r="E142" s="40"/>
    </row>
    <row r="143" spans="1:5" ht="16.5" thickTop="1" thickBot="1" x14ac:dyDescent="0.3">
      <c r="A143" s="47" t="str">
        <f t="shared" si="7"/>
        <v>Emp_0011</v>
      </c>
      <c r="B143" s="48" t="str">
        <f>IFERROR(INDEX(AttendanceSheet!$B$7:$B241,MATCH('Mark Leave'!C143,AttendanceSheet!$C$7:$C241,0)),"")</f>
        <v>Emp_0011</v>
      </c>
      <c r="C143" s="38" t="s">
        <v>31</v>
      </c>
      <c r="D143" s="49"/>
      <c r="E143" s="40"/>
    </row>
    <row r="144" spans="1:5" ht="16.5" thickTop="1" thickBot="1" x14ac:dyDescent="0.3">
      <c r="A144" s="47" t="str">
        <f t="shared" si="7"/>
        <v>Emp_0011</v>
      </c>
      <c r="B144" s="48" t="str">
        <f>IFERROR(INDEX(AttendanceSheet!$B$7:$B242,MATCH('Mark Leave'!C144,AttendanceSheet!$C$7:$C242,0)),"")</f>
        <v>Emp_0011</v>
      </c>
      <c r="C144" s="38" t="s">
        <v>31</v>
      </c>
      <c r="D144" s="49"/>
      <c r="E144" s="40"/>
    </row>
    <row r="145" spans="1:5" ht="16.5" thickTop="1" thickBot="1" x14ac:dyDescent="0.3">
      <c r="A145" s="47" t="str">
        <f t="shared" si="7"/>
        <v>Emp_0011</v>
      </c>
      <c r="B145" s="48" t="str">
        <f>IFERROR(INDEX(AttendanceSheet!$B$7:$B243,MATCH('Mark Leave'!C145,AttendanceSheet!$C$7:$C243,0)),"")</f>
        <v>Emp_0011</v>
      </c>
      <c r="C145" s="38" t="s">
        <v>31</v>
      </c>
      <c r="D145" s="49"/>
      <c r="E145" s="40"/>
    </row>
    <row r="146" spans="1:5" ht="16.5" thickTop="1" thickBot="1" x14ac:dyDescent="0.3">
      <c r="A146" s="47" t="str">
        <f t="shared" si="7"/>
        <v>Emp_000644440</v>
      </c>
      <c r="B146" s="48" t="str">
        <f>IFERROR(INDEX(AttendanceSheet!$B$7:$B244,MATCH('Mark Leave'!C146,AttendanceSheet!$C$7:$C244,0)),"")</f>
        <v>Emp_0006</v>
      </c>
      <c r="C146" s="38" t="s">
        <v>119</v>
      </c>
      <c r="D146" s="49">
        <v>44440</v>
      </c>
      <c r="E146" s="40" t="s">
        <v>89</v>
      </c>
    </row>
    <row r="147" spans="1:5" ht="16.5" thickTop="1" thickBot="1" x14ac:dyDescent="0.3">
      <c r="A147" s="47" t="str">
        <f t="shared" si="7"/>
        <v>Emp_000444440</v>
      </c>
      <c r="B147" s="48" t="str">
        <f>IFERROR(INDEX(AttendanceSheet!$B$7:$B245,MATCH('Mark Leave'!C147,AttendanceSheet!$C$7:$C245,0)),"")</f>
        <v>Emp_0004</v>
      </c>
      <c r="C147" s="38" t="s">
        <v>121</v>
      </c>
      <c r="D147" s="49">
        <v>44440</v>
      </c>
      <c r="E147" s="40" t="s">
        <v>89</v>
      </c>
    </row>
    <row r="148" spans="1:5" ht="16.5" thickTop="1" thickBot="1" x14ac:dyDescent="0.3">
      <c r="A148" s="47" t="str">
        <f t="shared" si="7"/>
        <v>Emp_000744440</v>
      </c>
      <c r="B148" s="48" t="str">
        <f>IFERROR(INDEX(AttendanceSheet!$B$7:$B246,MATCH('Mark Leave'!C148,AttendanceSheet!$C$7:$C246,0)),"")</f>
        <v>Emp_0007</v>
      </c>
      <c r="C148" s="38" t="s">
        <v>122</v>
      </c>
      <c r="D148" s="49">
        <v>44440</v>
      </c>
      <c r="E148" s="40" t="s">
        <v>89</v>
      </c>
    </row>
    <row r="149" spans="1:5" ht="16.5" thickTop="1" thickBot="1" x14ac:dyDescent="0.3">
      <c r="A149" s="47" t="str">
        <f t="shared" si="7"/>
        <v>Emp_000744441</v>
      </c>
      <c r="B149" s="48" t="str">
        <f>IFERROR(INDEX(AttendanceSheet!$B$7:$B247,MATCH('Mark Leave'!C149,AttendanceSheet!$C$7:$C247,0)),"")</f>
        <v>Emp_0007</v>
      </c>
      <c r="C149" s="38" t="s">
        <v>122</v>
      </c>
      <c r="D149" s="49">
        <v>44441</v>
      </c>
      <c r="E149" s="40" t="s">
        <v>39</v>
      </c>
    </row>
    <row r="150" spans="1:5" ht="16.5" thickTop="1" thickBot="1" x14ac:dyDescent="0.3">
      <c r="A150" s="47" t="str">
        <f t="shared" ref="A150:A213" si="8">B150&amp;D150</f>
        <v>Emp_000344470</v>
      </c>
      <c r="B150" s="48" t="str">
        <f>IFERROR(INDEX(AttendanceSheet!$B$7:$B158,MATCH('Mark Leave'!C150,AttendanceSheet!$C$7:$C184,0)),"")</f>
        <v>Emp_0003</v>
      </c>
      <c r="C150" s="38" t="s">
        <v>117</v>
      </c>
      <c r="D150" s="49">
        <v>44470</v>
      </c>
      <c r="E150" s="40" t="s">
        <v>89</v>
      </c>
    </row>
    <row r="151" spans="1:5" ht="16.5" thickTop="1" thickBot="1" x14ac:dyDescent="0.3">
      <c r="A151" s="47" t="str">
        <f t="shared" si="8"/>
        <v>Emp_002044470</v>
      </c>
      <c r="B151" s="48" t="str">
        <f>IFERROR(INDEX(AttendanceSheet!$B$7:$B159,MATCH('Mark Leave'!C151,AttendanceSheet!$C$7:$C185,0)),"")</f>
        <v>Emp_0020</v>
      </c>
      <c r="C151" s="38" t="s">
        <v>98</v>
      </c>
      <c r="D151" s="49">
        <v>44470</v>
      </c>
      <c r="E151" s="40" t="s">
        <v>89</v>
      </c>
    </row>
    <row r="152" spans="1:5" ht="16.5" thickTop="1" thickBot="1" x14ac:dyDescent="0.3">
      <c r="A152" s="47" t="str">
        <f t="shared" si="8"/>
        <v>Emp_002044471</v>
      </c>
      <c r="B152" s="48" t="str">
        <f>IFERROR(INDEX(AttendanceSheet!$B$7:$B160,MATCH('Mark Leave'!C152,AttendanceSheet!$C$7:$C186,0)),"")</f>
        <v>Emp_0020</v>
      </c>
      <c r="C152" s="38" t="s">
        <v>98</v>
      </c>
      <c r="D152" s="49">
        <v>44471</v>
      </c>
      <c r="E152" s="40" t="s">
        <v>89</v>
      </c>
    </row>
    <row r="153" spans="1:5" ht="16.5" thickTop="1" thickBot="1" x14ac:dyDescent="0.3">
      <c r="A153" s="47" t="str">
        <f t="shared" si="8"/>
        <v>Emp_002044472</v>
      </c>
      <c r="B153" s="48" t="str">
        <f>IFERROR(INDEX(AttendanceSheet!$B$7:$B161,MATCH('Mark Leave'!C153,AttendanceSheet!$C$7:$C187,0)),"")</f>
        <v>Emp_0020</v>
      </c>
      <c r="C153" s="38" t="s">
        <v>98</v>
      </c>
      <c r="D153" s="49">
        <v>44472</v>
      </c>
      <c r="E153" s="40" t="s">
        <v>89</v>
      </c>
    </row>
    <row r="154" spans="1:5" ht="16.5" thickTop="1" thickBot="1" x14ac:dyDescent="0.3">
      <c r="A154" s="47" t="str">
        <f t="shared" si="8"/>
        <v>Emp_002044473</v>
      </c>
      <c r="B154" s="48" t="str">
        <f>IFERROR(INDEX(AttendanceSheet!$B$7:$B162,MATCH('Mark Leave'!C154,AttendanceSheet!$C$7:$C188,0)),"")</f>
        <v>Emp_0020</v>
      </c>
      <c r="C154" s="38" t="s">
        <v>98</v>
      </c>
      <c r="D154" s="49">
        <v>44473</v>
      </c>
      <c r="E154" s="40" t="s">
        <v>89</v>
      </c>
    </row>
    <row r="155" spans="1:5" ht="16.5" thickTop="1" thickBot="1" x14ac:dyDescent="0.3">
      <c r="A155" s="47" t="str">
        <f t="shared" si="8"/>
        <v>Emp_002044474</v>
      </c>
      <c r="B155" s="48" t="str">
        <f>IFERROR(INDEX(AttendanceSheet!$B$7:$B163,MATCH('Mark Leave'!C155,AttendanceSheet!$C$7:$C189,0)),"")</f>
        <v>Emp_0020</v>
      </c>
      <c r="C155" s="38" t="s">
        <v>98</v>
      </c>
      <c r="D155" s="49">
        <v>44474</v>
      </c>
      <c r="E155" s="40" t="s">
        <v>89</v>
      </c>
    </row>
    <row r="156" spans="1:5" ht="16.5" thickTop="1" thickBot="1" x14ac:dyDescent="0.3">
      <c r="A156" s="47" t="str">
        <f t="shared" si="8"/>
        <v>Emp_002044475</v>
      </c>
      <c r="B156" s="48" t="str">
        <f>IFERROR(INDEX(AttendanceSheet!$B$7:$B164,MATCH('Mark Leave'!C156,AttendanceSheet!$C$7:$C190,0)),"")</f>
        <v>Emp_0020</v>
      </c>
      <c r="C156" s="38" t="s">
        <v>98</v>
      </c>
      <c r="D156" s="49">
        <v>44475</v>
      </c>
      <c r="E156" s="40" t="s">
        <v>89</v>
      </c>
    </row>
    <row r="157" spans="1:5" ht="16.5" thickTop="1" thickBot="1" x14ac:dyDescent="0.3">
      <c r="A157" s="47" t="str">
        <f t="shared" si="8"/>
        <v>Emp_002044476</v>
      </c>
      <c r="B157" s="48" t="str">
        <f>IFERROR(INDEX(AttendanceSheet!$B$7:$B165,MATCH('Mark Leave'!C157,AttendanceSheet!$C$7:$C191,0)),"")</f>
        <v>Emp_0020</v>
      </c>
      <c r="C157" s="38" t="s">
        <v>98</v>
      </c>
      <c r="D157" s="49">
        <v>44476</v>
      </c>
      <c r="E157" s="40" t="s">
        <v>89</v>
      </c>
    </row>
    <row r="158" spans="1:5" ht="16.5" thickTop="1" thickBot="1" x14ac:dyDescent="0.3">
      <c r="A158" s="47" t="str">
        <f t="shared" si="8"/>
        <v>Emp_002144470</v>
      </c>
      <c r="B158" s="48" t="str">
        <f>IFERROR(INDEX(AttendanceSheet!$B$7:$B166,MATCH('Mark Leave'!C158,AttendanceSheet!$C$7:$C192,0)),"")</f>
        <v>Emp_0021</v>
      </c>
      <c r="C158" s="38" t="s">
        <v>99</v>
      </c>
      <c r="D158" s="49">
        <v>44470</v>
      </c>
      <c r="E158" s="40" t="s">
        <v>89</v>
      </c>
    </row>
    <row r="159" spans="1:5" ht="16.5" thickTop="1" thickBot="1" x14ac:dyDescent="0.3">
      <c r="A159" s="47" t="str">
        <f t="shared" si="8"/>
        <v>Emp_002144471</v>
      </c>
      <c r="B159" s="48" t="str">
        <f>IFERROR(INDEX(AttendanceSheet!$B$7:$B167,MATCH('Mark Leave'!C159,AttendanceSheet!$C$7:$C193,0)),"")</f>
        <v>Emp_0021</v>
      </c>
      <c r="C159" s="38" t="s">
        <v>99</v>
      </c>
      <c r="D159" s="49">
        <v>44471</v>
      </c>
      <c r="E159" s="40" t="s">
        <v>89</v>
      </c>
    </row>
    <row r="160" spans="1:5" ht="16.5" thickTop="1" thickBot="1" x14ac:dyDescent="0.3">
      <c r="A160" s="47" t="str">
        <f t="shared" si="8"/>
        <v>Emp_002144472</v>
      </c>
      <c r="B160" s="48" t="str">
        <f>IFERROR(INDEX(AttendanceSheet!$B$7:$B168,MATCH('Mark Leave'!C160,AttendanceSheet!$C$7:$C194,0)),"")</f>
        <v>Emp_0021</v>
      </c>
      <c r="C160" s="38" t="s">
        <v>99</v>
      </c>
      <c r="D160" s="49">
        <v>44472</v>
      </c>
      <c r="E160" s="40" t="s">
        <v>89</v>
      </c>
    </row>
    <row r="161" spans="1:5" ht="16.5" thickTop="1" thickBot="1" x14ac:dyDescent="0.3">
      <c r="A161" s="47" t="str">
        <f t="shared" si="8"/>
        <v>Emp_002144473</v>
      </c>
      <c r="B161" s="48" t="str">
        <f>IFERROR(INDEX(AttendanceSheet!$B$7:$B169,MATCH('Mark Leave'!C161,AttendanceSheet!$C$7:$C195,0)),"")</f>
        <v>Emp_0021</v>
      </c>
      <c r="C161" s="38" t="s">
        <v>99</v>
      </c>
      <c r="D161" s="49">
        <v>44473</v>
      </c>
      <c r="E161" s="40" t="s">
        <v>89</v>
      </c>
    </row>
    <row r="162" spans="1:5" ht="16.5" thickTop="1" thickBot="1" x14ac:dyDescent="0.3">
      <c r="A162" s="47" t="str">
        <f t="shared" si="8"/>
        <v>Emp_002144474</v>
      </c>
      <c r="B162" s="48" t="str">
        <f>IFERROR(INDEX(AttendanceSheet!$B$7:$B170,MATCH('Mark Leave'!C162,AttendanceSheet!$C$7:$C196,0)),"")</f>
        <v>Emp_0021</v>
      </c>
      <c r="C162" s="38" t="s">
        <v>99</v>
      </c>
      <c r="D162" s="49">
        <v>44474</v>
      </c>
      <c r="E162" s="40" t="s">
        <v>89</v>
      </c>
    </row>
    <row r="163" spans="1:5" ht="16.5" thickTop="1" thickBot="1" x14ac:dyDescent="0.3">
      <c r="A163" s="47" t="str">
        <f t="shared" si="8"/>
        <v>Emp_002144475</v>
      </c>
      <c r="B163" s="48" t="str">
        <f>IFERROR(INDEX(AttendanceSheet!$B$7:$B171,MATCH('Mark Leave'!C163,AttendanceSheet!$C$7:$C197,0)),"")</f>
        <v>Emp_0021</v>
      </c>
      <c r="C163" s="38" t="s">
        <v>99</v>
      </c>
      <c r="D163" s="49">
        <v>44475</v>
      </c>
      <c r="E163" s="40" t="s">
        <v>89</v>
      </c>
    </row>
    <row r="164" spans="1:5" ht="16.5" thickTop="1" thickBot="1" x14ac:dyDescent="0.3">
      <c r="A164" s="47" t="str">
        <f t="shared" si="8"/>
        <v>Emp_002344470</v>
      </c>
      <c r="B164" s="48" t="str">
        <f>IFERROR(INDEX(AttendanceSheet!$B$7:$B172,MATCH('Mark Leave'!C164,AttendanceSheet!$C$7:$C198,0)),"")</f>
        <v>Emp_0023</v>
      </c>
      <c r="C164" s="38" t="s">
        <v>101</v>
      </c>
      <c r="D164" s="49">
        <v>44470</v>
      </c>
      <c r="E164" s="40" t="s">
        <v>89</v>
      </c>
    </row>
    <row r="165" spans="1:5" ht="16.5" thickTop="1" thickBot="1" x14ac:dyDescent="0.3">
      <c r="A165" s="47" t="str">
        <f t="shared" si="8"/>
        <v>Emp_002344471</v>
      </c>
      <c r="B165" s="48" t="str">
        <f>IFERROR(INDEX(AttendanceSheet!$B$7:$B173,MATCH('Mark Leave'!C165,AttendanceSheet!$C$7:$C199,0)),"")</f>
        <v>Emp_0023</v>
      </c>
      <c r="C165" s="38" t="s">
        <v>101</v>
      </c>
      <c r="D165" s="49">
        <v>44471</v>
      </c>
      <c r="E165" s="40" t="s">
        <v>89</v>
      </c>
    </row>
    <row r="166" spans="1:5" ht="16.5" thickTop="1" thickBot="1" x14ac:dyDescent="0.3">
      <c r="A166" s="47" t="str">
        <f t="shared" si="8"/>
        <v>Emp_003944470</v>
      </c>
      <c r="B166" s="48" t="str">
        <f>IFERROR(INDEX(AttendanceSheet!$B$7:$B174,MATCH('Mark Leave'!C166,AttendanceSheet!$C$7:$C200,0)),"")</f>
        <v>Emp_0039</v>
      </c>
      <c r="C166" s="38" t="s">
        <v>116</v>
      </c>
      <c r="D166" s="49">
        <v>44470</v>
      </c>
      <c r="E166" s="40" t="s">
        <v>89</v>
      </c>
    </row>
    <row r="167" spans="1:5" ht="16.5" thickTop="1" thickBot="1" x14ac:dyDescent="0.3">
      <c r="A167" s="47" t="str">
        <f t="shared" si="8"/>
        <v>Emp_003944471</v>
      </c>
      <c r="B167" s="48" t="str">
        <f>IFERROR(INDEX(AttendanceSheet!$B$7:$B175,MATCH('Mark Leave'!C167,AttendanceSheet!$C$7:$C201,0)),"")</f>
        <v>Emp_0039</v>
      </c>
      <c r="C167" s="38" t="s">
        <v>116</v>
      </c>
      <c r="D167" s="49">
        <v>44471</v>
      </c>
      <c r="E167" s="40" t="s">
        <v>89</v>
      </c>
    </row>
    <row r="168" spans="1:5" ht="16.5" thickTop="1" thickBot="1" x14ac:dyDescent="0.3">
      <c r="A168" s="47" t="str">
        <f t="shared" si="8"/>
        <v>Emp_003744470</v>
      </c>
      <c r="B168" s="48" t="str">
        <f>IFERROR(INDEX(AttendanceSheet!$B$7:$B176,MATCH('Mark Leave'!C168,AttendanceSheet!$C$7:$C202,0)),"")</f>
        <v>Emp_0037</v>
      </c>
      <c r="C168" s="38" t="s">
        <v>114</v>
      </c>
      <c r="D168" s="49">
        <v>44470</v>
      </c>
      <c r="E168" s="40" t="s">
        <v>89</v>
      </c>
    </row>
    <row r="169" spans="1:5" ht="16.5" thickTop="1" thickBot="1" x14ac:dyDescent="0.3">
      <c r="A169" s="47" t="str">
        <f t="shared" si="8"/>
        <v>Emp_003744471</v>
      </c>
      <c r="B169" s="48" t="str">
        <f>IFERROR(INDEX(AttendanceSheet!$B$7:$B177,MATCH('Mark Leave'!C169,AttendanceSheet!$C$7:$C203,0)),"")</f>
        <v>Emp_0037</v>
      </c>
      <c r="C169" s="38" t="s">
        <v>114</v>
      </c>
      <c r="D169" s="49">
        <v>44471</v>
      </c>
      <c r="E169" s="40" t="s">
        <v>89</v>
      </c>
    </row>
    <row r="170" spans="1:5" ht="16.5" thickTop="1" thickBot="1" x14ac:dyDescent="0.3">
      <c r="A170" s="47" t="str">
        <f t="shared" si="8"/>
        <v>Emp_003744472</v>
      </c>
      <c r="B170" s="48" t="str">
        <f>IFERROR(INDEX(AttendanceSheet!$B$7:$B178,MATCH('Mark Leave'!C170,AttendanceSheet!$C$7:$C204,0)),"")</f>
        <v>Emp_0037</v>
      </c>
      <c r="C170" s="38" t="s">
        <v>114</v>
      </c>
      <c r="D170" s="49">
        <v>44472</v>
      </c>
      <c r="E170" s="40" t="s">
        <v>89</v>
      </c>
    </row>
    <row r="171" spans="1:5" ht="16.5" thickTop="1" thickBot="1" x14ac:dyDescent="0.3">
      <c r="A171" s="47" t="str">
        <f t="shared" si="8"/>
        <v>Emp_003744473</v>
      </c>
      <c r="B171" s="48" t="str">
        <f>IFERROR(INDEX(AttendanceSheet!$B$7:$B179,MATCH('Mark Leave'!C171,AttendanceSheet!$C$7:$C205,0)),"")</f>
        <v>Emp_0037</v>
      </c>
      <c r="C171" s="38" t="s">
        <v>114</v>
      </c>
      <c r="D171" s="49">
        <v>44473</v>
      </c>
      <c r="E171" s="40" t="s">
        <v>89</v>
      </c>
    </row>
    <row r="172" spans="1:5" ht="16.5" thickTop="1" thickBot="1" x14ac:dyDescent="0.3">
      <c r="A172" s="47" t="str">
        <f t="shared" si="8"/>
        <v>Emp_003744474</v>
      </c>
      <c r="B172" s="48" t="str">
        <f>IFERROR(INDEX(AttendanceSheet!$B$7:$B180,MATCH('Mark Leave'!C172,AttendanceSheet!$C$7:$C206,0)),"")</f>
        <v>Emp_0037</v>
      </c>
      <c r="C172" s="38" t="s">
        <v>114</v>
      </c>
      <c r="D172" s="49">
        <v>44474</v>
      </c>
      <c r="E172" s="40" t="s">
        <v>89</v>
      </c>
    </row>
    <row r="173" spans="1:5" ht="16.5" thickTop="1" thickBot="1" x14ac:dyDescent="0.3">
      <c r="A173" s="47" t="str">
        <f t="shared" si="8"/>
        <v>Emp_003744475</v>
      </c>
      <c r="B173" s="48" t="str">
        <f>IFERROR(INDEX(AttendanceSheet!$B$7:$B181,MATCH('Mark Leave'!C173,AttendanceSheet!$C$7:$C207,0)),"")</f>
        <v>Emp_0037</v>
      </c>
      <c r="C173" s="38" t="s">
        <v>114</v>
      </c>
      <c r="D173" s="49">
        <v>44475</v>
      </c>
      <c r="E173" s="40" t="s">
        <v>89</v>
      </c>
    </row>
    <row r="174" spans="1:5" ht="16.5" thickTop="1" thickBot="1" x14ac:dyDescent="0.3">
      <c r="A174" s="47" t="str">
        <f t="shared" si="8"/>
        <v>Emp_003744476</v>
      </c>
      <c r="B174" s="48" t="str">
        <f>IFERROR(INDEX(AttendanceSheet!$B$7:$B182,MATCH('Mark Leave'!C174,AttendanceSheet!$C$7:$C208,0)),"")</f>
        <v>Emp_0037</v>
      </c>
      <c r="C174" s="38" t="s">
        <v>114</v>
      </c>
      <c r="D174" s="49">
        <v>44476</v>
      </c>
      <c r="E174" s="40" t="s">
        <v>89</v>
      </c>
    </row>
    <row r="175" spans="1:5" ht="16.5" thickTop="1" thickBot="1" x14ac:dyDescent="0.3">
      <c r="A175" s="47" t="str">
        <f t="shared" si="8"/>
        <v>Emp_003744477</v>
      </c>
      <c r="B175" s="48" t="str">
        <f>IFERROR(INDEX(AttendanceSheet!$B$7:$B183,MATCH('Mark Leave'!C175,AttendanceSheet!$C$7:$C209,0)),"")</f>
        <v>Emp_0037</v>
      </c>
      <c r="C175" s="38" t="s">
        <v>114</v>
      </c>
      <c r="D175" s="49">
        <v>44477</v>
      </c>
      <c r="E175" s="40" t="s">
        <v>89</v>
      </c>
    </row>
    <row r="176" spans="1:5" ht="16.5" thickTop="1" thickBot="1" x14ac:dyDescent="0.3">
      <c r="A176" s="47" t="str">
        <f t="shared" si="8"/>
        <v>Emp_003444470</v>
      </c>
      <c r="B176" s="48" t="str">
        <f>IFERROR(INDEX(AttendanceSheet!$B$7:$B184,MATCH('Mark Leave'!C176,AttendanceSheet!$C$7:$C210,0)),"")</f>
        <v>Emp_0034</v>
      </c>
      <c r="C176" s="38" t="s">
        <v>111</v>
      </c>
      <c r="D176" s="49">
        <v>44470</v>
      </c>
      <c r="E176" s="40" t="s">
        <v>89</v>
      </c>
    </row>
    <row r="177" spans="1:5" ht="16.5" thickTop="1" thickBot="1" x14ac:dyDescent="0.3">
      <c r="A177" s="47" t="str">
        <f t="shared" si="8"/>
        <v>Emp_003444471</v>
      </c>
      <c r="B177" s="48" t="str">
        <f>IFERROR(INDEX(AttendanceSheet!$B$7:$B185,MATCH('Mark Leave'!C177,AttendanceSheet!$C$7:$C211,0)),"")</f>
        <v>Emp_0034</v>
      </c>
      <c r="C177" s="38" t="s">
        <v>111</v>
      </c>
      <c r="D177" s="49">
        <v>44471</v>
      </c>
      <c r="E177" s="40" t="s">
        <v>89</v>
      </c>
    </row>
    <row r="178" spans="1:5" ht="16.5" thickTop="1" thickBot="1" x14ac:dyDescent="0.3">
      <c r="A178" s="47" t="str">
        <f t="shared" si="8"/>
        <v>Emp_003444472</v>
      </c>
      <c r="B178" s="48" t="str">
        <f>IFERROR(INDEX(AttendanceSheet!$B$7:$B186,MATCH('Mark Leave'!C178,AttendanceSheet!$C$7:$C212,0)),"")</f>
        <v>Emp_0034</v>
      </c>
      <c r="C178" s="38" t="s">
        <v>111</v>
      </c>
      <c r="D178" s="49">
        <v>44472</v>
      </c>
      <c r="E178" s="40" t="s">
        <v>89</v>
      </c>
    </row>
    <row r="179" spans="1:5" ht="16.5" thickTop="1" thickBot="1" x14ac:dyDescent="0.3">
      <c r="A179" s="47" t="str">
        <f t="shared" si="8"/>
        <v>Emp_003044470</v>
      </c>
      <c r="B179" s="48" t="str">
        <f>IFERROR(INDEX(AttendanceSheet!$B$7:$B187,MATCH('Mark Leave'!C179,AttendanceSheet!$C$7:$C213,0)),"")</f>
        <v>Emp_0030</v>
      </c>
      <c r="C179" s="38" t="s">
        <v>238</v>
      </c>
      <c r="D179" s="49">
        <v>44470</v>
      </c>
      <c r="E179" s="40" t="s">
        <v>89</v>
      </c>
    </row>
    <row r="180" spans="1:5" ht="16.5" thickTop="1" thickBot="1" x14ac:dyDescent="0.3">
      <c r="A180" s="47" t="str">
        <f t="shared" si="8"/>
        <v>Emp_003044471</v>
      </c>
      <c r="B180" s="48" t="str">
        <f>IFERROR(INDEX(AttendanceSheet!$B$7:$B188,MATCH('Mark Leave'!C180,AttendanceSheet!$C$7:$C214,0)),"")</f>
        <v>Emp_0030</v>
      </c>
      <c r="C180" s="38" t="s">
        <v>238</v>
      </c>
      <c r="D180" s="49">
        <v>44471</v>
      </c>
      <c r="E180" s="40" t="s">
        <v>89</v>
      </c>
    </row>
    <row r="181" spans="1:5" ht="16.5" thickTop="1" thickBot="1" x14ac:dyDescent="0.3">
      <c r="A181" s="47" t="str">
        <f t="shared" si="8"/>
        <v>Emp_003044472</v>
      </c>
      <c r="B181" s="48" t="str">
        <f>IFERROR(INDEX(AttendanceSheet!$B$7:$B189,MATCH('Mark Leave'!C181,AttendanceSheet!$C$7:$C215,0)),"")</f>
        <v>Emp_0030</v>
      </c>
      <c r="C181" s="38" t="s">
        <v>238</v>
      </c>
      <c r="D181" s="49">
        <v>44472</v>
      </c>
      <c r="E181" s="40" t="s">
        <v>89</v>
      </c>
    </row>
    <row r="182" spans="1:5" ht="16.5" thickTop="1" thickBot="1" x14ac:dyDescent="0.3">
      <c r="A182" s="47" t="str">
        <f t="shared" si="8"/>
        <v>Emp_003044473</v>
      </c>
      <c r="B182" s="48" t="str">
        <f>IFERROR(INDEX(AttendanceSheet!$B$7:$B190,MATCH('Mark Leave'!C182,AttendanceSheet!$C$7:$C216,0)),"")</f>
        <v>Emp_0030</v>
      </c>
      <c r="C182" s="38" t="s">
        <v>238</v>
      </c>
      <c r="D182" s="49">
        <v>44473</v>
      </c>
      <c r="E182" s="40" t="s">
        <v>89</v>
      </c>
    </row>
    <row r="183" spans="1:5" ht="16.5" thickTop="1" thickBot="1" x14ac:dyDescent="0.3">
      <c r="A183" s="47" t="str">
        <f t="shared" si="8"/>
        <v>Emp_003044474</v>
      </c>
      <c r="B183" s="48" t="str">
        <f>IFERROR(INDEX(AttendanceSheet!$B$7:$B191,MATCH('Mark Leave'!C183,AttendanceSheet!$C$7:$C217,0)),"")</f>
        <v>Emp_0030</v>
      </c>
      <c r="C183" s="38" t="s">
        <v>238</v>
      </c>
      <c r="D183" s="49">
        <v>44474</v>
      </c>
      <c r="E183" s="40" t="s">
        <v>89</v>
      </c>
    </row>
    <row r="184" spans="1:5" ht="16.5" thickTop="1" thickBot="1" x14ac:dyDescent="0.3">
      <c r="A184" s="47" t="str">
        <f t="shared" si="8"/>
        <v>Emp_003044475</v>
      </c>
      <c r="B184" s="48" t="str">
        <f>IFERROR(INDEX(AttendanceSheet!$B$7:$B192,MATCH('Mark Leave'!C184,AttendanceSheet!$C$7:$C218,0)),"")</f>
        <v>Emp_0030</v>
      </c>
      <c r="C184" s="38" t="s">
        <v>238</v>
      </c>
      <c r="D184" s="49">
        <v>44475</v>
      </c>
      <c r="E184" s="40" t="s">
        <v>89</v>
      </c>
    </row>
    <row r="185" spans="1:5" ht="16.5" thickTop="1" thickBot="1" x14ac:dyDescent="0.3">
      <c r="A185" s="47" t="str">
        <f t="shared" si="8"/>
        <v>Emp_003244470</v>
      </c>
      <c r="B185" s="48" t="str">
        <f>IFERROR(INDEX(AttendanceSheet!$B$7:$B193,MATCH('Mark Leave'!C185,AttendanceSheet!$C$7:$C219,0)),"")</f>
        <v>Emp_0032</v>
      </c>
      <c r="C185" s="38" t="s">
        <v>109</v>
      </c>
      <c r="D185" s="49">
        <v>44470</v>
      </c>
      <c r="E185" s="40" t="s">
        <v>89</v>
      </c>
    </row>
    <row r="186" spans="1:5" ht="16.5" thickTop="1" thickBot="1" x14ac:dyDescent="0.3">
      <c r="A186" s="47" t="str">
        <f t="shared" si="8"/>
        <v>Emp_003244471</v>
      </c>
      <c r="B186" s="48" t="str">
        <f>IFERROR(INDEX(AttendanceSheet!$B$7:$B194,MATCH('Mark Leave'!C186,AttendanceSheet!$C$7:$C220,0)),"")</f>
        <v>Emp_0032</v>
      </c>
      <c r="C186" s="38" t="s">
        <v>109</v>
      </c>
      <c r="D186" s="49">
        <v>44471</v>
      </c>
      <c r="E186" s="40" t="s">
        <v>89</v>
      </c>
    </row>
    <row r="187" spans="1:5" ht="16.5" thickTop="1" thickBot="1" x14ac:dyDescent="0.3">
      <c r="A187" s="47" t="str">
        <f t="shared" si="8"/>
        <v>Emp_003244472</v>
      </c>
      <c r="B187" s="48" t="str">
        <f>IFERROR(INDEX(AttendanceSheet!$B$7:$B195,MATCH('Mark Leave'!C187,AttendanceSheet!$C$7:$C221,0)),"")</f>
        <v>Emp_0032</v>
      </c>
      <c r="C187" s="38" t="s">
        <v>109</v>
      </c>
      <c r="D187" s="49">
        <v>44472</v>
      </c>
      <c r="E187" s="40" t="s">
        <v>89</v>
      </c>
    </row>
    <row r="188" spans="1:5" ht="16.5" thickTop="1" thickBot="1" x14ac:dyDescent="0.3">
      <c r="A188" s="47" t="str">
        <f t="shared" si="8"/>
        <v>Emp_003244473</v>
      </c>
      <c r="B188" s="48" t="str">
        <f>IFERROR(INDEX(AttendanceSheet!$B$7:$B196,MATCH('Mark Leave'!C188,AttendanceSheet!$C$7:$C222,0)),"")</f>
        <v>Emp_0032</v>
      </c>
      <c r="C188" s="38" t="s">
        <v>109</v>
      </c>
      <c r="D188" s="49">
        <v>44473</v>
      </c>
      <c r="E188" s="40" t="s">
        <v>89</v>
      </c>
    </row>
    <row r="189" spans="1:5" ht="16.5" thickTop="1" thickBot="1" x14ac:dyDescent="0.3">
      <c r="A189" s="47" t="str">
        <f t="shared" si="8"/>
        <v>Emp_003244474</v>
      </c>
      <c r="B189" s="48" t="str">
        <f>IFERROR(INDEX(AttendanceSheet!$B$7:$B197,MATCH('Mark Leave'!C189,AttendanceSheet!$C$7:$C223,0)),"")</f>
        <v>Emp_0032</v>
      </c>
      <c r="C189" s="38" t="s">
        <v>109</v>
      </c>
      <c r="D189" s="49">
        <v>44474</v>
      </c>
      <c r="E189" s="40" t="s">
        <v>89</v>
      </c>
    </row>
    <row r="190" spans="1:5" ht="16.5" thickTop="1" thickBot="1" x14ac:dyDescent="0.3">
      <c r="A190" s="47" t="str">
        <f t="shared" si="8"/>
        <v>Emp_003244475</v>
      </c>
      <c r="B190" s="48" t="str">
        <f>IFERROR(INDEX(AttendanceSheet!$B$7:$B198,MATCH('Mark Leave'!C190,AttendanceSheet!$C$7:$C224,0)),"")</f>
        <v>Emp_0032</v>
      </c>
      <c r="C190" s="38" t="s">
        <v>109</v>
      </c>
      <c r="D190" s="49">
        <v>44475</v>
      </c>
      <c r="E190" s="40" t="s">
        <v>89</v>
      </c>
    </row>
    <row r="191" spans="1:5" ht="16.5" thickTop="1" thickBot="1" x14ac:dyDescent="0.3">
      <c r="A191" s="47" t="str">
        <f t="shared" si="8"/>
        <v>Emp_003244476</v>
      </c>
      <c r="B191" s="48" t="str">
        <f>IFERROR(INDEX(AttendanceSheet!$B$7:$B199,MATCH('Mark Leave'!C191,AttendanceSheet!$C$7:$C225,0)),"")</f>
        <v>Emp_0032</v>
      </c>
      <c r="C191" s="38" t="s">
        <v>109</v>
      </c>
      <c r="D191" s="49">
        <v>44476</v>
      </c>
      <c r="E191" s="40" t="s">
        <v>89</v>
      </c>
    </row>
    <row r="192" spans="1:5" ht="16.5" thickTop="1" thickBot="1" x14ac:dyDescent="0.3">
      <c r="A192" s="47" t="str">
        <f t="shared" si="8"/>
        <v>Emp_003244477</v>
      </c>
      <c r="B192" s="48" t="str">
        <f>IFERROR(INDEX(AttendanceSheet!$B$7:$B200,MATCH('Mark Leave'!C192,AttendanceSheet!$C$7:$C226,0)),"")</f>
        <v>Emp_0032</v>
      </c>
      <c r="C192" s="38" t="s">
        <v>109</v>
      </c>
      <c r="D192" s="49">
        <v>44477</v>
      </c>
      <c r="E192" s="40" t="s">
        <v>89</v>
      </c>
    </row>
    <row r="193" spans="1:5" ht="16.5" thickTop="1" thickBot="1" x14ac:dyDescent="0.3">
      <c r="A193" s="47" t="str">
        <f t="shared" si="8"/>
        <v>Emp_003144470</v>
      </c>
      <c r="B193" s="48" t="str">
        <f>IFERROR(INDEX(AttendanceSheet!$B$7:$B201,MATCH('Mark Leave'!C193,AttendanceSheet!$C$7:$C227,0)),"")</f>
        <v>Emp_0031</v>
      </c>
      <c r="C193" s="38" t="s">
        <v>108</v>
      </c>
      <c r="D193" s="49">
        <v>44470</v>
      </c>
      <c r="E193" s="40" t="s">
        <v>89</v>
      </c>
    </row>
    <row r="194" spans="1:5" ht="16.5" thickTop="1" thickBot="1" x14ac:dyDescent="0.3">
      <c r="A194" s="47" t="str">
        <f t="shared" si="8"/>
        <v>Emp_003144471</v>
      </c>
      <c r="B194" s="48" t="str">
        <f>IFERROR(INDEX(AttendanceSheet!$B$7:$B202,MATCH('Mark Leave'!C194,AttendanceSheet!$C$7:$C228,0)),"")</f>
        <v>Emp_0031</v>
      </c>
      <c r="C194" s="38" t="s">
        <v>108</v>
      </c>
      <c r="D194" s="49">
        <v>44471</v>
      </c>
      <c r="E194" s="40" t="s">
        <v>89</v>
      </c>
    </row>
    <row r="195" spans="1:5" ht="16.5" thickTop="1" thickBot="1" x14ac:dyDescent="0.3">
      <c r="A195" s="47" t="str">
        <f t="shared" si="8"/>
        <v>Emp_003144472</v>
      </c>
      <c r="B195" s="48" t="str">
        <f>IFERROR(INDEX(AttendanceSheet!$B$7:$B203,MATCH('Mark Leave'!C195,AttendanceSheet!$C$7:$C229,0)),"")</f>
        <v>Emp_0031</v>
      </c>
      <c r="C195" s="38" t="s">
        <v>108</v>
      </c>
      <c r="D195" s="49">
        <v>44472</v>
      </c>
      <c r="E195" s="40" t="s">
        <v>89</v>
      </c>
    </row>
    <row r="196" spans="1:5" ht="16.5" thickTop="1" thickBot="1" x14ac:dyDescent="0.3">
      <c r="A196" s="47" t="str">
        <f t="shared" si="8"/>
        <v>Emp_003144473</v>
      </c>
      <c r="B196" s="48" t="str">
        <f>IFERROR(INDEX(AttendanceSheet!$B$7:$B204,MATCH('Mark Leave'!C196,AttendanceSheet!$C$7:$C230,0)),"")</f>
        <v>Emp_0031</v>
      </c>
      <c r="C196" s="38" t="s">
        <v>108</v>
      </c>
      <c r="D196" s="49">
        <v>44473</v>
      </c>
      <c r="E196" s="40" t="s">
        <v>89</v>
      </c>
    </row>
    <row r="197" spans="1:5" ht="16.5" thickTop="1" thickBot="1" x14ac:dyDescent="0.3">
      <c r="A197" s="47" t="str">
        <f t="shared" si="8"/>
        <v>Emp_003144474</v>
      </c>
      <c r="B197" s="48" t="str">
        <f>IFERROR(INDEX(AttendanceSheet!$B$7:$B205,MATCH('Mark Leave'!C197,AttendanceSheet!$C$7:$C231,0)),"")</f>
        <v>Emp_0031</v>
      </c>
      <c r="C197" s="38" t="s">
        <v>108</v>
      </c>
      <c r="D197" s="49">
        <v>44474</v>
      </c>
      <c r="E197" s="40" t="s">
        <v>89</v>
      </c>
    </row>
    <row r="198" spans="1:5" ht="16.5" thickTop="1" thickBot="1" x14ac:dyDescent="0.3">
      <c r="A198" s="47" t="str">
        <f t="shared" si="8"/>
        <v>Emp_003144475</v>
      </c>
      <c r="B198" s="48" t="str">
        <f>IFERROR(INDEX(AttendanceSheet!$B$7:$B206,MATCH('Mark Leave'!C198,AttendanceSheet!$C$7:$C232,0)),"")</f>
        <v>Emp_0031</v>
      </c>
      <c r="C198" s="38" t="s">
        <v>108</v>
      </c>
      <c r="D198" s="49">
        <v>44475</v>
      </c>
      <c r="E198" s="40" t="s">
        <v>89</v>
      </c>
    </row>
    <row r="199" spans="1:5" ht="16.5" thickTop="1" thickBot="1" x14ac:dyDescent="0.3">
      <c r="A199" s="47" t="str">
        <f t="shared" si="8"/>
        <v>Emp_002544470</v>
      </c>
      <c r="B199" s="48" t="str">
        <f>IFERROR(INDEX(AttendanceSheet!$B$7:$B207,MATCH('Mark Leave'!C199,AttendanceSheet!$C$7:$C233,0)),"")</f>
        <v>Emp_0025</v>
      </c>
      <c r="C199" s="38" t="s">
        <v>103</v>
      </c>
      <c r="D199" s="49">
        <v>44470</v>
      </c>
      <c r="E199" s="40" t="s">
        <v>89</v>
      </c>
    </row>
    <row r="200" spans="1:5" ht="16.5" thickTop="1" thickBot="1" x14ac:dyDescent="0.3">
      <c r="A200" s="47" t="str">
        <f t="shared" si="8"/>
        <v>Emp_002544471</v>
      </c>
      <c r="B200" s="48" t="str">
        <f>IFERROR(INDEX(AttendanceSheet!$B$7:$B208,MATCH('Mark Leave'!C200,AttendanceSheet!$C$7:$C234,0)),"")</f>
        <v>Emp_0025</v>
      </c>
      <c r="C200" s="38" t="s">
        <v>103</v>
      </c>
      <c r="D200" s="49">
        <v>44471</v>
      </c>
      <c r="E200" s="40" t="s">
        <v>89</v>
      </c>
    </row>
    <row r="201" spans="1:5" ht="16.5" thickTop="1" thickBot="1" x14ac:dyDescent="0.3">
      <c r="A201" s="47" t="str">
        <f t="shared" si="8"/>
        <v>Emp_002544472</v>
      </c>
      <c r="B201" s="48" t="str">
        <f>IFERROR(INDEX(AttendanceSheet!$B$7:$B209,MATCH('Mark Leave'!C201,AttendanceSheet!$C$7:$C235,0)),"")</f>
        <v>Emp_0025</v>
      </c>
      <c r="C201" s="38" t="s">
        <v>103</v>
      </c>
      <c r="D201" s="49">
        <v>44472</v>
      </c>
      <c r="E201" s="40" t="s">
        <v>89</v>
      </c>
    </row>
    <row r="202" spans="1:5" ht="16.5" thickTop="1" thickBot="1" x14ac:dyDescent="0.3">
      <c r="A202" s="47" t="str">
        <f t="shared" si="8"/>
        <v>Emp_002544473</v>
      </c>
      <c r="B202" s="48" t="str">
        <f>IFERROR(INDEX(AttendanceSheet!$B$7:$B210,MATCH('Mark Leave'!C202,AttendanceSheet!$C$7:$C236,0)),"")</f>
        <v>Emp_0025</v>
      </c>
      <c r="C202" s="38" t="s">
        <v>103</v>
      </c>
      <c r="D202" s="49">
        <v>44473</v>
      </c>
      <c r="E202" s="40" t="s">
        <v>89</v>
      </c>
    </row>
    <row r="203" spans="1:5" ht="16.5" thickTop="1" thickBot="1" x14ac:dyDescent="0.3">
      <c r="A203" s="47" t="str">
        <f t="shared" si="8"/>
        <v>Emp_002544474</v>
      </c>
      <c r="B203" s="48" t="str">
        <f>IFERROR(INDEX(AttendanceSheet!$B$7:$B211,MATCH('Mark Leave'!C203,AttendanceSheet!$C$7:$C237,0)),"")</f>
        <v>Emp_0025</v>
      </c>
      <c r="C203" s="38" t="s">
        <v>103</v>
      </c>
      <c r="D203" s="49">
        <v>44474</v>
      </c>
      <c r="E203" s="40" t="s">
        <v>89</v>
      </c>
    </row>
    <row r="204" spans="1:5" ht="16.5" thickTop="1" thickBot="1" x14ac:dyDescent="0.3">
      <c r="A204" s="47" t="str">
        <f t="shared" si="8"/>
        <v>Emp_002544475</v>
      </c>
      <c r="B204" s="48" t="str">
        <f>IFERROR(INDEX(AttendanceSheet!$B$7:$B212,MATCH('Mark Leave'!C204,AttendanceSheet!$C$7:$C238,0)),"")</f>
        <v>Emp_0025</v>
      </c>
      <c r="C204" s="38" t="s">
        <v>103</v>
      </c>
      <c r="D204" s="49">
        <v>44475</v>
      </c>
      <c r="E204" s="40" t="s">
        <v>39</v>
      </c>
    </row>
    <row r="205" spans="1:5" ht="16.5" thickTop="1" thickBot="1" x14ac:dyDescent="0.3">
      <c r="A205" s="47" t="str">
        <f t="shared" si="8"/>
        <v>Emp_002944470</v>
      </c>
      <c r="B205" s="48" t="str">
        <f>IFERROR(INDEX(AttendanceSheet!$B$7:$B213,MATCH('Mark Leave'!C205,AttendanceSheet!$C$7:$C239,0)),"")</f>
        <v>Emp_0029</v>
      </c>
      <c r="C205" s="38" t="s">
        <v>107</v>
      </c>
      <c r="D205" s="49">
        <v>44470</v>
      </c>
      <c r="E205" s="40" t="s">
        <v>89</v>
      </c>
    </row>
    <row r="206" spans="1:5" ht="16.5" thickTop="1" thickBot="1" x14ac:dyDescent="0.3">
      <c r="A206" s="47" t="str">
        <f t="shared" si="8"/>
        <v>Emp_002944471</v>
      </c>
      <c r="B206" s="48" t="str">
        <f>IFERROR(INDEX(AttendanceSheet!$B$7:$B214,MATCH('Mark Leave'!C206,AttendanceSheet!$C$7:$C240,0)),"")</f>
        <v>Emp_0029</v>
      </c>
      <c r="C206" s="38" t="s">
        <v>107</v>
      </c>
      <c r="D206" s="49">
        <v>44471</v>
      </c>
      <c r="E206" s="40" t="s">
        <v>89</v>
      </c>
    </row>
    <row r="207" spans="1:5" ht="16.5" thickTop="1" thickBot="1" x14ac:dyDescent="0.3">
      <c r="A207" s="47" t="str">
        <f t="shared" si="8"/>
        <v>Emp_002944472</v>
      </c>
      <c r="B207" s="48" t="str">
        <f>IFERROR(INDEX(AttendanceSheet!$B$7:$B215,MATCH('Mark Leave'!C207,AttendanceSheet!$C$7:$C241,0)),"")</f>
        <v>Emp_0029</v>
      </c>
      <c r="C207" s="38" t="s">
        <v>107</v>
      </c>
      <c r="D207" s="49">
        <v>44472</v>
      </c>
      <c r="E207" s="40" t="s">
        <v>89</v>
      </c>
    </row>
    <row r="208" spans="1:5" ht="16.5" thickTop="1" thickBot="1" x14ac:dyDescent="0.3">
      <c r="A208" s="47" t="str">
        <f t="shared" si="8"/>
        <v>Emp_002944473</v>
      </c>
      <c r="B208" s="48" t="str">
        <f>IFERROR(INDEX(AttendanceSheet!$B$7:$B216,MATCH('Mark Leave'!C208,AttendanceSheet!$C$7:$C242,0)),"")</f>
        <v>Emp_0029</v>
      </c>
      <c r="C208" s="38" t="s">
        <v>107</v>
      </c>
      <c r="D208" s="49">
        <v>44473</v>
      </c>
      <c r="E208" s="40" t="s">
        <v>89</v>
      </c>
    </row>
    <row r="209" spans="1:5" ht="16.5" thickTop="1" thickBot="1" x14ac:dyDescent="0.3">
      <c r="A209" s="47" t="str">
        <f t="shared" si="8"/>
        <v>Emp_002944474</v>
      </c>
      <c r="B209" s="48" t="str">
        <f>IFERROR(INDEX(AttendanceSheet!$B$7:$B217,MATCH('Mark Leave'!C209,AttendanceSheet!$C$7:$C243,0)),"")</f>
        <v>Emp_0029</v>
      </c>
      <c r="C209" s="38" t="s">
        <v>107</v>
      </c>
      <c r="D209" s="49">
        <v>44474</v>
      </c>
      <c r="E209" s="40" t="s">
        <v>89</v>
      </c>
    </row>
    <row r="210" spans="1:5" ht="16.5" thickTop="1" thickBot="1" x14ac:dyDescent="0.3">
      <c r="A210" s="47" t="str">
        <f t="shared" si="8"/>
        <v>Emp_003544470</v>
      </c>
      <c r="B210" s="48" t="str">
        <f>IFERROR(INDEX(AttendanceSheet!$B$7:$B218,MATCH('Mark Leave'!C210,AttendanceSheet!$C$7:$C244,0)),"")</f>
        <v>Emp_0035</v>
      </c>
      <c r="C210" s="38" t="s">
        <v>112</v>
      </c>
      <c r="D210" s="49">
        <v>44470</v>
      </c>
      <c r="E210" s="40" t="s">
        <v>89</v>
      </c>
    </row>
    <row r="211" spans="1:5" ht="16.5" thickTop="1" thickBot="1" x14ac:dyDescent="0.3">
      <c r="A211" s="47" t="str">
        <f t="shared" si="8"/>
        <v>Emp_003544471</v>
      </c>
      <c r="B211" s="48" t="str">
        <f>IFERROR(INDEX(AttendanceSheet!$B$7:$B219,MATCH('Mark Leave'!C211,AttendanceSheet!$C$7:$C245,0)),"")</f>
        <v>Emp_0035</v>
      </c>
      <c r="C211" s="38" t="s">
        <v>112</v>
      </c>
      <c r="D211" s="49">
        <v>44471</v>
      </c>
      <c r="E211" s="40" t="s">
        <v>89</v>
      </c>
    </row>
    <row r="212" spans="1:5" ht="16.5" thickTop="1" thickBot="1" x14ac:dyDescent="0.3">
      <c r="A212" s="47" t="str">
        <f t="shared" si="8"/>
        <v>Emp_003544472</v>
      </c>
      <c r="B212" s="48" t="str">
        <f>IFERROR(INDEX(AttendanceSheet!$B$7:$B220,MATCH('Mark Leave'!C212,AttendanceSheet!$C$7:$C246,0)),"")</f>
        <v>Emp_0035</v>
      </c>
      <c r="C212" s="38" t="s">
        <v>112</v>
      </c>
      <c r="D212" s="49">
        <v>44472</v>
      </c>
      <c r="E212" s="40" t="s">
        <v>89</v>
      </c>
    </row>
    <row r="213" spans="1:5" ht="16.5" thickTop="1" thickBot="1" x14ac:dyDescent="0.3">
      <c r="A213" s="47" t="str">
        <f t="shared" si="8"/>
        <v>Emp_003544473</v>
      </c>
      <c r="B213" s="48" t="str">
        <f>IFERROR(INDEX(AttendanceSheet!$B$7:$B221,MATCH('Mark Leave'!C213,AttendanceSheet!$C$7:$C247,0)),"")</f>
        <v>Emp_0035</v>
      </c>
      <c r="C213" s="38" t="s">
        <v>112</v>
      </c>
      <c r="D213" s="49">
        <v>44473</v>
      </c>
      <c r="E213" s="40" t="s">
        <v>89</v>
      </c>
    </row>
    <row r="214" spans="1:5" ht="16.5" thickTop="1" thickBot="1" x14ac:dyDescent="0.3">
      <c r="A214" s="47" t="str">
        <f t="shared" ref="A214:A277" si="9">B214&amp;D214</f>
        <v>Emp_003544474</v>
      </c>
      <c r="B214" s="48" t="str">
        <f>IFERROR(INDEX(AttendanceSheet!$B$7:$B222,MATCH('Mark Leave'!C214,AttendanceSheet!$C$7:$C248,0)),"")</f>
        <v>Emp_0035</v>
      </c>
      <c r="C214" s="38" t="s">
        <v>112</v>
      </c>
      <c r="D214" s="49">
        <v>44474</v>
      </c>
      <c r="E214" s="40" t="s">
        <v>89</v>
      </c>
    </row>
    <row r="215" spans="1:5" ht="16.5" thickTop="1" thickBot="1" x14ac:dyDescent="0.3">
      <c r="A215" s="47" t="str">
        <f t="shared" si="9"/>
        <v>Emp_003544475</v>
      </c>
      <c r="B215" s="48" t="str">
        <f>IFERROR(INDEX(AttendanceSheet!$B$7:$B223,MATCH('Mark Leave'!C215,AttendanceSheet!$C$7:$C249,0)),"")</f>
        <v>Emp_0035</v>
      </c>
      <c r="C215" s="38" t="s">
        <v>112</v>
      </c>
      <c r="D215" s="49">
        <v>44475</v>
      </c>
      <c r="E215" s="40" t="s">
        <v>89</v>
      </c>
    </row>
    <row r="216" spans="1:5" ht="16.5" thickTop="1" thickBot="1" x14ac:dyDescent="0.3">
      <c r="A216" s="47" t="str">
        <f t="shared" si="9"/>
        <v>Emp_003644470</v>
      </c>
      <c r="B216" s="48" t="str">
        <f>IFERROR(INDEX(AttendanceSheet!$B$7:$B224,MATCH('Mark Leave'!C216,AttendanceSheet!$C$7:$C250,0)),"")</f>
        <v>Emp_0036</v>
      </c>
      <c r="C216" s="38" t="s">
        <v>113</v>
      </c>
      <c r="D216" s="49">
        <v>44470</v>
      </c>
      <c r="E216" s="40" t="s">
        <v>89</v>
      </c>
    </row>
    <row r="217" spans="1:5" ht="16.5" thickTop="1" thickBot="1" x14ac:dyDescent="0.3">
      <c r="A217" s="47" t="str">
        <f t="shared" si="9"/>
        <v>Emp_003644471</v>
      </c>
      <c r="B217" s="48" t="str">
        <f>IFERROR(INDEX(AttendanceSheet!$B$7:$B225,MATCH('Mark Leave'!C217,AttendanceSheet!$C$7:$C251,0)),"")</f>
        <v>Emp_0036</v>
      </c>
      <c r="C217" s="38" t="s">
        <v>113</v>
      </c>
      <c r="D217" s="49">
        <v>44471</v>
      </c>
      <c r="E217" s="40" t="s">
        <v>89</v>
      </c>
    </row>
    <row r="218" spans="1:5" ht="16.5" thickTop="1" thickBot="1" x14ac:dyDescent="0.3">
      <c r="A218" s="47" t="str">
        <f t="shared" si="9"/>
        <v>Emp_003644472</v>
      </c>
      <c r="B218" s="48" t="str">
        <f>IFERROR(INDEX(AttendanceSheet!$B$7:$B226,MATCH('Mark Leave'!C218,AttendanceSheet!$C$7:$C252,0)),"")</f>
        <v>Emp_0036</v>
      </c>
      <c r="C218" s="38" t="s">
        <v>113</v>
      </c>
      <c r="D218" s="49">
        <v>44472</v>
      </c>
      <c r="E218" s="40" t="s">
        <v>89</v>
      </c>
    </row>
    <row r="219" spans="1:5" ht="16.5" thickTop="1" thickBot="1" x14ac:dyDescent="0.3">
      <c r="A219" s="47" t="str">
        <f t="shared" si="9"/>
        <v>Emp_003644473</v>
      </c>
      <c r="B219" s="48" t="str">
        <f>IFERROR(INDEX(AttendanceSheet!$B$7:$B227,MATCH('Mark Leave'!C219,AttendanceSheet!$C$7:$C253,0)),"")</f>
        <v>Emp_0036</v>
      </c>
      <c r="C219" s="38" t="s">
        <v>113</v>
      </c>
      <c r="D219" s="49">
        <v>44473</v>
      </c>
      <c r="E219" s="40" t="s">
        <v>89</v>
      </c>
    </row>
    <row r="220" spans="1:5" ht="16.5" thickTop="1" thickBot="1" x14ac:dyDescent="0.3">
      <c r="A220" s="47" t="str">
        <f t="shared" si="9"/>
        <v>Emp_003644474</v>
      </c>
      <c r="B220" s="48" t="str">
        <f>IFERROR(INDEX(AttendanceSheet!$B$7:$B228,MATCH('Mark Leave'!C220,AttendanceSheet!$C$7:$C254,0)),"")</f>
        <v>Emp_0036</v>
      </c>
      <c r="C220" s="38" t="s">
        <v>113</v>
      </c>
      <c r="D220" s="49">
        <v>44474</v>
      </c>
      <c r="E220" s="40" t="s">
        <v>89</v>
      </c>
    </row>
    <row r="221" spans="1:5" ht="16.5" thickTop="1" thickBot="1" x14ac:dyDescent="0.3">
      <c r="A221" s="47" t="str">
        <f t="shared" si="9"/>
        <v>Emp_003644475</v>
      </c>
      <c r="B221" s="48" t="str">
        <f>IFERROR(INDEX(AttendanceSheet!$B$7:$B229,MATCH('Mark Leave'!C221,AttendanceSheet!$C$7:$C255,0)),"")</f>
        <v>Emp_0036</v>
      </c>
      <c r="C221" s="38" t="s">
        <v>113</v>
      </c>
      <c r="D221" s="49">
        <v>44475</v>
      </c>
      <c r="E221" s="40" t="s">
        <v>89</v>
      </c>
    </row>
    <row r="222" spans="1:5" ht="16.5" thickTop="1" thickBot="1" x14ac:dyDescent="0.3">
      <c r="A222" s="47" t="str">
        <f t="shared" si="9"/>
        <v>Emp_003644476</v>
      </c>
      <c r="B222" s="48" t="str">
        <f>IFERROR(INDEX(AttendanceSheet!$B$7:$B230,MATCH('Mark Leave'!C222,AttendanceSheet!$C$7:$C256,0)),"")</f>
        <v>Emp_0036</v>
      </c>
      <c r="C222" s="38" t="s">
        <v>113</v>
      </c>
      <c r="D222" s="49">
        <v>44476</v>
      </c>
      <c r="E222" s="40" t="s">
        <v>89</v>
      </c>
    </row>
    <row r="223" spans="1:5" ht="16.5" thickTop="1" thickBot="1" x14ac:dyDescent="0.3">
      <c r="A223" s="47" t="str">
        <f t="shared" si="9"/>
        <v>Emp_003644477</v>
      </c>
      <c r="B223" s="48" t="str">
        <f>IFERROR(INDEX(AttendanceSheet!$B$7:$B231,MATCH('Mark Leave'!C223,AttendanceSheet!$C$7:$C257,0)),"")</f>
        <v>Emp_0036</v>
      </c>
      <c r="C223" s="38" t="s">
        <v>113</v>
      </c>
      <c r="D223" s="49">
        <v>44477</v>
      </c>
      <c r="E223" s="40" t="s">
        <v>89</v>
      </c>
    </row>
    <row r="224" spans="1:5" ht="16.5" thickTop="1" thickBot="1" x14ac:dyDescent="0.3">
      <c r="A224" s="47" t="str">
        <f t="shared" si="9"/>
        <v>Emp_003644478</v>
      </c>
      <c r="B224" s="48" t="str">
        <f>IFERROR(INDEX(AttendanceSheet!$B$7:$B232,MATCH('Mark Leave'!C224,AttendanceSheet!$C$7:$C258,0)),"")</f>
        <v>Emp_0036</v>
      </c>
      <c r="C224" s="38" t="s">
        <v>113</v>
      </c>
      <c r="D224" s="49">
        <v>44478</v>
      </c>
      <c r="E224" s="40" t="s">
        <v>89</v>
      </c>
    </row>
    <row r="225" spans="1:5" ht="16.5" thickTop="1" thickBot="1" x14ac:dyDescent="0.3">
      <c r="A225" s="47" t="str">
        <f t="shared" si="9"/>
        <v>Emp_002644470</v>
      </c>
      <c r="B225" s="48" t="str">
        <f>IFERROR(INDEX(AttendanceSheet!$B$7:$B233,MATCH('Mark Leave'!C225,AttendanceSheet!$C$7:$C259,0)),"")</f>
        <v>Emp_0026</v>
      </c>
      <c r="C225" s="38" t="s">
        <v>104</v>
      </c>
      <c r="D225" s="49">
        <v>44470</v>
      </c>
      <c r="E225" s="40" t="s">
        <v>89</v>
      </c>
    </row>
    <row r="226" spans="1:5" ht="16.5" thickTop="1" thickBot="1" x14ac:dyDescent="0.3">
      <c r="A226" s="47" t="str">
        <f t="shared" si="9"/>
        <v>Emp_002644471</v>
      </c>
      <c r="B226" s="48" t="str">
        <f>IFERROR(INDEX(AttendanceSheet!$B$7:$B234,MATCH('Mark Leave'!C226,AttendanceSheet!$C$7:$C260,0)),"")</f>
        <v>Emp_0026</v>
      </c>
      <c r="C226" s="38" t="s">
        <v>104</v>
      </c>
      <c r="D226" s="49">
        <v>44471</v>
      </c>
      <c r="E226" s="40" t="s">
        <v>89</v>
      </c>
    </row>
    <row r="227" spans="1:5" ht="16.5" thickTop="1" thickBot="1" x14ac:dyDescent="0.3">
      <c r="A227" s="47" t="str">
        <f t="shared" si="9"/>
        <v>Emp_002644472</v>
      </c>
      <c r="B227" s="48" t="str">
        <f>IFERROR(INDEX(AttendanceSheet!$B$7:$B235,MATCH('Mark Leave'!C227,AttendanceSheet!$C$7:$C261,0)),"")</f>
        <v>Emp_0026</v>
      </c>
      <c r="C227" s="38" t="s">
        <v>104</v>
      </c>
      <c r="D227" s="49">
        <v>44472</v>
      </c>
      <c r="E227" s="40" t="s">
        <v>89</v>
      </c>
    </row>
    <row r="228" spans="1:5" ht="16.5" thickTop="1" thickBot="1" x14ac:dyDescent="0.3">
      <c r="A228" s="47" t="str">
        <f t="shared" si="9"/>
        <v>Emp_002644473</v>
      </c>
      <c r="B228" s="48" t="str">
        <f>IFERROR(INDEX(AttendanceSheet!$B$7:$B236,MATCH('Mark Leave'!C228,AttendanceSheet!$C$7:$C262,0)),"")</f>
        <v>Emp_0026</v>
      </c>
      <c r="C228" s="38" t="s">
        <v>104</v>
      </c>
      <c r="D228" s="49">
        <v>44473</v>
      </c>
      <c r="E228" s="40" t="s">
        <v>89</v>
      </c>
    </row>
    <row r="229" spans="1:5" ht="16.5" thickTop="1" thickBot="1" x14ac:dyDescent="0.3">
      <c r="A229" s="47" t="str">
        <f t="shared" si="9"/>
        <v>Emp_002644474</v>
      </c>
      <c r="B229" s="48" t="str">
        <f>IFERROR(INDEX(AttendanceSheet!$B$7:$B237,MATCH('Mark Leave'!C229,AttendanceSheet!$C$7:$C263,0)),"")</f>
        <v>Emp_0026</v>
      </c>
      <c r="C229" s="38" t="s">
        <v>104</v>
      </c>
      <c r="D229" s="49">
        <v>44474</v>
      </c>
      <c r="E229" s="40" t="s">
        <v>89</v>
      </c>
    </row>
    <row r="230" spans="1:5" ht="16.5" thickTop="1" thickBot="1" x14ac:dyDescent="0.3">
      <c r="A230" s="47" t="str">
        <f t="shared" si="9"/>
        <v>Emp_002644475</v>
      </c>
      <c r="B230" s="48" t="str">
        <f>IFERROR(INDEX(AttendanceSheet!$B$7:$B238,MATCH('Mark Leave'!C230,AttendanceSheet!$C$7:$C264,0)),"")</f>
        <v>Emp_0026</v>
      </c>
      <c r="C230" s="38" t="s">
        <v>104</v>
      </c>
      <c r="D230" s="49">
        <v>44475</v>
      </c>
      <c r="E230" s="40" t="s">
        <v>89</v>
      </c>
    </row>
    <row r="231" spans="1:5" ht="16.5" thickTop="1" thickBot="1" x14ac:dyDescent="0.3">
      <c r="A231" s="47" t="str">
        <f t="shared" si="9"/>
        <v>Emp_002644476</v>
      </c>
      <c r="B231" s="48" t="str">
        <f>IFERROR(INDEX(AttendanceSheet!$B$7:$B239,MATCH('Mark Leave'!C231,AttendanceSheet!$C$7:$C265,0)),"")</f>
        <v>Emp_0026</v>
      </c>
      <c r="C231" s="38" t="s">
        <v>104</v>
      </c>
      <c r="D231" s="49">
        <v>44476</v>
      </c>
      <c r="E231" s="40" t="s">
        <v>89</v>
      </c>
    </row>
    <row r="232" spans="1:5" ht="16.5" thickTop="1" thickBot="1" x14ac:dyDescent="0.3">
      <c r="A232" s="47" t="str">
        <f t="shared" si="9"/>
        <v>Emp_002644477</v>
      </c>
      <c r="B232" s="48" t="str">
        <f>IFERROR(INDEX(AttendanceSheet!$B$7:$B240,MATCH('Mark Leave'!C232,AttendanceSheet!$C$7:$C266,0)),"")</f>
        <v>Emp_0026</v>
      </c>
      <c r="C232" s="38" t="s">
        <v>104</v>
      </c>
      <c r="D232" s="49">
        <v>44477</v>
      </c>
      <c r="E232" s="40" t="s">
        <v>89</v>
      </c>
    </row>
    <row r="233" spans="1:5" ht="16.5" thickTop="1" thickBot="1" x14ac:dyDescent="0.3">
      <c r="A233" s="47" t="str">
        <f t="shared" si="9"/>
        <v>Emp_002644478</v>
      </c>
      <c r="B233" s="48" t="str">
        <f>IFERROR(INDEX(AttendanceSheet!$B$7:$B241,MATCH('Mark Leave'!C233,AttendanceSheet!$C$7:$C267,0)),"")</f>
        <v>Emp_0026</v>
      </c>
      <c r="C233" s="38" t="s">
        <v>104</v>
      </c>
      <c r="D233" s="49">
        <v>44478</v>
      </c>
      <c r="E233" s="40" t="s">
        <v>89</v>
      </c>
    </row>
    <row r="234" spans="1:5" ht="16.5" thickTop="1" thickBot="1" x14ac:dyDescent="0.3">
      <c r="A234" s="47" t="str">
        <f t="shared" si="9"/>
        <v>Emp_002744470</v>
      </c>
      <c r="B234" s="48" t="str">
        <f>IFERROR(INDEX(AttendanceSheet!$B$7:$B242,MATCH('Mark Leave'!C234,AttendanceSheet!$C$7:$C268,0)),"")</f>
        <v>Emp_0027</v>
      </c>
      <c r="C234" s="38" t="s">
        <v>105</v>
      </c>
      <c r="D234" s="49">
        <v>44470</v>
      </c>
      <c r="E234" s="40" t="s">
        <v>89</v>
      </c>
    </row>
    <row r="235" spans="1:5" ht="16.5" thickTop="1" thickBot="1" x14ac:dyDescent="0.3">
      <c r="A235" s="47" t="str">
        <f t="shared" si="9"/>
        <v>Emp_002744471</v>
      </c>
      <c r="B235" s="48" t="str">
        <f>IFERROR(INDEX(AttendanceSheet!$B$7:$B243,MATCH('Mark Leave'!C235,AttendanceSheet!$C$7:$C269,0)),"")</f>
        <v>Emp_0027</v>
      </c>
      <c r="C235" s="38" t="s">
        <v>105</v>
      </c>
      <c r="D235" s="49">
        <v>44471</v>
      </c>
      <c r="E235" s="40" t="s">
        <v>89</v>
      </c>
    </row>
    <row r="236" spans="1:5" ht="16.5" thickTop="1" thickBot="1" x14ac:dyDescent="0.3">
      <c r="A236" s="47" t="str">
        <f t="shared" si="9"/>
        <v>Emp_002744472</v>
      </c>
      <c r="B236" s="48" t="str">
        <f>IFERROR(INDEX(AttendanceSheet!$B$7:$B244,MATCH('Mark Leave'!C236,AttendanceSheet!$C$7:$C270,0)),"")</f>
        <v>Emp_0027</v>
      </c>
      <c r="C236" s="38" t="s">
        <v>105</v>
      </c>
      <c r="D236" s="49">
        <v>44472</v>
      </c>
      <c r="E236" s="40" t="s">
        <v>89</v>
      </c>
    </row>
    <row r="237" spans="1:5" ht="16.5" thickTop="1" thickBot="1" x14ac:dyDescent="0.3">
      <c r="A237" s="47" t="str">
        <f t="shared" si="9"/>
        <v>Emp_002744473</v>
      </c>
      <c r="B237" s="48" t="str">
        <f>IFERROR(INDEX(AttendanceSheet!$B$7:$B245,MATCH('Mark Leave'!C237,AttendanceSheet!$C$7:$C271,0)),"")</f>
        <v>Emp_0027</v>
      </c>
      <c r="C237" s="38" t="s">
        <v>105</v>
      </c>
      <c r="D237" s="49">
        <v>44473</v>
      </c>
      <c r="E237" s="40" t="s">
        <v>89</v>
      </c>
    </row>
    <row r="238" spans="1:5" ht="16.5" thickTop="1" thickBot="1" x14ac:dyDescent="0.3">
      <c r="A238" s="47" t="str">
        <f t="shared" si="9"/>
        <v>Emp_002244470</v>
      </c>
      <c r="B238" s="48" t="str">
        <f>IFERROR(INDEX(AttendanceSheet!$B$7:$B246,MATCH('Mark Leave'!C238,AttendanceSheet!$C$7:$C272,0)),"")</f>
        <v>Emp_0022</v>
      </c>
      <c r="C238" s="38" t="s">
        <v>100</v>
      </c>
      <c r="D238" s="49">
        <v>44470</v>
      </c>
      <c r="E238" s="40" t="s">
        <v>89</v>
      </c>
    </row>
    <row r="239" spans="1:5" ht="16.5" thickTop="1" thickBot="1" x14ac:dyDescent="0.3">
      <c r="A239" s="47" t="str">
        <f t="shared" si="9"/>
        <v>Emp_002244471</v>
      </c>
      <c r="B239" s="48" t="str">
        <f>IFERROR(INDEX(AttendanceSheet!$B$7:$B247,MATCH('Mark Leave'!C239,AttendanceSheet!$C$7:$C273,0)),"")</f>
        <v>Emp_0022</v>
      </c>
      <c r="C239" s="38" t="s">
        <v>100</v>
      </c>
      <c r="D239" s="49">
        <v>44471</v>
      </c>
      <c r="E239" s="40" t="s">
        <v>89</v>
      </c>
    </row>
    <row r="240" spans="1:5" ht="16.5" thickTop="1" thickBot="1" x14ac:dyDescent="0.3">
      <c r="A240" s="47" t="str">
        <f t="shared" si="9"/>
        <v>Emp_002244472</v>
      </c>
      <c r="B240" s="48" t="str">
        <f>IFERROR(INDEX(AttendanceSheet!$B$7:$B248,MATCH('Mark Leave'!C240,AttendanceSheet!$C$7:$C274,0)),"")</f>
        <v>Emp_0022</v>
      </c>
      <c r="C240" s="38" t="s">
        <v>100</v>
      </c>
      <c r="D240" s="49">
        <v>44472</v>
      </c>
      <c r="E240" s="40" t="s">
        <v>89</v>
      </c>
    </row>
    <row r="241" spans="1:5" ht="16.5" thickTop="1" thickBot="1" x14ac:dyDescent="0.3">
      <c r="A241" s="47" t="str">
        <f t="shared" si="9"/>
        <v>Emp_002244473</v>
      </c>
      <c r="B241" s="48" t="str">
        <f>IFERROR(INDEX(AttendanceSheet!$B$7:$B249,MATCH('Mark Leave'!C241,AttendanceSheet!$C$7:$C275,0)),"")</f>
        <v>Emp_0022</v>
      </c>
      <c r="C241" s="38" t="s">
        <v>100</v>
      </c>
      <c r="D241" s="49">
        <v>44473</v>
      </c>
      <c r="E241" s="40" t="s">
        <v>89</v>
      </c>
    </row>
    <row r="242" spans="1:5" ht="16.5" thickTop="1" thickBot="1" x14ac:dyDescent="0.3">
      <c r="A242" s="47" t="str">
        <f t="shared" si="9"/>
        <v>Emp_002244474</v>
      </c>
      <c r="B242" s="48" t="str">
        <f>IFERROR(INDEX(AttendanceSheet!$B$7:$B250,MATCH('Mark Leave'!C242,AttendanceSheet!$C$7:$C276,0)),"")</f>
        <v>Emp_0022</v>
      </c>
      <c r="C242" s="38" t="s">
        <v>100</v>
      </c>
      <c r="D242" s="49">
        <v>44474</v>
      </c>
      <c r="E242" s="40" t="s">
        <v>89</v>
      </c>
    </row>
    <row r="243" spans="1:5" ht="16.5" thickTop="1" thickBot="1" x14ac:dyDescent="0.3">
      <c r="A243" s="47" t="str">
        <f t="shared" si="9"/>
        <v>Emp_002244475</v>
      </c>
      <c r="B243" s="48" t="str">
        <f>IFERROR(INDEX(AttendanceSheet!$B$7:$B251,MATCH('Mark Leave'!C243,AttendanceSheet!$C$7:$C277,0)),"")</f>
        <v>Emp_0022</v>
      </c>
      <c r="C243" s="38" t="s">
        <v>100</v>
      </c>
      <c r="D243" s="49">
        <v>44475</v>
      </c>
      <c r="E243" s="40" t="s">
        <v>89</v>
      </c>
    </row>
    <row r="244" spans="1:5" ht="16.5" thickTop="1" thickBot="1" x14ac:dyDescent="0.3">
      <c r="A244" s="47" t="str">
        <f t="shared" si="9"/>
        <v>Emp_002244476</v>
      </c>
      <c r="B244" s="48" t="str">
        <f>IFERROR(INDEX(AttendanceSheet!$B$7:$B252,MATCH('Mark Leave'!C244,AttendanceSheet!$C$7:$C278,0)),"")</f>
        <v>Emp_0022</v>
      </c>
      <c r="C244" s="38" t="s">
        <v>100</v>
      </c>
      <c r="D244" s="49">
        <v>44476</v>
      </c>
      <c r="E244" s="40" t="s">
        <v>89</v>
      </c>
    </row>
    <row r="245" spans="1:5" ht="16.5" thickTop="1" thickBot="1" x14ac:dyDescent="0.3">
      <c r="A245" s="47" t="str">
        <f t="shared" si="9"/>
        <v>Emp_002244477</v>
      </c>
      <c r="B245" s="48" t="str">
        <f>IFERROR(INDEX(AttendanceSheet!$B$7:$B253,MATCH('Mark Leave'!C245,AttendanceSheet!$C$7:$C279,0)),"")</f>
        <v>Emp_0022</v>
      </c>
      <c r="C245" s="38" t="s">
        <v>100</v>
      </c>
      <c r="D245" s="49">
        <v>44477</v>
      </c>
      <c r="E245" s="40" t="s">
        <v>89</v>
      </c>
    </row>
    <row r="246" spans="1:5" ht="16.5" thickTop="1" thickBot="1" x14ac:dyDescent="0.3">
      <c r="A246" s="47" t="str">
        <f t="shared" si="9"/>
        <v>Emp_002844470</v>
      </c>
      <c r="B246" s="48" t="str">
        <f>IFERROR(INDEX(AttendanceSheet!$B$7:$B254,MATCH('Mark Leave'!C246,AttendanceSheet!$C$7:$C280,0)),"")</f>
        <v>Emp_0028</v>
      </c>
      <c r="C246" s="38" t="s">
        <v>106</v>
      </c>
      <c r="D246" s="49">
        <v>44470</v>
      </c>
      <c r="E246" s="40" t="s">
        <v>89</v>
      </c>
    </row>
    <row r="247" spans="1:5" ht="16.5" thickTop="1" thickBot="1" x14ac:dyDescent="0.3">
      <c r="A247" s="47" t="str">
        <f t="shared" si="9"/>
        <v>Emp_002844471</v>
      </c>
      <c r="B247" s="48" t="str">
        <f>IFERROR(INDEX(AttendanceSheet!$B$7:$B255,MATCH('Mark Leave'!C247,AttendanceSheet!$C$7:$C281,0)),"")</f>
        <v>Emp_0028</v>
      </c>
      <c r="C247" s="38" t="s">
        <v>106</v>
      </c>
      <c r="D247" s="49">
        <v>44471</v>
      </c>
      <c r="E247" s="40" t="s">
        <v>89</v>
      </c>
    </row>
    <row r="248" spans="1:5" ht="16.5" thickTop="1" thickBot="1" x14ac:dyDescent="0.3">
      <c r="A248" s="47" t="str">
        <f t="shared" si="9"/>
        <v>Emp_002844472</v>
      </c>
      <c r="B248" s="48" t="str">
        <f>IFERROR(INDEX(AttendanceSheet!$B$7:$B256,MATCH('Mark Leave'!C248,AttendanceSheet!$C$7:$C282,0)),"")</f>
        <v>Emp_0028</v>
      </c>
      <c r="C248" s="38" t="s">
        <v>106</v>
      </c>
      <c r="D248" s="49">
        <v>44472</v>
      </c>
      <c r="E248" s="40" t="s">
        <v>89</v>
      </c>
    </row>
    <row r="249" spans="1:5" ht="16.5" thickTop="1" thickBot="1" x14ac:dyDescent="0.3">
      <c r="A249" s="47" t="str">
        <f t="shared" si="9"/>
        <v>Emp_002844473</v>
      </c>
      <c r="B249" s="48" t="str">
        <f>IFERROR(INDEX(AttendanceSheet!$B$7:$B257,MATCH('Mark Leave'!C249,AttendanceSheet!$C$7:$C283,0)),"")</f>
        <v>Emp_0028</v>
      </c>
      <c r="C249" s="38" t="s">
        <v>106</v>
      </c>
      <c r="D249" s="49">
        <v>44473</v>
      </c>
      <c r="E249" s="40" t="s">
        <v>89</v>
      </c>
    </row>
    <row r="250" spans="1:5" ht="16.5" thickTop="1" thickBot="1" x14ac:dyDescent="0.3">
      <c r="A250" s="47" t="str">
        <f t="shared" si="9"/>
        <v>Emp_002844474</v>
      </c>
      <c r="B250" s="48" t="str">
        <f>IFERROR(INDEX(AttendanceSheet!$B$7:$B258,MATCH('Mark Leave'!C250,AttendanceSheet!$C$7:$C284,0)),"")</f>
        <v>Emp_0028</v>
      </c>
      <c r="C250" s="38" t="s">
        <v>106</v>
      </c>
      <c r="D250" s="49">
        <v>44474</v>
      </c>
      <c r="E250" s="40" t="s">
        <v>89</v>
      </c>
    </row>
    <row r="251" spans="1:5" ht="16.5" thickTop="1" thickBot="1" x14ac:dyDescent="0.3">
      <c r="A251" s="47" t="str">
        <f t="shared" si="9"/>
        <v>Emp_002844475</v>
      </c>
      <c r="B251" s="48" t="str">
        <f>IFERROR(INDEX(AttendanceSheet!$B$7:$B259,MATCH('Mark Leave'!C251,AttendanceSheet!$C$7:$C285,0)),"")</f>
        <v>Emp_0028</v>
      </c>
      <c r="C251" s="38" t="s">
        <v>106</v>
      </c>
      <c r="D251" s="49">
        <v>44475</v>
      </c>
      <c r="E251" s="40" t="s">
        <v>89</v>
      </c>
    </row>
    <row r="252" spans="1:5" ht="16.5" thickTop="1" thickBot="1" x14ac:dyDescent="0.3">
      <c r="A252" s="47" t="str">
        <f t="shared" si="9"/>
        <v>Emp_003344470</v>
      </c>
      <c r="B252" s="48" t="str">
        <f>IFERROR(INDEX(AttendanceSheet!$B$7:$B260,MATCH('Mark Leave'!C252,AttendanceSheet!$C$7:$C286,0)),"")</f>
        <v>Emp_0033</v>
      </c>
      <c r="C252" s="38" t="s">
        <v>110</v>
      </c>
      <c r="D252" s="49">
        <v>44470</v>
      </c>
      <c r="E252" s="40" t="s">
        <v>89</v>
      </c>
    </row>
    <row r="253" spans="1:5" ht="16.5" thickTop="1" thickBot="1" x14ac:dyDescent="0.3">
      <c r="A253" s="47" t="str">
        <f t="shared" si="9"/>
        <v>Emp_003344471</v>
      </c>
      <c r="B253" s="48" t="str">
        <f>IFERROR(INDEX(AttendanceSheet!$B$7:$B261,MATCH('Mark Leave'!C253,AttendanceSheet!$C$7:$C287,0)),"")</f>
        <v>Emp_0033</v>
      </c>
      <c r="C253" s="38" t="s">
        <v>110</v>
      </c>
      <c r="D253" s="49">
        <v>44471</v>
      </c>
      <c r="E253" s="40" t="s">
        <v>89</v>
      </c>
    </row>
    <row r="254" spans="1:5" ht="16.5" thickTop="1" thickBot="1" x14ac:dyDescent="0.3">
      <c r="A254" s="47" t="str">
        <f t="shared" si="9"/>
        <v>Emp_003344472</v>
      </c>
      <c r="B254" s="48" t="str">
        <f>IFERROR(INDEX(AttendanceSheet!$B$7:$B262,MATCH('Mark Leave'!C254,AttendanceSheet!$C$7:$C288,0)),"")</f>
        <v>Emp_0033</v>
      </c>
      <c r="C254" s="38" t="s">
        <v>110</v>
      </c>
      <c r="D254" s="49">
        <v>44472</v>
      </c>
      <c r="E254" s="40" t="s">
        <v>89</v>
      </c>
    </row>
    <row r="255" spans="1:5" ht="16.5" thickTop="1" thickBot="1" x14ac:dyDescent="0.3">
      <c r="A255" s="47" t="str">
        <f t="shared" si="9"/>
        <v>Emp_003344473</v>
      </c>
      <c r="B255" s="48" t="str">
        <f>IFERROR(INDEX(AttendanceSheet!$B$7:$B263,MATCH('Mark Leave'!C255,AttendanceSheet!$C$7:$C289,0)),"")</f>
        <v>Emp_0033</v>
      </c>
      <c r="C255" s="38" t="s">
        <v>110</v>
      </c>
      <c r="D255" s="49">
        <v>44473</v>
      </c>
      <c r="E255" s="40" t="s">
        <v>89</v>
      </c>
    </row>
    <row r="256" spans="1:5" ht="16.5" thickTop="1" thickBot="1" x14ac:dyDescent="0.3">
      <c r="A256" s="47" t="str">
        <f t="shared" si="9"/>
        <v>Emp_003344474</v>
      </c>
      <c r="B256" s="48" t="str">
        <f>IFERROR(INDEX(AttendanceSheet!$B$7:$B264,MATCH('Mark Leave'!C256,AttendanceSheet!$C$7:$C290,0)),"")</f>
        <v>Emp_0033</v>
      </c>
      <c r="C256" s="38" t="s">
        <v>110</v>
      </c>
      <c r="D256" s="49">
        <v>44474</v>
      </c>
      <c r="E256" s="40" t="s">
        <v>39</v>
      </c>
    </row>
    <row r="257" spans="1:5" ht="16.5" thickTop="1" thickBot="1" x14ac:dyDescent="0.3">
      <c r="A257" s="47" t="str">
        <f t="shared" si="9"/>
        <v>Emp_000544470</v>
      </c>
      <c r="B257" s="48" t="str">
        <f>IFERROR(INDEX(AttendanceSheet!$B$7:$B265,MATCH('Mark Leave'!C257,AttendanceSheet!$C$7:$C291,0)),"")</f>
        <v>Emp_0005</v>
      </c>
      <c r="C257" s="38" t="s">
        <v>96</v>
      </c>
      <c r="D257" s="49">
        <v>44470</v>
      </c>
      <c r="E257" s="40" t="s">
        <v>42</v>
      </c>
    </row>
    <row r="258" spans="1:5" ht="16.5" thickTop="1" thickBot="1" x14ac:dyDescent="0.3">
      <c r="A258" s="47" t="str">
        <f t="shared" si="9"/>
        <v>Emp_000544471</v>
      </c>
      <c r="B258" s="48" t="str">
        <f>IFERROR(INDEX(AttendanceSheet!$B$7:$B266,MATCH('Mark Leave'!C258,AttendanceSheet!$C$7:$C292,0)),"")</f>
        <v>Emp_0005</v>
      </c>
      <c r="C258" s="38" t="s">
        <v>96</v>
      </c>
      <c r="D258" s="49">
        <v>44471</v>
      </c>
      <c r="E258" s="40" t="s">
        <v>42</v>
      </c>
    </row>
    <row r="259" spans="1:5" ht="16.5" thickTop="1" thickBot="1" x14ac:dyDescent="0.3">
      <c r="A259" s="47" t="str">
        <f t="shared" si="9"/>
        <v>Emp_000544472</v>
      </c>
      <c r="B259" s="48" t="str">
        <f>IFERROR(INDEX(AttendanceSheet!$B$7:$B267,MATCH('Mark Leave'!C259,AttendanceSheet!$C$7:$C293,0)),"")</f>
        <v>Emp_0005</v>
      </c>
      <c r="C259" s="38" t="s">
        <v>96</v>
      </c>
      <c r="D259" s="49">
        <v>44472</v>
      </c>
      <c r="E259" s="40" t="s">
        <v>42</v>
      </c>
    </row>
    <row r="260" spans="1:5" ht="16.5" thickTop="1" thickBot="1" x14ac:dyDescent="0.3">
      <c r="A260" s="47" t="str">
        <f t="shared" si="9"/>
        <v>Emp_000244470</v>
      </c>
      <c r="B260" s="48" t="str">
        <f>IFERROR(INDEX(AttendanceSheet!$B$7:$B268,MATCH('Mark Leave'!C260,AttendanceSheet!$C$7:$C294,0)),"")</f>
        <v>Emp_0002</v>
      </c>
      <c r="C260" s="38" t="s">
        <v>95</v>
      </c>
      <c r="D260" s="49">
        <v>44470</v>
      </c>
      <c r="E260" s="40" t="s">
        <v>89</v>
      </c>
    </row>
    <row r="261" spans="1:5" ht="16.5" thickTop="1" thickBot="1" x14ac:dyDescent="0.3">
      <c r="A261" s="47" t="str">
        <f t="shared" si="9"/>
        <v>Emp_000144470</v>
      </c>
      <c r="B261" s="48" t="str">
        <f>IFERROR(INDEX(AttendanceSheet!$B$7:$B269,MATCH('Mark Leave'!C261,AttendanceSheet!$C$7:$C295,0)),"")</f>
        <v>Emp_0001</v>
      </c>
      <c r="C261" s="38" t="s">
        <v>97</v>
      </c>
      <c r="D261" s="49">
        <v>44470</v>
      </c>
      <c r="E261" s="40" t="s">
        <v>89</v>
      </c>
    </row>
    <row r="262" spans="1:5" ht="16.5" thickTop="1" thickBot="1" x14ac:dyDescent="0.3">
      <c r="A262" s="47" t="str">
        <f t="shared" si="9"/>
        <v>Emp_001944470</v>
      </c>
      <c r="B262" s="48" t="str">
        <f>IFERROR(INDEX(AttendanceSheet!$B$7:$B270,MATCH('Mark Leave'!C262,AttendanceSheet!$C$7:$C296,0)),"")</f>
        <v>Emp_0019</v>
      </c>
      <c r="C262" s="38" t="s">
        <v>90</v>
      </c>
      <c r="D262" s="49">
        <v>44470</v>
      </c>
      <c r="E262" s="40" t="s">
        <v>42</v>
      </c>
    </row>
    <row r="263" spans="1:5" ht="16.5" thickTop="1" thickBot="1" x14ac:dyDescent="0.3">
      <c r="A263" s="47" t="str">
        <f t="shared" si="9"/>
        <v>Emp_001944471</v>
      </c>
      <c r="B263" s="48" t="str">
        <f>IFERROR(INDEX(AttendanceSheet!$B$7:$B271,MATCH('Mark Leave'!C263,AttendanceSheet!$C$7:$C297,0)),"")</f>
        <v>Emp_0019</v>
      </c>
      <c r="C263" s="38" t="s">
        <v>90</v>
      </c>
      <c r="D263" s="49">
        <v>44471</v>
      </c>
      <c r="E263" s="40" t="s">
        <v>42</v>
      </c>
    </row>
    <row r="264" spans="1:5" ht="16.5" thickTop="1" thickBot="1" x14ac:dyDescent="0.3">
      <c r="A264" s="47" t="str">
        <f t="shared" si="9"/>
        <v>Emp_001944472</v>
      </c>
      <c r="B264" s="48" t="str">
        <f>IFERROR(INDEX(AttendanceSheet!$B$7:$B272,MATCH('Mark Leave'!C264,AttendanceSheet!$C$7:$C298,0)),"")</f>
        <v>Emp_0019</v>
      </c>
      <c r="C264" s="38" t="s">
        <v>90</v>
      </c>
      <c r="D264" s="49">
        <v>44472</v>
      </c>
      <c r="E264" s="40" t="s">
        <v>42</v>
      </c>
    </row>
    <row r="265" spans="1:5" ht="16.5" thickTop="1" thickBot="1" x14ac:dyDescent="0.3">
      <c r="A265" s="47" t="str">
        <f t="shared" si="9"/>
        <v>Emp_001544470</v>
      </c>
      <c r="B265" s="48" t="str">
        <f>IFERROR(INDEX(AttendanceSheet!$B$7:$B273,MATCH('Mark Leave'!C265,AttendanceSheet!$C$7:$C299,0)),"")</f>
        <v>Emp_0015</v>
      </c>
      <c r="C265" s="38" t="s">
        <v>27</v>
      </c>
      <c r="D265" s="49">
        <v>44470</v>
      </c>
      <c r="E265" s="40" t="s">
        <v>42</v>
      </c>
    </row>
    <row r="266" spans="1:5" ht="16.5" thickTop="1" thickBot="1" x14ac:dyDescent="0.3">
      <c r="A266" s="47" t="str">
        <f t="shared" si="9"/>
        <v>Emp_001744470</v>
      </c>
      <c r="B266" s="48" t="str">
        <f>IFERROR(INDEX(AttendanceSheet!$B$7:$B274,MATCH('Mark Leave'!C266,AttendanceSheet!$C$7:$C300,0)),"")</f>
        <v>Emp_0017</v>
      </c>
      <c r="C266" s="38" t="s">
        <v>94</v>
      </c>
      <c r="D266" s="49">
        <v>44470</v>
      </c>
      <c r="E266" s="40" t="s">
        <v>42</v>
      </c>
    </row>
    <row r="267" spans="1:5" ht="16.5" thickTop="1" thickBot="1" x14ac:dyDescent="0.3">
      <c r="A267" s="47" t="str">
        <f t="shared" si="9"/>
        <v>Emp_001844470</v>
      </c>
      <c r="B267" s="48" t="str">
        <f>IFERROR(INDEX(AttendanceSheet!$B$7:$B275,MATCH('Mark Leave'!C267,AttendanceSheet!$C$7:$C301,0)),"")</f>
        <v>Emp_0018</v>
      </c>
      <c r="C267" s="38" t="s">
        <v>93</v>
      </c>
      <c r="D267" s="49">
        <v>44470</v>
      </c>
      <c r="E267" s="40" t="s">
        <v>89</v>
      </c>
    </row>
    <row r="268" spans="1:5" ht="16.5" thickTop="1" thickBot="1" x14ac:dyDescent="0.3">
      <c r="A268" s="47" t="str">
        <f t="shared" si="9"/>
        <v>Emp_003044470</v>
      </c>
      <c r="B268" s="48" t="str">
        <f>IFERROR(INDEX(AttendanceSheet!$B$7:$B276,MATCH('Mark Leave'!C268,AttendanceSheet!$C$7:$C302,0)),"")</f>
        <v>Emp_0030</v>
      </c>
      <c r="C268" s="38" t="s">
        <v>238</v>
      </c>
      <c r="D268" s="49">
        <v>44470</v>
      </c>
      <c r="E268" s="40" t="s">
        <v>89</v>
      </c>
    </row>
    <row r="269" spans="1:5" ht="16.5" thickTop="1" thickBot="1" x14ac:dyDescent="0.3">
      <c r="A269" s="47" t="str">
        <f t="shared" si="9"/>
        <v>Emp_003044471</v>
      </c>
      <c r="B269" s="48" t="str">
        <f>IFERROR(INDEX(AttendanceSheet!$B$7:$B277,MATCH('Mark Leave'!C269,AttendanceSheet!$C$7:$C303,0)),"")</f>
        <v>Emp_0030</v>
      </c>
      <c r="C269" s="38" t="s">
        <v>238</v>
      </c>
      <c r="D269" s="49">
        <v>44471</v>
      </c>
      <c r="E269" s="40" t="s">
        <v>89</v>
      </c>
    </row>
    <row r="270" spans="1:5" ht="16.5" thickTop="1" thickBot="1" x14ac:dyDescent="0.3">
      <c r="A270" s="47" t="str">
        <f t="shared" si="9"/>
        <v>Emp_003044472</v>
      </c>
      <c r="B270" s="48" t="str">
        <f>IFERROR(INDEX(AttendanceSheet!$B$7:$B278,MATCH('Mark Leave'!C270,AttendanceSheet!$C$7:$C304,0)),"")</f>
        <v>Emp_0030</v>
      </c>
      <c r="C270" s="38" t="s">
        <v>238</v>
      </c>
      <c r="D270" s="49">
        <v>44472</v>
      </c>
      <c r="E270" s="40" t="s">
        <v>89</v>
      </c>
    </row>
    <row r="271" spans="1:5" ht="16.5" thickTop="1" thickBot="1" x14ac:dyDescent="0.3">
      <c r="A271" s="47" t="str">
        <f t="shared" si="9"/>
        <v>Emp_003044473</v>
      </c>
      <c r="B271" s="48" t="str">
        <f>IFERROR(INDEX(AttendanceSheet!$B$7:$B279,MATCH('Mark Leave'!C271,AttendanceSheet!$C$7:$C305,0)),"")</f>
        <v>Emp_0030</v>
      </c>
      <c r="C271" s="38" t="s">
        <v>238</v>
      </c>
      <c r="D271" s="49">
        <v>44473</v>
      </c>
      <c r="E271" s="40" t="s">
        <v>89</v>
      </c>
    </row>
    <row r="272" spans="1:5" ht="16.5" thickTop="1" thickBot="1" x14ac:dyDescent="0.3">
      <c r="A272" s="47" t="str">
        <f t="shared" si="9"/>
        <v>Emp_003044474</v>
      </c>
      <c r="B272" s="48" t="str">
        <f>IFERROR(INDEX(AttendanceSheet!$B$7:$B280,MATCH('Mark Leave'!C272,AttendanceSheet!$C$7:$C306,0)),"")</f>
        <v>Emp_0030</v>
      </c>
      <c r="C272" s="38" t="s">
        <v>238</v>
      </c>
      <c r="D272" s="49">
        <v>44474</v>
      </c>
      <c r="E272" s="40" t="s">
        <v>89</v>
      </c>
    </row>
    <row r="273" spans="1:5" ht="16.5" thickTop="1" thickBot="1" x14ac:dyDescent="0.3">
      <c r="A273" s="47" t="str">
        <f t="shared" si="9"/>
        <v>Emp_003044475</v>
      </c>
      <c r="B273" s="48" t="str">
        <f>IFERROR(INDEX(AttendanceSheet!$B$7:$B281,MATCH('Mark Leave'!C273,AttendanceSheet!$C$7:$C307,0)),"")</f>
        <v>Emp_0030</v>
      </c>
      <c r="C273" s="38" t="s">
        <v>238</v>
      </c>
      <c r="D273" s="49">
        <v>44475</v>
      </c>
      <c r="E273" s="40" t="s">
        <v>89</v>
      </c>
    </row>
    <row r="274" spans="1:5" ht="16.5" thickTop="1" thickBot="1" x14ac:dyDescent="0.3">
      <c r="A274" s="47" t="str">
        <f t="shared" si="9"/>
        <v>44470</v>
      </c>
      <c r="B274" s="48" t="str">
        <f>IFERROR(INDEX(AttendanceSheet!$B$7:$B282,MATCH('Mark Leave'!C274,AttendanceSheet!$C$7:$C308,0)),"")</f>
        <v/>
      </c>
      <c r="C274" s="38" t="s">
        <v>180</v>
      </c>
      <c r="D274" s="49">
        <v>44470</v>
      </c>
      <c r="E274" s="40" t="s">
        <v>89</v>
      </c>
    </row>
    <row r="275" spans="1:5" ht="16.5" thickTop="1" thickBot="1" x14ac:dyDescent="0.3">
      <c r="A275" s="47" t="str">
        <f t="shared" si="9"/>
        <v>44471</v>
      </c>
      <c r="B275" s="48" t="str">
        <f>IFERROR(INDEX(AttendanceSheet!$B$7:$B283,MATCH('Mark Leave'!C275,AttendanceSheet!$C$7:$C309,0)),"")</f>
        <v/>
      </c>
      <c r="C275" s="38" t="s">
        <v>180</v>
      </c>
      <c r="D275" s="49">
        <v>44471</v>
      </c>
      <c r="E275" s="40" t="s">
        <v>89</v>
      </c>
    </row>
    <row r="276" spans="1:5" ht="16.5" thickTop="1" thickBot="1" x14ac:dyDescent="0.3">
      <c r="A276" s="47" t="str">
        <f t="shared" si="9"/>
        <v>44472</v>
      </c>
      <c r="B276" s="48" t="str">
        <f>IFERROR(INDEX(AttendanceSheet!$B$7:$B284,MATCH('Mark Leave'!C276,AttendanceSheet!$C$7:$C310,0)),"")</f>
        <v/>
      </c>
      <c r="C276" s="38" t="s">
        <v>180</v>
      </c>
      <c r="D276" s="49">
        <v>44472</v>
      </c>
      <c r="E276" s="40" t="s">
        <v>89</v>
      </c>
    </row>
    <row r="277" spans="1:5" ht="16.5" thickTop="1" thickBot="1" x14ac:dyDescent="0.3">
      <c r="A277" s="47" t="str">
        <f t="shared" si="9"/>
        <v>44473</v>
      </c>
      <c r="B277" s="48" t="str">
        <f>IFERROR(INDEX(AttendanceSheet!$B$7:$B285,MATCH('Mark Leave'!C277,AttendanceSheet!$C$7:$C311,0)),"")</f>
        <v/>
      </c>
      <c r="C277" s="38" t="s">
        <v>180</v>
      </c>
      <c r="D277" s="49">
        <v>44473</v>
      </c>
      <c r="E277" s="40" t="s">
        <v>89</v>
      </c>
    </row>
    <row r="278" spans="1:5" ht="16.5" thickTop="1" thickBot="1" x14ac:dyDescent="0.3">
      <c r="A278" s="47" t="str">
        <f t="shared" ref="A278:A341" si="10">B278&amp;D278</f>
        <v>44474</v>
      </c>
      <c r="B278" s="48" t="str">
        <f>IFERROR(INDEX(AttendanceSheet!$B$7:$B286,MATCH('Mark Leave'!C278,AttendanceSheet!$C$7:$C312,0)),"")</f>
        <v/>
      </c>
      <c r="C278" s="38" t="s">
        <v>180</v>
      </c>
      <c r="D278" s="49">
        <v>44474</v>
      </c>
      <c r="E278" s="40" t="s">
        <v>89</v>
      </c>
    </row>
    <row r="279" spans="1:5" ht="16.5" thickTop="1" thickBot="1" x14ac:dyDescent="0.3">
      <c r="A279" s="47" t="str">
        <f t="shared" si="10"/>
        <v>44475</v>
      </c>
      <c r="B279" s="48" t="str">
        <f>IFERROR(INDEX(AttendanceSheet!$B$7:$B287,MATCH('Mark Leave'!C279,AttendanceSheet!$C$7:$C313,0)),"")</f>
        <v/>
      </c>
      <c r="C279" s="38" t="s">
        <v>180</v>
      </c>
      <c r="D279" s="49">
        <v>44475</v>
      </c>
      <c r="E279" s="40" t="s">
        <v>89</v>
      </c>
    </row>
    <row r="280" spans="1:5" ht="16.5" thickTop="1" thickBot="1" x14ac:dyDescent="0.3">
      <c r="A280" s="47" t="str">
        <f t="shared" si="10"/>
        <v>44476</v>
      </c>
      <c r="B280" s="48" t="str">
        <f>IFERROR(INDEX(AttendanceSheet!$B$7:$B288,MATCH('Mark Leave'!C280,AttendanceSheet!$C$7:$C314,0)),"")</f>
        <v/>
      </c>
      <c r="C280" s="38" t="s">
        <v>180</v>
      </c>
      <c r="D280" s="49">
        <v>44476</v>
      </c>
      <c r="E280" s="40" t="s">
        <v>89</v>
      </c>
    </row>
    <row r="281" spans="1:5" ht="16.5" thickTop="1" thickBot="1" x14ac:dyDescent="0.3">
      <c r="A281" s="47" t="str">
        <f t="shared" si="10"/>
        <v>44477</v>
      </c>
      <c r="B281" s="48" t="str">
        <f>IFERROR(INDEX(AttendanceSheet!$B$7:$B289,MATCH('Mark Leave'!C281,AttendanceSheet!$C$7:$C315,0)),"")</f>
        <v/>
      </c>
      <c r="C281" s="38" t="s">
        <v>180</v>
      </c>
      <c r="D281" s="49">
        <v>44477</v>
      </c>
      <c r="E281" s="40" t="s">
        <v>89</v>
      </c>
    </row>
    <row r="282" spans="1:5" ht="16.5" thickTop="1" thickBot="1" x14ac:dyDescent="0.3">
      <c r="A282" s="47" t="str">
        <f t="shared" si="10"/>
        <v>44478</v>
      </c>
      <c r="B282" s="48" t="str">
        <f>IFERROR(INDEX(AttendanceSheet!$B$7:$B290,MATCH('Mark Leave'!C282,AttendanceSheet!$C$7:$C316,0)),"")</f>
        <v/>
      </c>
      <c r="C282" s="38" t="s">
        <v>180</v>
      </c>
      <c r="D282" s="49">
        <v>44478</v>
      </c>
      <c r="E282" s="40" t="s">
        <v>89</v>
      </c>
    </row>
    <row r="283" spans="1:5" ht="16.5" thickTop="1" thickBot="1" x14ac:dyDescent="0.3">
      <c r="A283" s="47" t="str">
        <f t="shared" si="10"/>
        <v>44479</v>
      </c>
      <c r="B283" s="48" t="str">
        <f>IFERROR(INDEX(AttendanceSheet!$B$7:$B291,MATCH('Mark Leave'!C283,AttendanceSheet!$C$7:$C317,0)),"")</f>
        <v/>
      </c>
      <c r="C283" s="38" t="s">
        <v>180</v>
      </c>
      <c r="D283" s="49">
        <v>44479</v>
      </c>
      <c r="E283" s="40" t="s">
        <v>89</v>
      </c>
    </row>
    <row r="284" spans="1:5" ht="16.5" thickTop="1" thickBot="1" x14ac:dyDescent="0.3">
      <c r="A284" s="47" t="str">
        <f t="shared" si="10"/>
        <v>44480</v>
      </c>
      <c r="B284" s="48" t="str">
        <f>IFERROR(INDEX(AttendanceSheet!$B$7:$B292,MATCH('Mark Leave'!C284,AttendanceSheet!$C$7:$C318,0)),"")</f>
        <v/>
      </c>
      <c r="C284" s="38" t="s">
        <v>180</v>
      </c>
      <c r="D284" s="49">
        <v>44480</v>
      </c>
      <c r="E284" s="40" t="s">
        <v>89</v>
      </c>
    </row>
    <row r="285" spans="1:5" ht="16.5" thickTop="1" thickBot="1" x14ac:dyDescent="0.3">
      <c r="A285" s="47" t="str">
        <f t="shared" si="10"/>
        <v>44481</v>
      </c>
      <c r="B285" s="48" t="str">
        <f>IFERROR(INDEX(AttendanceSheet!$B$7:$B293,MATCH('Mark Leave'!C285,AttendanceSheet!$C$7:$C319,0)),"")</f>
        <v/>
      </c>
      <c r="C285" s="38" t="s">
        <v>180</v>
      </c>
      <c r="D285" s="49">
        <v>44481</v>
      </c>
      <c r="E285" s="40" t="s">
        <v>39</v>
      </c>
    </row>
    <row r="286" spans="1:5" ht="16.5" thickTop="1" thickBot="1" x14ac:dyDescent="0.3">
      <c r="A286" s="47" t="str">
        <f t="shared" si="10"/>
        <v>Emp_000344501</v>
      </c>
      <c r="B286" s="48" t="str">
        <f>IFERROR(INDEX(AttendanceSheet!$B$7:$B294,MATCH('Mark Leave'!C286,AttendanceSheet!$C$7:$C320,0)),"")</f>
        <v>Emp_0003</v>
      </c>
      <c r="C286" s="38" t="s">
        <v>117</v>
      </c>
      <c r="D286" s="49">
        <v>44501</v>
      </c>
      <c r="E286" s="40" t="s">
        <v>89</v>
      </c>
    </row>
    <row r="287" spans="1:5" ht="16.5" thickTop="1" thickBot="1" x14ac:dyDescent="0.3">
      <c r="A287" s="47" t="str">
        <f t="shared" si="10"/>
        <v>Emp_000344502</v>
      </c>
      <c r="B287" s="48" t="str">
        <f>IFERROR(INDEX(AttendanceSheet!$B$7:$B295,MATCH('Mark Leave'!C287,AttendanceSheet!$C$7:$C321,0)),"")</f>
        <v>Emp_0003</v>
      </c>
      <c r="C287" s="38" t="s">
        <v>117</v>
      </c>
      <c r="D287" s="49">
        <v>44502</v>
      </c>
      <c r="E287" s="40" t="s">
        <v>89</v>
      </c>
    </row>
    <row r="288" spans="1:5" ht="16.5" thickTop="1" thickBot="1" x14ac:dyDescent="0.3">
      <c r="A288" s="47" t="str">
        <f t="shared" si="10"/>
        <v>Emp_000344503</v>
      </c>
      <c r="B288" s="48" t="str">
        <f>IFERROR(INDEX(AttendanceSheet!$B$7:$B296,MATCH('Mark Leave'!C288,AttendanceSheet!$C$7:$C322,0)),"")</f>
        <v>Emp_0003</v>
      </c>
      <c r="C288" s="38" t="s">
        <v>117</v>
      </c>
      <c r="D288" s="49">
        <v>44503</v>
      </c>
      <c r="E288" s="40" t="s">
        <v>89</v>
      </c>
    </row>
    <row r="289" spans="1:5" ht="16.5" thickTop="1" thickBot="1" x14ac:dyDescent="0.3">
      <c r="A289" s="47" t="str">
        <f t="shared" si="10"/>
        <v>Emp_000344504</v>
      </c>
      <c r="B289" s="48" t="str">
        <f>IFERROR(INDEX(AttendanceSheet!$B$7:$B297,MATCH('Mark Leave'!C289,AttendanceSheet!$C$7:$C323,0)),"")</f>
        <v>Emp_0003</v>
      </c>
      <c r="C289" s="38" t="s">
        <v>117</v>
      </c>
      <c r="D289" s="49">
        <v>44504</v>
      </c>
      <c r="E289" s="40" t="s">
        <v>39</v>
      </c>
    </row>
    <row r="290" spans="1:5" ht="16.5" thickTop="1" thickBot="1" x14ac:dyDescent="0.3">
      <c r="A290" s="47" t="str">
        <f t="shared" si="10"/>
        <v>Emp_001244501</v>
      </c>
      <c r="B290" s="48" t="str">
        <f>IFERROR(INDEX(AttendanceSheet!$B$7:$B298,MATCH('Mark Leave'!C290,AttendanceSheet!$C$7:$C324,0)),"")</f>
        <v>Emp_0012</v>
      </c>
      <c r="C290" s="38" t="s">
        <v>163</v>
      </c>
      <c r="D290" s="49">
        <v>44501</v>
      </c>
      <c r="E290" s="40" t="s">
        <v>89</v>
      </c>
    </row>
    <row r="291" spans="1:5" ht="16.5" thickTop="1" thickBot="1" x14ac:dyDescent="0.3">
      <c r="A291" s="47" t="str">
        <f t="shared" si="10"/>
        <v>Emp_001244502</v>
      </c>
      <c r="B291" s="48" t="str">
        <f>IFERROR(INDEX(AttendanceSheet!$B$7:$B299,MATCH('Mark Leave'!C291,AttendanceSheet!$C$7:$C325,0)),"")</f>
        <v>Emp_0012</v>
      </c>
      <c r="C291" s="38" t="s">
        <v>163</v>
      </c>
      <c r="D291" s="49">
        <v>44502</v>
      </c>
      <c r="E291" s="40" t="s">
        <v>89</v>
      </c>
    </row>
    <row r="292" spans="1:5" ht="16.5" thickTop="1" thickBot="1" x14ac:dyDescent="0.3">
      <c r="A292" s="47" t="str">
        <f t="shared" si="10"/>
        <v>Emp_001244503</v>
      </c>
      <c r="B292" s="48" t="str">
        <f>IFERROR(INDEX(AttendanceSheet!$B$7:$B300,MATCH('Mark Leave'!C292,AttendanceSheet!$C$7:$C326,0)),"")</f>
        <v>Emp_0012</v>
      </c>
      <c r="C292" s="38" t="s">
        <v>163</v>
      </c>
      <c r="D292" s="49">
        <v>44503</v>
      </c>
      <c r="E292" s="40" t="s">
        <v>39</v>
      </c>
    </row>
    <row r="293" spans="1:5" ht="16.5" thickTop="1" thickBot="1" x14ac:dyDescent="0.3">
      <c r="A293" s="47" t="str">
        <f t="shared" si="10"/>
        <v>Emp_000344441</v>
      </c>
      <c r="B293" s="48" t="str">
        <f>IFERROR(INDEX(AttendanceSheet!$B$7:$B301,MATCH('Mark Leave'!C293,AttendanceSheet!$C$7:$C327,0)),"")</f>
        <v>Emp_0003</v>
      </c>
      <c r="C293" s="38" t="s">
        <v>117</v>
      </c>
      <c r="D293" s="49">
        <v>44441</v>
      </c>
      <c r="E293" s="40" t="s">
        <v>89</v>
      </c>
    </row>
    <row r="294" spans="1:5" ht="16.5" thickTop="1" thickBot="1" x14ac:dyDescent="0.3">
      <c r="A294" s="47" t="str">
        <f t="shared" si="10"/>
        <v>Emp_000844440</v>
      </c>
      <c r="B294" s="48" t="str">
        <f>IFERROR(INDEX(AttendanceSheet!$B$7:$B302,MATCH('Mark Leave'!C294,AttendanceSheet!$C$7:$C328,0)),"")</f>
        <v>Emp_0008</v>
      </c>
      <c r="C294" s="38" t="s">
        <v>118</v>
      </c>
      <c r="D294" s="49">
        <v>44440</v>
      </c>
      <c r="E294" s="40" t="s">
        <v>89</v>
      </c>
    </row>
    <row r="295" spans="1:5" ht="16.5" thickTop="1" thickBot="1" x14ac:dyDescent="0.3">
      <c r="A295" s="47" t="str">
        <f t="shared" si="10"/>
        <v>Emp_000844441</v>
      </c>
      <c r="B295" s="48" t="str">
        <f>IFERROR(INDEX(AttendanceSheet!$B$7:$B303,MATCH('Mark Leave'!C295,AttendanceSheet!$C$7:$C329,0)),"")</f>
        <v>Emp_0008</v>
      </c>
      <c r="C295" s="38" t="s">
        <v>118</v>
      </c>
      <c r="D295" s="49">
        <v>44441</v>
      </c>
      <c r="E295" s="40" t="s">
        <v>89</v>
      </c>
    </row>
    <row r="296" spans="1:5" ht="16.5" thickTop="1" thickBot="1" x14ac:dyDescent="0.3">
      <c r="A296" s="47" t="str">
        <f t="shared" si="10"/>
        <v>Emp_000244471</v>
      </c>
      <c r="B296" s="48" t="str">
        <f>IFERROR(INDEX(AttendanceSheet!$B$7:$B304,MATCH('Mark Leave'!C296,AttendanceSheet!$C$7:$C330,0)),"")</f>
        <v>Emp_0002</v>
      </c>
      <c r="C296" s="38" t="s">
        <v>95</v>
      </c>
      <c r="D296" s="49">
        <v>44471</v>
      </c>
      <c r="E296" s="40" t="s">
        <v>89</v>
      </c>
    </row>
    <row r="297" spans="1:5" ht="16.5" thickTop="1" thickBot="1" x14ac:dyDescent="0.3">
      <c r="A297" s="47" t="str">
        <f t="shared" si="10"/>
        <v>Emp_000644470</v>
      </c>
      <c r="B297" s="48" t="str">
        <f>IFERROR(INDEX(AttendanceSheet!$B$7:$B305,MATCH('Mark Leave'!C297,AttendanceSheet!$C$7:$C331,0)),"")</f>
        <v>Emp_0006</v>
      </c>
      <c r="C297" s="38" t="s">
        <v>119</v>
      </c>
      <c r="D297" s="49">
        <v>44470</v>
      </c>
      <c r="E297" s="40" t="s">
        <v>89</v>
      </c>
    </row>
    <row r="298" spans="1:5" ht="16.5" thickTop="1" thickBot="1" x14ac:dyDescent="0.3">
      <c r="A298" s="47" t="str">
        <f t="shared" si="10"/>
        <v>Emp_000744470</v>
      </c>
      <c r="B298" s="48" t="str">
        <f>IFERROR(INDEX(AttendanceSheet!$B$7:$B306,MATCH('Mark Leave'!C298,AttendanceSheet!$C$7:$C332,0)),"")</f>
        <v>Emp_0007</v>
      </c>
      <c r="C298" s="38" t="s">
        <v>122</v>
      </c>
      <c r="D298" s="49">
        <v>44470</v>
      </c>
      <c r="E298" s="40" t="s">
        <v>89</v>
      </c>
    </row>
    <row r="299" spans="1:5" ht="16.5" thickTop="1" thickBot="1" x14ac:dyDescent="0.3">
      <c r="A299" s="47" t="str">
        <f t="shared" si="10"/>
        <v>Emp_000744471</v>
      </c>
      <c r="B299" s="48" t="str">
        <f>IFERROR(INDEX(AttendanceSheet!$B$7:$B307,MATCH('Mark Leave'!C299,AttendanceSheet!$C$7:$C333,0)),"")</f>
        <v>Emp_0007</v>
      </c>
      <c r="C299" s="38" t="s">
        <v>122</v>
      </c>
      <c r="D299" s="49">
        <v>44471</v>
      </c>
      <c r="E299" s="40" t="s">
        <v>42</v>
      </c>
    </row>
    <row r="300" spans="1:5" ht="16.5" thickTop="1" thickBot="1" x14ac:dyDescent="0.3">
      <c r="A300" s="47" t="str">
        <f t="shared" si="10"/>
        <v>Emp_002044501</v>
      </c>
      <c r="B300" s="48" t="str">
        <f>IFERROR(INDEX(AttendanceSheet!$B$7:$B308,MATCH('Mark Leave'!C300,AttendanceSheet!$C$7:$C334,0)),"")</f>
        <v>Emp_0020</v>
      </c>
      <c r="C300" s="38" t="s">
        <v>98</v>
      </c>
      <c r="D300" s="49">
        <v>44501</v>
      </c>
      <c r="E300" s="40" t="s">
        <v>89</v>
      </c>
    </row>
    <row r="301" spans="1:5" ht="16.5" thickTop="1" thickBot="1" x14ac:dyDescent="0.3">
      <c r="A301" s="47" t="str">
        <f t="shared" si="10"/>
        <v>Emp_002044502</v>
      </c>
      <c r="B301" s="48" t="str">
        <f>IFERROR(INDEX(AttendanceSheet!$B$7:$B309,MATCH('Mark Leave'!C301,AttendanceSheet!$C$7:$C335,0)),"")</f>
        <v>Emp_0020</v>
      </c>
      <c r="C301" s="38" t="s">
        <v>98</v>
      </c>
      <c r="D301" s="49">
        <v>44502</v>
      </c>
      <c r="E301" s="40" t="s">
        <v>89</v>
      </c>
    </row>
    <row r="302" spans="1:5" ht="16.5" thickTop="1" thickBot="1" x14ac:dyDescent="0.3">
      <c r="A302" s="47" t="str">
        <f t="shared" si="10"/>
        <v>Emp_002044503</v>
      </c>
      <c r="B302" s="48" t="str">
        <f>IFERROR(INDEX(AttendanceSheet!$B$7:$B310,MATCH('Mark Leave'!C302,AttendanceSheet!$C$7:$C336,0)),"")</f>
        <v>Emp_0020</v>
      </c>
      <c r="C302" s="38" t="s">
        <v>98</v>
      </c>
      <c r="D302" s="49">
        <v>44503</v>
      </c>
      <c r="E302" s="40" t="s">
        <v>89</v>
      </c>
    </row>
    <row r="303" spans="1:5" ht="16.5" thickTop="1" thickBot="1" x14ac:dyDescent="0.3">
      <c r="A303" s="47" t="str">
        <f t="shared" si="10"/>
        <v>Emp_002044504</v>
      </c>
      <c r="B303" s="48" t="str">
        <f>IFERROR(INDEX(AttendanceSheet!$B$7:$B311,MATCH('Mark Leave'!C303,AttendanceSheet!$C$7:$C337,0)),"")</f>
        <v>Emp_0020</v>
      </c>
      <c r="C303" s="38" t="s">
        <v>98</v>
      </c>
      <c r="D303" s="49">
        <v>44504</v>
      </c>
      <c r="E303" s="40" t="s">
        <v>89</v>
      </c>
    </row>
    <row r="304" spans="1:5" ht="16.5" thickTop="1" thickBot="1" x14ac:dyDescent="0.3">
      <c r="A304" s="47" t="str">
        <f t="shared" si="10"/>
        <v>Emp_002044505</v>
      </c>
      <c r="B304" s="48" t="str">
        <f>IFERROR(INDEX(AttendanceSheet!$B$7:$B312,MATCH('Mark Leave'!C304,AttendanceSheet!$C$7:$C338,0)),"")</f>
        <v>Emp_0020</v>
      </c>
      <c r="C304" s="38" t="s">
        <v>98</v>
      </c>
      <c r="D304" s="49">
        <v>44505</v>
      </c>
      <c r="E304" s="40" t="s">
        <v>89</v>
      </c>
    </row>
    <row r="305" spans="1:5" ht="16.5" thickTop="1" thickBot="1" x14ac:dyDescent="0.3">
      <c r="A305" s="47" t="str">
        <f t="shared" si="10"/>
        <v>Emp_002044506</v>
      </c>
      <c r="B305" s="48" t="str">
        <f>IFERROR(INDEX(AttendanceSheet!$B$7:$B313,MATCH('Mark Leave'!C305,AttendanceSheet!$C$7:$C339,0)),"")</f>
        <v>Emp_0020</v>
      </c>
      <c r="C305" s="38" t="s">
        <v>98</v>
      </c>
      <c r="D305" s="49">
        <v>44506</v>
      </c>
      <c r="E305" s="40" t="s">
        <v>89</v>
      </c>
    </row>
    <row r="306" spans="1:5" ht="16.5" thickTop="1" thickBot="1" x14ac:dyDescent="0.3">
      <c r="A306" s="47" t="str">
        <f t="shared" si="10"/>
        <v>Emp_002044507</v>
      </c>
      <c r="B306" s="48" t="str">
        <f>IFERROR(INDEX(AttendanceSheet!$B$7:$B314,MATCH('Mark Leave'!C306,AttendanceSheet!$C$7:$C340,0)),"")</f>
        <v>Emp_0020</v>
      </c>
      <c r="C306" s="38" t="s">
        <v>98</v>
      </c>
      <c r="D306" s="49">
        <v>44507</v>
      </c>
      <c r="E306" s="40" t="s">
        <v>89</v>
      </c>
    </row>
    <row r="307" spans="1:5" ht="16.5" thickTop="1" thickBot="1" x14ac:dyDescent="0.3">
      <c r="A307" s="47" t="str">
        <f t="shared" si="10"/>
        <v>Emp_002144501</v>
      </c>
      <c r="B307" s="48" t="str">
        <f>IFERROR(INDEX(AttendanceSheet!$B$7:$B315,MATCH('Mark Leave'!C307,AttendanceSheet!$C$7:$C341,0)),"")</f>
        <v>Emp_0021</v>
      </c>
      <c r="C307" s="38" t="s">
        <v>99</v>
      </c>
      <c r="D307" s="49">
        <v>44501</v>
      </c>
      <c r="E307" s="40" t="s">
        <v>89</v>
      </c>
    </row>
    <row r="308" spans="1:5" ht="16.5" thickTop="1" thickBot="1" x14ac:dyDescent="0.3">
      <c r="A308" s="47" t="str">
        <f t="shared" si="10"/>
        <v>Emp_002144502</v>
      </c>
      <c r="B308" s="48" t="str">
        <f>IFERROR(INDEX(AttendanceSheet!$B$7:$B316,MATCH('Mark Leave'!C308,AttendanceSheet!$C$7:$C342,0)),"")</f>
        <v>Emp_0021</v>
      </c>
      <c r="C308" s="38" t="s">
        <v>99</v>
      </c>
      <c r="D308" s="49">
        <v>44502</v>
      </c>
      <c r="E308" s="40" t="s">
        <v>89</v>
      </c>
    </row>
    <row r="309" spans="1:5" ht="16.5" thickTop="1" thickBot="1" x14ac:dyDescent="0.3">
      <c r="A309" s="47" t="str">
        <f t="shared" si="10"/>
        <v>Emp_002144503</v>
      </c>
      <c r="B309" s="48" t="str">
        <f>IFERROR(INDEX(AttendanceSheet!$B$7:$B317,MATCH('Mark Leave'!C309,AttendanceSheet!$C$7:$C343,0)),"")</f>
        <v>Emp_0021</v>
      </c>
      <c r="C309" s="38" t="s">
        <v>99</v>
      </c>
      <c r="D309" s="49">
        <v>44503</v>
      </c>
      <c r="E309" s="40" t="s">
        <v>89</v>
      </c>
    </row>
    <row r="310" spans="1:5" ht="16.5" thickTop="1" thickBot="1" x14ac:dyDescent="0.3">
      <c r="A310" s="47" t="str">
        <f t="shared" si="10"/>
        <v>Emp_002144504</v>
      </c>
      <c r="B310" s="48" t="str">
        <f>IFERROR(INDEX(AttendanceSheet!$B$7:$B318,MATCH('Mark Leave'!C310,AttendanceSheet!$C$7:$C344,0)),"")</f>
        <v>Emp_0021</v>
      </c>
      <c r="C310" s="38" t="s">
        <v>99</v>
      </c>
      <c r="D310" s="49">
        <v>44504</v>
      </c>
      <c r="E310" s="40" t="s">
        <v>89</v>
      </c>
    </row>
    <row r="311" spans="1:5" ht="16.5" thickTop="1" thickBot="1" x14ac:dyDescent="0.3">
      <c r="A311" s="47" t="str">
        <f t="shared" si="10"/>
        <v>Emp_002144505</v>
      </c>
      <c r="B311" s="48" t="str">
        <f>IFERROR(INDEX(AttendanceSheet!$B$7:$B319,MATCH('Mark Leave'!C311,AttendanceSheet!$C$7:$C345,0)),"")</f>
        <v>Emp_0021</v>
      </c>
      <c r="C311" s="38" t="s">
        <v>99</v>
      </c>
      <c r="D311" s="49">
        <v>44505</v>
      </c>
      <c r="E311" s="40" t="s">
        <v>89</v>
      </c>
    </row>
    <row r="312" spans="1:5" ht="16.5" thickTop="1" thickBot="1" x14ac:dyDescent="0.3">
      <c r="A312" s="47" t="str">
        <f t="shared" si="10"/>
        <v>Emp_002144506</v>
      </c>
      <c r="B312" s="48" t="str">
        <f>IFERROR(INDEX(AttendanceSheet!$B$7:$B320,MATCH('Mark Leave'!C312,AttendanceSheet!$C$7:$C346,0)),"")</f>
        <v>Emp_0021</v>
      </c>
      <c r="C312" s="38" t="s">
        <v>99</v>
      </c>
      <c r="D312" s="49">
        <v>44506</v>
      </c>
      <c r="E312" s="40" t="s">
        <v>89</v>
      </c>
    </row>
    <row r="313" spans="1:5" ht="16.5" thickTop="1" thickBot="1" x14ac:dyDescent="0.3">
      <c r="A313" s="47" t="str">
        <f t="shared" si="10"/>
        <v>Emp_0021</v>
      </c>
      <c r="B313" s="48" t="str">
        <f>IFERROR(INDEX(AttendanceSheet!$B$7:$B321,MATCH('Mark Leave'!C313,AttendanceSheet!$C$7:$C347,0)),"")</f>
        <v>Emp_0021</v>
      </c>
      <c r="C313" s="38" t="s">
        <v>99</v>
      </c>
      <c r="D313" s="49"/>
      <c r="E313" s="40"/>
    </row>
    <row r="314" spans="1:5" ht="16.5" thickTop="1" thickBot="1" x14ac:dyDescent="0.3">
      <c r="A314" s="47" t="str">
        <f t="shared" si="10"/>
        <v>Emp_0021</v>
      </c>
      <c r="B314" s="48" t="str">
        <f>IFERROR(INDEX(AttendanceSheet!$B$7:$B322,MATCH('Mark Leave'!C314,AttendanceSheet!$C$7:$C348,0)),"")</f>
        <v>Emp_0021</v>
      </c>
      <c r="C314" s="38" t="s">
        <v>99</v>
      </c>
      <c r="D314" s="49"/>
      <c r="E314" s="40"/>
    </row>
    <row r="315" spans="1:5" ht="16.5" thickTop="1" thickBot="1" x14ac:dyDescent="0.3">
      <c r="A315" s="47" t="str">
        <f t="shared" si="10"/>
        <v>Emp_0021</v>
      </c>
      <c r="B315" s="48" t="str">
        <f>IFERROR(INDEX(AttendanceSheet!$B$7:$B323,MATCH('Mark Leave'!C315,AttendanceSheet!$C$7:$C349,0)),"")</f>
        <v>Emp_0021</v>
      </c>
      <c r="C315" s="38" t="s">
        <v>99</v>
      </c>
      <c r="D315" s="49"/>
      <c r="E315" s="40"/>
    </row>
    <row r="316" spans="1:5" ht="16.5" thickTop="1" thickBot="1" x14ac:dyDescent="0.3">
      <c r="A316" s="47" t="str">
        <f t="shared" si="10"/>
        <v>Emp_0021</v>
      </c>
      <c r="B316" s="48" t="str">
        <f>IFERROR(INDEX(AttendanceSheet!$B$7:$B324,MATCH('Mark Leave'!C316,AttendanceSheet!$C$7:$C350,0)),"")</f>
        <v>Emp_0021</v>
      </c>
      <c r="C316" s="38" t="s">
        <v>99</v>
      </c>
      <c r="D316" s="49"/>
      <c r="E316" s="40"/>
    </row>
    <row r="317" spans="1:5" ht="16.5" thickTop="1" thickBot="1" x14ac:dyDescent="0.3">
      <c r="A317" s="47" t="str">
        <f t="shared" si="10"/>
        <v>Emp_002344501</v>
      </c>
      <c r="B317" s="48" t="str">
        <f>IFERROR(INDEX(AttendanceSheet!$B$7:$B325,MATCH('Mark Leave'!C317,AttendanceSheet!$C$7:$C351,0)),"")</f>
        <v>Emp_0023</v>
      </c>
      <c r="C317" s="38" t="s">
        <v>101</v>
      </c>
      <c r="D317" s="49">
        <v>44501</v>
      </c>
      <c r="E317" s="40" t="s">
        <v>89</v>
      </c>
    </row>
    <row r="318" spans="1:5" ht="16.5" thickTop="1" thickBot="1" x14ac:dyDescent="0.3">
      <c r="A318" s="47" t="str">
        <f t="shared" si="10"/>
        <v>Emp_002344502</v>
      </c>
      <c r="B318" s="48" t="str">
        <f>IFERROR(INDEX(AttendanceSheet!$B$7:$B326,MATCH('Mark Leave'!C318,AttendanceSheet!$C$7:$C352,0)),"")</f>
        <v>Emp_0023</v>
      </c>
      <c r="C318" s="38" t="s">
        <v>101</v>
      </c>
      <c r="D318" s="49">
        <v>44502</v>
      </c>
      <c r="E318" s="40" t="s">
        <v>89</v>
      </c>
    </row>
    <row r="319" spans="1:5" ht="16.5" thickTop="1" thickBot="1" x14ac:dyDescent="0.3">
      <c r="A319" s="47" t="str">
        <f t="shared" si="10"/>
        <v>Emp_002344503</v>
      </c>
      <c r="B319" s="48" t="str">
        <f>IFERROR(INDEX(AttendanceSheet!$B$7:$B327,MATCH('Mark Leave'!C319,AttendanceSheet!$C$7:$C353,0)),"")</f>
        <v>Emp_0023</v>
      </c>
      <c r="C319" s="38" t="s">
        <v>101</v>
      </c>
      <c r="D319" s="49">
        <v>44503</v>
      </c>
      <c r="E319" s="40" t="s">
        <v>89</v>
      </c>
    </row>
    <row r="320" spans="1:5" ht="16.5" thickTop="1" thickBot="1" x14ac:dyDescent="0.3">
      <c r="A320" s="47" t="str">
        <f t="shared" si="10"/>
        <v>Emp_003944501</v>
      </c>
      <c r="B320" s="48" t="str">
        <f>IFERROR(INDEX(AttendanceSheet!$B$7:$B328,MATCH('Mark Leave'!C320,AttendanceSheet!$C$7:$C354,0)),"")</f>
        <v>Emp_0039</v>
      </c>
      <c r="C320" s="38" t="s">
        <v>116</v>
      </c>
      <c r="D320" s="49">
        <v>44501</v>
      </c>
      <c r="E320" s="40" t="s">
        <v>89</v>
      </c>
    </row>
    <row r="321" spans="1:5" ht="16.5" thickTop="1" thickBot="1" x14ac:dyDescent="0.3">
      <c r="A321" s="47" t="str">
        <f t="shared" si="10"/>
        <v>Emp_003944502</v>
      </c>
      <c r="B321" s="48" t="str">
        <f>IFERROR(INDEX(AttendanceSheet!$B$7:$B329,MATCH('Mark Leave'!C321,AttendanceSheet!$C$7:$C355,0)),"")</f>
        <v>Emp_0039</v>
      </c>
      <c r="C321" s="38" t="s">
        <v>116</v>
      </c>
      <c r="D321" s="49">
        <v>44502</v>
      </c>
      <c r="E321" s="40" t="s">
        <v>89</v>
      </c>
    </row>
    <row r="322" spans="1:5" ht="16.5" thickTop="1" thickBot="1" x14ac:dyDescent="0.3">
      <c r="A322" s="47" t="str">
        <f t="shared" si="10"/>
        <v>Emp_003944503</v>
      </c>
      <c r="B322" s="48" t="str">
        <f>IFERROR(INDEX(AttendanceSheet!$B$7:$B330,MATCH('Mark Leave'!C322,AttendanceSheet!$C$7:$C356,0)),"")</f>
        <v>Emp_0039</v>
      </c>
      <c r="C322" s="38" t="s">
        <v>116</v>
      </c>
      <c r="D322" s="49">
        <v>44503</v>
      </c>
      <c r="E322" s="40" t="s">
        <v>89</v>
      </c>
    </row>
    <row r="323" spans="1:5" ht="16.5" thickTop="1" thickBot="1" x14ac:dyDescent="0.3">
      <c r="A323" s="47" t="str">
        <f t="shared" si="10"/>
        <v>Emp_003944504</v>
      </c>
      <c r="B323" s="48" t="str">
        <f>IFERROR(INDEX(AttendanceSheet!$B$7:$B331,MATCH('Mark Leave'!C323,AttendanceSheet!$C$7:$C357,0)),"")</f>
        <v>Emp_0039</v>
      </c>
      <c r="C323" s="38" t="s">
        <v>116</v>
      </c>
      <c r="D323" s="49">
        <v>44504</v>
      </c>
      <c r="E323" s="40" t="s">
        <v>89</v>
      </c>
    </row>
    <row r="324" spans="1:5" ht="16.5" thickTop="1" thickBot="1" x14ac:dyDescent="0.3">
      <c r="A324" s="47" t="str">
        <f t="shared" si="10"/>
        <v>Emp_003744501</v>
      </c>
      <c r="B324" s="48" t="str">
        <f>IFERROR(INDEX(AttendanceSheet!$B$7:$B332,MATCH('Mark Leave'!C324,AttendanceSheet!$C$7:$C358,0)),"")</f>
        <v>Emp_0037</v>
      </c>
      <c r="C324" s="38" t="s">
        <v>114</v>
      </c>
      <c r="D324" s="49">
        <v>44501</v>
      </c>
      <c r="E324" s="40" t="s">
        <v>89</v>
      </c>
    </row>
    <row r="325" spans="1:5" ht="16.5" thickTop="1" thickBot="1" x14ac:dyDescent="0.3">
      <c r="A325" s="47" t="str">
        <f t="shared" si="10"/>
        <v>Emp_003744502</v>
      </c>
      <c r="B325" s="48" t="str">
        <f>IFERROR(INDEX(AttendanceSheet!$B$7:$B333,MATCH('Mark Leave'!C325,AttendanceSheet!$C$7:$C359,0)),"")</f>
        <v>Emp_0037</v>
      </c>
      <c r="C325" s="38" t="s">
        <v>114</v>
      </c>
      <c r="D325" s="49">
        <v>44502</v>
      </c>
      <c r="E325" s="40" t="s">
        <v>89</v>
      </c>
    </row>
    <row r="326" spans="1:5" ht="16.5" thickTop="1" thickBot="1" x14ac:dyDescent="0.3">
      <c r="A326" s="47" t="str">
        <f t="shared" si="10"/>
        <v>Emp_003744503</v>
      </c>
      <c r="B326" s="48" t="str">
        <f>IFERROR(INDEX(AttendanceSheet!$B$7:$B334,MATCH('Mark Leave'!C326,AttendanceSheet!$C$7:$C360,0)),"")</f>
        <v>Emp_0037</v>
      </c>
      <c r="C326" s="38" t="s">
        <v>114</v>
      </c>
      <c r="D326" s="49">
        <v>44503</v>
      </c>
      <c r="E326" s="40" t="s">
        <v>89</v>
      </c>
    </row>
    <row r="327" spans="1:5" ht="16.5" thickTop="1" thickBot="1" x14ac:dyDescent="0.3">
      <c r="A327" s="47" t="str">
        <f t="shared" si="10"/>
        <v>Emp_003744504</v>
      </c>
      <c r="B327" s="48" t="str">
        <f>IFERROR(INDEX(AttendanceSheet!$B$7:$B335,MATCH('Mark Leave'!C327,AttendanceSheet!$C$7:$C361,0)),"")</f>
        <v>Emp_0037</v>
      </c>
      <c r="C327" s="38" t="s">
        <v>114</v>
      </c>
      <c r="D327" s="49">
        <v>44504</v>
      </c>
      <c r="E327" s="40" t="s">
        <v>89</v>
      </c>
    </row>
    <row r="328" spans="1:5" ht="16.5" thickTop="1" thickBot="1" x14ac:dyDescent="0.3">
      <c r="A328" s="47" t="str">
        <f t="shared" si="10"/>
        <v>Emp_003744505</v>
      </c>
      <c r="B328" s="48" t="str">
        <f>IFERROR(INDEX(AttendanceSheet!$B$7:$B336,MATCH('Mark Leave'!C328,AttendanceSheet!$C$7:$C362,0)),"")</f>
        <v>Emp_0037</v>
      </c>
      <c r="C328" s="38" t="s">
        <v>114</v>
      </c>
      <c r="D328" s="49">
        <v>44505</v>
      </c>
      <c r="E328" s="40" t="s">
        <v>89</v>
      </c>
    </row>
    <row r="329" spans="1:5" ht="16.5" thickTop="1" thickBot="1" x14ac:dyDescent="0.3">
      <c r="A329" s="47" t="str">
        <f t="shared" si="10"/>
        <v>Emp_003744506</v>
      </c>
      <c r="B329" s="48" t="str">
        <f>IFERROR(INDEX(AttendanceSheet!$B$7:$B337,MATCH('Mark Leave'!C329,AttendanceSheet!$C$7:$C363,0)),"")</f>
        <v>Emp_0037</v>
      </c>
      <c r="C329" s="38" t="s">
        <v>114</v>
      </c>
      <c r="D329" s="49">
        <v>44506</v>
      </c>
      <c r="E329" s="40" t="s">
        <v>89</v>
      </c>
    </row>
    <row r="330" spans="1:5" ht="16.5" thickTop="1" thickBot="1" x14ac:dyDescent="0.3">
      <c r="A330" s="47" t="str">
        <f t="shared" si="10"/>
        <v>Emp_003744507</v>
      </c>
      <c r="B330" s="48" t="str">
        <f>IFERROR(INDEX(AttendanceSheet!$B$7:$B338,MATCH('Mark Leave'!C330,AttendanceSheet!$C$7:$C364,0)),"")</f>
        <v>Emp_0037</v>
      </c>
      <c r="C330" s="38" t="s">
        <v>114</v>
      </c>
      <c r="D330" s="49">
        <v>44507</v>
      </c>
      <c r="E330" s="40" t="s">
        <v>89</v>
      </c>
    </row>
    <row r="331" spans="1:5" ht="16.5" thickTop="1" thickBot="1" x14ac:dyDescent="0.3">
      <c r="A331" s="47" t="str">
        <f t="shared" si="10"/>
        <v>Emp_003744508</v>
      </c>
      <c r="B331" s="48" t="str">
        <f>IFERROR(INDEX(AttendanceSheet!$B$7:$B339,MATCH('Mark Leave'!C331,AttendanceSheet!$C$7:$C365,0)),"")</f>
        <v>Emp_0037</v>
      </c>
      <c r="C331" s="38" t="s">
        <v>114</v>
      </c>
      <c r="D331" s="49">
        <v>44508</v>
      </c>
      <c r="E331" s="40" t="s">
        <v>89</v>
      </c>
    </row>
    <row r="332" spans="1:5" ht="16.5" thickTop="1" thickBot="1" x14ac:dyDescent="0.3">
      <c r="A332" s="47" t="str">
        <f t="shared" si="10"/>
        <v>Emp_003744509</v>
      </c>
      <c r="B332" s="48" t="str">
        <f>IFERROR(INDEX(AttendanceSheet!$B$7:$B340,MATCH('Mark Leave'!C332,AttendanceSheet!$C$7:$C366,0)),"")</f>
        <v>Emp_0037</v>
      </c>
      <c r="C332" s="38" t="s">
        <v>114</v>
      </c>
      <c r="D332" s="49">
        <v>44509</v>
      </c>
      <c r="E332" s="40" t="s">
        <v>89</v>
      </c>
    </row>
    <row r="333" spans="1:5" ht="16.5" thickTop="1" thickBot="1" x14ac:dyDescent="0.3">
      <c r="A333" s="47" t="str">
        <f t="shared" si="10"/>
        <v>Emp_003744510</v>
      </c>
      <c r="B333" s="48" t="str">
        <f>IFERROR(INDEX(AttendanceSheet!$B$7:$B341,MATCH('Mark Leave'!C333,AttendanceSheet!$C$7:$C367,0)),"")</f>
        <v>Emp_0037</v>
      </c>
      <c r="C333" s="38" t="s">
        <v>114</v>
      </c>
      <c r="D333" s="49">
        <v>44510</v>
      </c>
      <c r="E333" s="40" t="s">
        <v>89</v>
      </c>
    </row>
    <row r="334" spans="1:5" ht="16.5" thickTop="1" thickBot="1" x14ac:dyDescent="0.3">
      <c r="A334" s="47" t="str">
        <f t="shared" si="10"/>
        <v>Emp_003744511</v>
      </c>
      <c r="B334" s="48" t="str">
        <f>IFERROR(INDEX(AttendanceSheet!$B$7:$B342,MATCH('Mark Leave'!C334,AttendanceSheet!$C$7:$C368,0)),"")</f>
        <v>Emp_0037</v>
      </c>
      <c r="C334" s="38" t="s">
        <v>114</v>
      </c>
      <c r="D334" s="49">
        <v>44511</v>
      </c>
      <c r="E334" s="40" t="s">
        <v>89</v>
      </c>
    </row>
    <row r="335" spans="1:5" ht="16.5" thickTop="1" thickBot="1" x14ac:dyDescent="0.3">
      <c r="A335" s="47" t="str">
        <f t="shared" si="10"/>
        <v>Emp_003744512</v>
      </c>
      <c r="B335" s="48" t="str">
        <f>IFERROR(INDEX(AttendanceSheet!$B$7:$B343,MATCH('Mark Leave'!C335,AttendanceSheet!$C$7:$C369,0)),"")</f>
        <v>Emp_0037</v>
      </c>
      <c r="C335" s="38" t="s">
        <v>114</v>
      </c>
      <c r="D335" s="49">
        <v>44512</v>
      </c>
      <c r="E335" s="40" t="s">
        <v>89</v>
      </c>
    </row>
    <row r="336" spans="1:5" ht="16.5" thickTop="1" thickBot="1" x14ac:dyDescent="0.3">
      <c r="A336" s="47" t="str">
        <f t="shared" si="10"/>
        <v>Emp_003744513</v>
      </c>
      <c r="B336" s="48" t="str">
        <f>IFERROR(INDEX(AttendanceSheet!$B$7:$B344,MATCH('Mark Leave'!C336,AttendanceSheet!$C$7:$C370,0)),"")</f>
        <v>Emp_0037</v>
      </c>
      <c r="C336" s="38" t="s">
        <v>114</v>
      </c>
      <c r="D336" s="49">
        <v>44513</v>
      </c>
      <c r="E336" s="40" t="s">
        <v>89</v>
      </c>
    </row>
    <row r="337" spans="1:5" ht="16.5" thickTop="1" thickBot="1" x14ac:dyDescent="0.3">
      <c r="A337" s="47" t="str">
        <f t="shared" si="10"/>
        <v>Emp_003744514</v>
      </c>
      <c r="B337" s="48" t="str">
        <f>IFERROR(INDEX(AttendanceSheet!$B$7:$B345,MATCH('Mark Leave'!C337,AttendanceSheet!$C$7:$C371,0)),"")</f>
        <v>Emp_0037</v>
      </c>
      <c r="C337" s="38" t="s">
        <v>114</v>
      </c>
      <c r="D337" s="49">
        <v>44514</v>
      </c>
      <c r="E337" s="40" t="s">
        <v>89</v>
      </c>
    </row>
    <row r="338" spans="1:5" ht="16.5" thickTop="1" thickBot="1" x14ac:dyDescent="0.3">
      <c r="A338" s="47" t="str">
        <f t="shared" si="10"/>
        <v>Emp_003744515</v>
      </c>
      <c r="B338" s="48" t="str">
        <f>IFERROR(INDEX(AttendanceSheet!$B$7:$B346,MATCH('Mark Leave'!C338,AttendanceSheet!$C$7:$C372,0)),"")</f>
        <v>Emp_0037</v>
      </c>
      <c r="C338" s="38" t="s">
        <v>114</v>
      </c>
      <c r="D338" s="49">
        <v>44515</v>
      </c>
      <c r="E338" s="40" t="s">
        <v>39</v>
      </c>
    </row>
    <row r="339" spans="1:5" ht="16.5" thickTop="1" thickBot="1" x14ac:dyDescent="0.3">
      <c r="A339" s="47" t="str">
        <f t="shared" si="10"/>
        <v>Emp_003444501</v>
      </c>
      <c r="B339" s="48" t="str">
        <f>IFERROR(INDEX(AttendanceSheet!$B$7:$B347,MATCH('Mark Leave'!C339,AttendanceSheet!$C$7:$C373,0)),"")</f>
        <v>Emp_0034</v>
      </c>
      <c r="C339" s="38" t="s">
        <v>111</v>
      </c>
      <c r="D339" s="49">
        <v>44501</v>
      </c>
      <c r="E339" s="40" t="s">
        <v>89</v>
      </c>
    </row>
    <row r="340" spans="1:5" ht="16.5" thickTop="1" thickBot="1" x14ac:dyDescent="0.3">
      <c r="A340" s="47" t="str">
        <f t="shared" si="10"/>
        <v>Emp_003444502</v>
      </c>
      <c r="B340" s="48" t="str">
        <f>IFERROR(INDEX(AttendanceSheet!$B$7:$B348,MATCH('Mark Leave'!C340,AttendanceSheet!$C$7:$C374,0)),"")</f>
        <v>Emp_0034</v>
      </c>
      <c r="C340" s="38" t="s">
        <v>111</v>
      </c>
      <c r="D340" s="49">
        <v>44502</v>
      </c>
      <c r="E340" s="40" t="s">
        <v>89</v>
      </c>
    </row>
    <row r="341" spans="1:5" ht="16.5" thickTop="1" thickBot="1" x14ac:dyDescent="0.3">
      <c r="A341" s="47" t="str">
        <f t="shared" si="10"/>
        <v>Emp_003444503</v>
      </c>
      <c r="B341" s="48" t="str">
        <f>IFERROR(INDEX(AttendanceSheet!$B$7:$B349,MATCH('Mark Leave'!C341,AttendanceSheet!$C$7:$C375,0)),"")</f>
        <v>Emp_0034</v>
      </c>
      <c r="C341" s="38" t="s">
        <v>111</v>
      </c>
      <c r="D341" s="49">
        <v>44503</v>
      </c>
      <c r="E341" s="40" t="s">
        <v>89</v>
      </c>
    </row>
    <row r="342" spans="1:5" ht="16.5" thickTop="1" thickBot="1" x14ac:dyDescent="0.3">
      <c r="A342" s="47" t="str">
        <f t="shared" ref="A342:A405" si="11">B342&amp;D342</f>
        <v>Emp_003444504</v>
      </c>
      <c r="B342" s="48" t="str">
        <f>IFERROR(INDEX(AttendanceSheet!$B$7:$B350,MATCH('Mark Leave'!C342,AttendanceSheet!$C$7:$C376,0)),"")</f>
        <v>Emp_0034</v>
      </c>
      <c r="C342" s="38" t="s">
        <v>111</v>
      </c>
      <c r="D342" s="49">
        <v>44504</v>
      </c>
      <c r="E342" s="40" t="s">
        <v>89</v>
      </c>
    </row>
    <row r="343" spans="1:5" ht="16.5" thickTop="1" thickBot="1" x14ac:dyDescent="0.3">
      <c r="A343" s="47" t="str">
        <f t="shared" si="11"/>
        <v>Emp_003444505</v>
      </c>
      <c r="B343" s="48" t="str">
        <f>IFERROR(INDEX(AttendanceSheet!$B$7:$B351,MATCH('Mark Leave'!C343,AttendanceSheet!$C$7:$C377,0)),"")</f>
        <v>Emp_0034</v>
      </c>
      <c r="C343" s="38" t="s">
        <v>111</v>
      </c>
      <c r="D343" s="49">
        <v>44505</v>
      </c>
      <c r="E343" s="40" t="s">
        <v>89</v>
      </c>
    </row>
    <row r="344" spans="1:5" ht="16.5" thickTop="1" thickBot="1" x14ac:dyDescent="0.3">
      <c r="A344" s="47" t="str">
        <f t="shared" si="11"/>
        <v>Emp_003044501</v>
      </c>
      <c r="B344" s="48" t="str">
        <f>IFERROR(INDEX(AttendanceSheet!$B$7:$B352,MATCH('Mark Leave'!C344,AttendanceSheet!$C$7:$C378,0)),"")</f>
        <v>Emp_0030</v>
      </c>
      <c r="C344" s="38" t="s">
        <v>238</v>
      </c>
      <c r="D344" s="49">
        <v>44501</v>
      </c>
      <c r="E344" s="40" t="s">
        <v>89</v>
      </c>
    </row>
    <row r="345" spans="1:5" ht="16.5" thickTop="1" thickBot="1" x14ac:dyDescent="0.3">
      <c r="A345" s="47" t="str">
        <f t="shared" si="11"/>
        <v>Emp_003044502</v>
      </c>
      <c r="B345" s="48" t="str">
        <f>IFERROR(INDEX(AttendanceSheet!$B$7:$B353,MATCH('Mark Leave'!C345,AttendanceSheet!$C$7:$C379,0)),"")</f>
        <v>Emp_0030</v>
      </c>
      <c r="C345" s="38" t="s">
        <v>238</v>
      </c>
      <c r="D345" s="49">
        <v>44502</v>
      </c>
      <c r="E345" s="40" t="s">
        <v>89</v>
      </c>
    </row>
    <row r="346" spans="1:5" ht="16.5" thickTop="1" thickBot="1" x14ac:dyDescent="0.3">
      <c r="A346" s="47" t="str">
        <f t="shared" si="11"/>
        <v>Emp_003044503</v>
      </c>
      <c r="B346" s="48" t="str">
        <f>IFERROR(INDEX(AttendanceSheet!$B$7:$B354,MATCH('Mark Leave'!C346,AttendanceSheet!$C$7:$C380,0)),"")</f>
        <v>Emp_0030</v>
      </c>
      <c r="C346" s="38" t="s">
        <v>238</v>
      </c>
      <c r="D346" s="49">
        <v>44503</v>
      </c>
      <c r="E346" s="40" t="s">
        <v>89</v>
      </c>
    </row>
    <row r="347" spans="1:5" ht="16.5" thickTop="1" thickBot="1" x14ac:dyDescent="0.3">
      <c r="A347" s="47" t="str">
        <f t="shared" si="11"/>
        <v>Emp_003044504</v>
      </c>
      <c r="B347" s="48" t="str">
        <f>IFERROR(INDEX(AttendanceSheet!$B$7:$B355,MATCH('Mark Leave'!C347,AttendanceSheet!$C$7:$C381,0)),"")</f>
        <v>Emp_0030</v>
      </c>
      <c r="C347" s="38" t="s">
        <v>238</v>
      </c>
      <c r="D347" s="49">
        <v>44504</v>
      </c>
      <c r="E347" s="40" t="s">
        <v>89</v>
      </c>
    </row>
    <row r="348" spans="1:5" ht="16.5" thickTop="1" thickBot="1" x14ac:dyDescent="0.3">
      <c r="A348" s="47" t="str">
        <f t="shared" si="11"/>
        <v>Emp_003044505</v>
      </c>
      <c r="B348" s="48" t="str">
        <f>IFERROR(INDEX(AttendanceSheet!$B$7:$B356,MATCH('Mark Leave'!C348,AttendanceSheet!$C$7:$C382,0)),"")</f>
        <v>Emp_0030</v>
      </c>
      <c r="C348" s="38" t="s">
        <v>238</v>
      </c>
      <c r="D348" s="49">
        <v>44505</v>
      </c>
      <c r="E348" s="40" t="s">
        <v>89</v>
      </c>
    </row>
    <row r="349" spans="1:5" ht="16.5" thickTop="1" thickBot="1" x14ac:dyDescent="0.3">
      <c r="A349" s="47" t="str">
        <f t="shared" si="11"/>
        <v>Emp_003044506</v>
      </c>
      <c r="B349" s="48" t="str">
        <f>IFERROR(INDEX(AttendanceSheet!$B$7:$B357,MATCH('Mark Leave'!C349,AttendanceSheet!$C$7:$C383,0)),"")</f>
        <v>Emp_0030</v>
      </c>
      <c r="C349" s="38" t="s">
        <v>238</v>
      </c>
      <c r="D349" s="49">
        <v>44506</v>
      </c>
      <c r="E349" s="40" t="s">
        <v>89</v>
      </c>
    </row>
    <row r="350" spans="1:5" ht="16.5" thickTop="1" thickBot="1" x14ac:dyDescent="0.3">
      <c r="A350" s="47" t="str">
        <f t="shared" si="11"/>
        <v>Emp_003044507</v>
      </c>
      <c r="B350" s="48" t="str">
        <f>IFERROR(INDEX(AttendanceSheet!$B$7:$B358,MATCH('Mark Leave'!C350,AttendanceSheet!$C$7:$C384,0)),"")</f>
        <v>Emp_0030</v>
      </c>
      <c r="C350" s="38" t="s">
        <v>238</v>
      </c>
      <c r="D350" s="49">
        <v>44507</v>
      </c>
      <c r="E350" s="40"/>
    </row>
    <row r="351" spans="1:5" ht="16.5" thickTop="1" thickBot="1" x14ac:dyDescent="0.3">
      <c r="A351" s="47" t="str">
        <f t="shared" si="11"/>
        <v>Emp_003044508</v>
      </c>
      <c r="B351" s="48" t="str">
        <f>IFERROR(INDEX(AttendanceSheet!$B$7:$B359,MATCH('Mark Leave'!C351,AttendanceSheet!$C$7:$C385,0)),"")</f>
        <v>Emp_0030</v>
      </c>
      <c r="C351" s="38" t="s">
        <v>238</v>
      </c>
      <c r="D351" s="49">
        <v>44508</v>
      </c>
      <c r="E351" s="40"/>
    </row>
    <row r="352" spans="1:5" ht="16.5" thickTop="1" thickBot="1" x14ac:dyDescent="0.3">
      <c r="A352" s="47" t="str">
        <f t="shared" si="11"/>
        <v>Emp_003244501</v>
      </c>
      <c r="B352" s="48" t="str">
        <f>IFERROR(INDEX(AttendanceSheet!$B$7:$B360,MATCH('Mark Leave'!C352,AttendanceSheet!$C$7:$C386,0)),"")</f>
        <v>Emp_0032</v>
      </c>
      <c r="C352" s="38" t="s">
        <v>109</v>
      </c>
      <c r="D352" s="49">
        <v>44501</v>
      </c>
      <c r="E352" s="40" t="s">
        <v>89</v>
      </c>
    </row>
    <row r="353" spans="1:5" ht="16.5" thickTop="1" thickBot="1" x14ac:dyDescent="0.3">
      <c r="A353" s="47" t="str">
        <f t="shared" si="11"/>
        <v>Emp_003244502</v>
      </c>
      <c r="B353" s="48" t="str">
        <f>IFERROR(INDEX(AttendanceSheet!$B$7:$B361,MATCH('Mark Leave'!C353,AttendanceSheet!$C$7:$C387,0)),"")</f>
        <v>Emp_0032</v>
      </c>
      <c r="C353" s="38" t="s">
        <v>109</v>
      </c>
      <c r="D353" s="49">
        <v>44502</v>
      </c>
      <c r="E353" s="40" t="s">
        <v>89</v>
      </c>
    </row>
    <row r="354" spans="1:5" ht="16.5" thickTop="1" thickBot="1" x14ac:dyDescent="0.3">
      <c r="A354" s="47" t="str">
        <f t="shared" si="11"/>
        <v>Emp_003244503</v>
      </c>
      <c r="B354" s="48" t="str">
        <f>IFERROR(INDEX(AttendanceSheet!$B$7:$B362,MATCH('Mark Leave'!C354,AttendanceSheet!$C$7:$C388,0)),"")</f>
        <v>Emp_0032</v>
      </c>
      <c r="C354" s="38" t="s">
        <v>109</v>
      </c>
      <c r="D354" s="49">
        <v>44503</v>
      </c>
      <c r="E354" s="40" t="s">
        <v>89</v>
      </c>
    </row>
    <row r="355" spans="1:5" ht="16.5" thickTop="1" thickBot="1" x14ac:dyDescent="0.3">
      <c r="A355" s="47" t="str">
        <f t="shared" si="11"/>
        <v>Emp_003244504</v>
      </c>
      <c r="B355" s="48" t="str">
        <f>IFERROR(INDEX(AttendanceSheet!$B$7:$B363,MATCH('Mark Leave'!C355,AttendanceSheet!$C$7:$C389,0)),"")</f>
        <v>Emp_0032</v>
      </c>
      <c r="C355" s="38" t="s">
        <v>109</v>
      </c>
      <c r="D355" s="49">
        <v>44504</v>
      </c>
      <c r="E355" s="40" t="s">
        <v>89</v>
      </c>
    </row>
    <row r="356" spans="1:5" ht="16.5" thickTop="1" thickBot="1" x14ac:dyDescent="0.3">
      <c r="A356" s="47" t="str">
        <f t="shared" si="11"/>
        <v>Emp_003244505</v>
      </c>
      <c r="B356" s="48" t="str">
        <f>IFERROR(INDEX(AttendanceSheet!$B$7:$B364,MATCH('Mark Leave'!C356,AttendanceSheet!$C$7:$C390,0)),"")</f>
        <v>Emp_0032</v>
      </c>
      <c r="C356" s="38" t="s">
        <v>109</v>
      </c>
      <c r="D356" s="49">
        <v>44505</v>
      </c>
      <c r="E356" s="40" t="s">
        <v>89</v>
      </c>
    </row>
    <row r="357" spans="1:5" ht="16.5" thickTop="1" thickBot="1" x14ac:dyDescent="0.3">
      <c r="A357" s="47" t="str">
        <f t="shared" si="11"/>
        <v>Emp_003244506</v>
      </c>
      <c r="B357" s="48" t="str">
        <f>IFERROR(INDEX(AttendanceSheet!$B$7:$B365,MATCH('Mark Leave'!C357,AttendanceSheet!$C$7:$C391,0)),"")</f>
        <v>Emp_0032</v>
      </c>
      <c r="C357" s="38" t="s">
        <v>109</v>
      </c>
      <c r="D357" s="49">
        <v>44506</v>
      </c>
      <c r="E357" s="40"/>
    </row>
    <row r="358" spans="1:5" ht="16.5" thickTop="1" thickBot="1" x14ac:dyDescent="0.3">
      <c r="A358" s="47" t="str">
        <f t="shared" si="11"/>
        <v>Emp_003244507</v>
      </c>
      <c r="B358" s="48" t="str">
        <f>IFERROR(INDEX(AttendanceSheet!$B$7:$B366,MATCH('Mark Leave'!C358,AttendanceSheet!$C$7:$C392,0)),"")</f>
        <v>Emp_0032</v>
      </c>
      <c r="C358" s="38" t="s">
        <v>109</v>
      </c>
      <c r="D358" s="49">
        <v>44507</v>
      </c>
      <c r="E358" s="40"/>
    </row>
    <row r="359" spans="1:5" ht="16.5" thickTop="1" thickBot="1" x14ac:dyDescent="0.3">
      <c r="A359" s="47" t="str">
        <f t="shared" si="11"/>
        <v>Emp_003244508</v>
      </c>
      <c r="B359" s="48" t="str">
        <f>IFERROR(INDEX(AttendanceSheet!$B$7:$B367,MATCH('Mark Leave'!C359,AttendanceSheet!$C$7:$C393,0)),"")</f>
        <v>Emp_0032</v>
      </c>
      <c r="C359" s="38" t="s">
        <v>109</v>
      </c>
      <c r="D359" s="49">
        <v>44508</v>
      </c>
      <c r="E359" s="40"/>
    </row>
    <row r="360" spans="1:5" ht="16.5" thickTop="1" thickBot="1" x14ac:dyDescent="0.3">
      <c r="A360" s="47" t="str">
        <f t="shared" si="11"/>
        <v>Emp_003144501</v>
      </c>
      <c r="B360" s="48" t="str">
        <f>IFERROR(INDEX(AttendanceSheet!$B$7:$B368,MATCH('Mark Leave'!C360,AttendanceSheet!$C$7:$C394,0)),"")</f>
        <v>Emp_0031</v>
      </c>
      <c r="C360" s="38" t="s">
        <v>108</v>
      </c>
      <c r="D360" s="49">
        <v>44501</v>
      </c>
      <c r="E360" s="40" t="s">
        <v>89</v>
      </c>
    </row>
    <row r="361" spans="1:5" ht="16.5" thickTop="1" thickBot="1" x14ac:dyDescent="0.3">
      <c r="A361" s="47" t="str">
        <f t="shared" si="11"/>
        <v>Emp_003144502</v>
      </c>
      <c r="B361" s="48" t="str">
        <f>IFERROR(INDEX(AttendanceSheet!$B$7:$B369,MATCH('Mark Leave'!C361,AttendanceSheet!$C$7:$C395,0)),"")</f>
        <v>Emp_0031</v>
      </c>
      <c r="C361" s="38" t="s">
        <v>108</v>
      </c>
      <c r="D361" s="49">
        <v>44502</v>
      </c>
      <c r="E361" s="40" t="s">
        <v>89</v>
      </c>
    </row>
    <row r="362" spans="1:5" ht="16.5" thickTop="1" thickBot="1" x14ac:dyDescent="0.3">
      <c r="A362" s="47" t="str">
        <f t="shared" si="11"/>
        <v>Emp_003144503</v>
      </c>
      <c r="B362" s="48" t="str">
        <f>IFERROR(INDEX(AttendanceSheet!$B$7:$B370,MATCH('Mark Leave'!C362,AttendanceSheet!$C$7:$C396,0)),"")</f>
        <v>Emp_0031</v>
      </c>
      <c r="C362" s="38" t="s">
        <v>108</v>
      </c>
      <c r="D362" s="49">
        <v>44503</v>
      </c>
      <c r="E362" s="40" t="s">
        <v>89</v>
      </c>
    </row>
    <row r="363" spans="1:5" ht="16.5" thickTop="1" thickBot="1" x14ac:dyDescent="0.3">
      <c r="A363" s="47" t="str">
        <f t="shared" si="11"/>
        <v>Emp_003144504</v>
      </c>
      <c r="B363" s="48" t="str">
        <f>IFERROR(INDEX(AttendanceSheet!$B$7:$B371,MATCH('Mark Leave'!C363,AttendanceSheet!$C$7:$C397,0)),"")</f>
        <v>Emp_0031</v>
      </c>
      <c r="C363" s="38" t="s">
        <v>108</v>
      </c>
      <c r="D363" s="49">
        <v>44504</v>
      </c>
      <c r="E363" s="40" t="s">
        <v>89</v>
      </c>
    </row>
    <row r="364" spans="1:5" ht="16.5" thickTop="1" thickBot="1" x14ac:dyDescent="0.3">
      <c r="A364" s="47" t="str">
        <f t="shared" si="11"/>
        <v>Emp_003144505</v>
      </c>
      <c r="B364" s="48" t="str">
        <f>IFERROR(INDEX(AttendanceSheet!$B$7:$B372,MATCH('Mark Leave'!C364,AttendanceSheet!$C$7:$C398,0)),"")</f>
        <v>Emp_0031</v>
      </c>
      <c r="C364" s="38" t="s">
        <v>108</v>
      </c>
      <c r="D364" s="49">
        <v>44505</v>
      </c>
      <c r="E364" s="40" t="s">
        <v>89</v>
      </c>
    </row>
    <row r="365" spans="1:5" ht="16.5" thickTop="1" thickBot="1" x14ac:dyDescent="0.3">
      <c r="A365" s="47" t="str">
        <f t="shared" si="11"/>
        <v>Emp_003144506</v>
      </c>
      <c r="B365" s="48" t="str">
        <f>IFERROR(INDEX(AttendanceSheet!$B$7:$B373,MATCH('Mark Leave'!C365,AttendanceSheet!$C$7:$C399,0)),"")</f>
        <v>Emp_0031</v>
      </c>
      <c r="C365" s="38" t="s">
        <v>108</v>
      </c>
      <c r="D365" s="49">
        <v>44506</v>
      </c>
      <c r="E365" s="40" t="s">
        <v>89</v>
      </c>
    </row>
    <row r="366" spans="1:5" ht="16.5" thickTop="1" thickBot="1" x14ac:dyDescent="0.3">
      <c r="A366" s="47" t="str">
        <f t="shared" si="11"/>
        <v>Emp_002544501</v>
      </c>
      <c r="B366" s="48" t="str">
        <f>IFERROR(INDEX(AttendanceSheet!$B$7:$B374,MATCH('Mark Leave'!C366,AttendanceSheet!$C$7:$C400,0)),"")</f>
        <v>Emp_0025</v>
      </c>
      <c r="C366" s="38" t="s">
        <v>103</v>
      </c>
      <c r="D366" s="49">
        <v>44501</v>
      </c>
      <c r="E366" s="40" t="s">
        <v>89</v>
      </c>
    </row>
    <row r="367" spans="1:5" ht="16.5" thickTop="1" thickBot="1" x14ac:dyDescent="0.3">
      <c r="A367" s="47" t="str">
        <f t="shared" si="11"/>
        <v>Emp_002544502</v>
      </c>
      <c r="B367" s="48" t="str">
        <f>IFERROR(INDEX(AttendanceSheet!$B$7:$B375,MATCH('Mark Leave'!C367,AttendanceSheet!$C$7:$C401,0)),"")</f>
        <v>Emp_0025</v>
      </c>
      <c r="C367" s="38" t="s">
        <v>103</v>
      </c>
      <c r="D367" s="49">
        <v>44502</v>
      </c>
      <c r="E367" s="40" t="s">
        <v>89</v>
      </c>
    </row>
    <row r="368" spans="1:5" ht="16.5" thickTop="1" thickBot="1" x14ac:dyDescent="0.3">
      <c r="A368" s="47" t="str">
        <f t="shared" si="11"/>
        <v>Emp_002544503</v>
      </c>
      <c r="B368" s="48" t="str">
        <f>IFERROR(INDEX(AttendanceSheet!$B$7:$B376,MATCH('Mark Leave'!C368,AttendanceSheet!$C$7:$C402,0)),"")</f>
        <v>Emp_0025</v>
      </c>
      <c r="C368" s="38" t="s">
        <v>103</v>
      </c>
      <c r="D368" s="49">
        <v>44503</v>
      </c>
      <c r="E368" s="40" t="s">
        <v>89</v>
      </c>
    </row>
    <row r="369" spans="1:5" ht="16.5" thickTop="1" thickBot="1" x14ac:dyDescent="0.3">
      <c r="A369" s="47" t="str">
        <f t="shared" si="11"/>
        <v>Emp_002544504</v>
      </c>
      <c r="B369" s="48" t="str">
        <f>IFERROR(INDEX(AttendanceSheet!$B$7:$B377,MATCH('Mark Leave'!C369,AttendanceSheet!$C$7:$C403,0)),"")</f>
        <v>Emp_0025</v>
      </c>
      <c r="C369" s="38" t="s">
        <v>103</v>
      </c>
      <c r="D369" s="49">
        <v>44504</v>
      </c>
      <c r="E369" s="40" t="s">
        <v>89</v>
      </c>
    </row>
    <row r="370" spans="1:5" ht="16.5" thickTop="1" thickBot="1" x14ac:dyDescent="0.3">
      <c r="A370" s="47" t="str">
        <f t="shared" si="11"/>
        <v>Emp_002544505</v>
      </c>
      <c r="B370" s="48" t="str">
        <f>IFERROR(INDEX(AttendanceSheet!$B$7:$B378,MATCH('Mark Leave'!C370,AttendanceSheet!$C$7:$C404,0)),"")</f>
        <v>Emp_0025</v>
      </c>
      <c r="C370" s="38" t="s">
        <v>103</v>
      </c>
      <c r="D370" s="49">
        <v>44505</v>
      </c>
      <c r="E370" s="40" t="s">
        <v>89</v>
      </c>
    </row>
    <row r="371" spans="1:5" ht="16.5" thickTop="1" thickBot="1" x14ac:dyDescent="0.3">
      <c r="A371" s="47" t="str">
        <f t="shared" si="11"/>
        <v>Emp_002544506</v>
      </c>
      <c r="B371" s="48" t="str">
        <f>IFERROR(INDEX(AttendanceSheet!$B$7:$B379,MATCH('Mark Leave'!C371,AttendanceSheet!$C$7:$C405,0)),"")</f>
        <v>Emp_0025</v>
      </c>
      <c r="C371" s="38" t="s">
        <v>103</v>
      </c>
      <c r="D371" s="49">
        <v>44506</v>
      </c>
      <c r="E371" s="40" t="s">
        <v>89</v>
      </c>
    </row>
    <row r="372" spans="1:5" ht="16.5" thickTop="1" thickBot="1" x14ac:dyDescent="0.3">
      <c r="A372" s="47" t="str">
        <f t="shared" si="11"/>
        <v>Emp_002544507</v>
      </c>
      <c r="B372" s="48" t="str">
        <f>IFERROR(INDEX(AttendanceSheet!$B$7:$B380,MATCH('Mark Leave'!C372,AttendanceSheet!$C$7:$C406,0)),"")</f>
        <v>Emp_0025</v>
      </c>
      <c r="C372" s="38" t="s">
        <v>103</v>
      </c>
      <c r="D372" s="49">
        <v>44507</v>
      </c>
      <c r="E372" s="40" t="s">
        <v>89</v>
      </c>
    </row>
    <row r="373" spans="1:5" ht="16.5" thickTop="1" thickBot="1" x14ac:dyDescent="0.3">
      <c r="A373" s="47" t="str">
        <f t="shared" si="11"/>
        <v>Emp_002544508</v>
      </c>
      <c r="B373" s="48" t="str">
        <f>IFERROR(INDEX(AttendanceSheet!$B$7:$B381,MATCH('Mark Leave'!C373,AttendanceSheet!$C$7:$C407,0)),"")</f>
        <v>Emp_0025</v>
      </c>
      <c r="C373" s="38" t="s">
        <v>103</v>
      </c>
      <c r="D373" s="49">
        <v>44508</v>
      </c>
      <c r="E373" s="40" t="s">
        <v>89</v>
      </c>
    </row>
    <row r="374" spans="1:5" ht="16.5" thickTop="1" thickBot="1" x14ac:dyDescent="0.3">
      <c r="A374" s="47" t="str">
        <f t="shared" si="11"/>
        <v>Emp_002544509</v>
      </c>
      <c r="B374" s="48" t="str">
        <f>IFERROR(INDEX(AttendanceSheet!$B$7:$B382,MATCH('Mark Leave'!C374,AttendanceSheet!$C$7:$C408,0)),"")</f>
        <v>Emp_0025</v>
      </c>
      <c r="C374" s="38" t="s">
        <v>103</v>
      </c>
      <c r="D374" s="49">
        <v>44509</v>
      </c>
      <c r="E374" s="40" t="s">
        <v>89</v>
      </c>
    </row>
    <row r="375" spans="1:5" ht="16.5" thickTop="1" thickBot="1" x14ac:dyDescent="0.3">
      <c r="A375" s="47" t="str">
        <f t="shared" si="11"/>
        <v>Emp_002944501</v>
      </c>
      <c r="B375" s="48" t="str">
        <f>IFERROR(INDEX(AttendanceSheet!$B$7:$B383,MATCH('Mark Leave'!C375,AttendanceSheet!$C$7:$C409,0)),"")</f>
        <v>Emp_0029</v>
      </c>
      <c r="C375" s="38" t="s">
        <v>107</v>
      </c>
      <c r="D375" s="49">
        <v>44501</v>
      </c>
      <c r="E375" s="40" t="s">
        <v>89</v>
      </c>
    </row>
    <row r="376" spans="1:5" ht="16.5" thickTop="1" thickBot="1" x14ac:dyDescent="0.3">
      <c r="A376" s="47" t="str">
        <f t="shared" si="11"/>
        <v>Emp_002944502</v>
      </c>
      <c r="B376" s="48" t="str">
        <f>IFERROR(INDEX(AttendanceSheet!$B$7:$B384,MATCH('Mark Leave'!C376,AttendanceSheet!$C$7:$C410,0)),"")</f>
        <v>Emp_0029</v>
      </c>
      <c r="C376" s="38" t="s">
        <v>107</v>
      </c>
      <c r="D376" s="49">
        <v>44502</v>
      </c>
      <c r="E376" s="40" t="s">
        <v>89</v>
      </c>
    </row>
    <row r="377" spans="1:5" ht="16.5" thickTop="1" thickBot="1" x14ac:dyDescent="0.3">
      <c r="A377" s="47" t="str">
        <f t="shared" si="11"/>
        <v>Emp_002944503</v>
      </c>
      <c r="B377" s="48" t="str">
        <f>IFERROR(INDEX(AttendanceSheet!$B$7:$B385,MATCH('Mark Leave'!C377,AttendanceSheet!$C$7:$C411,0)),"")</f>
        <v>Emp_0029</v>
      </c>
      <c r="C377" s="38" t="s">
        <v>107</v>
      </c>
      <c r="D377" s="49">
        <v>44503</v>
      </c>
      <c r="E377" s="40" t="s">
        <v>89</v>
      </c>
    </row>
    <row r="378" spans="1:5" ht="16.5" thickTop="1" thickBot="1" x14ac:dyDescent="0.3">
      <c r="A378" s="47" t="str">
        <f t="shared" si="11"/>
        <v>Emp_002944504</v>
      </c>
      <c r="B378" s="48" t="str">
        <f>IFERROR(INDEX(AttendanceSheet!$B$7:$B386,MATCH('Mark Leave'!C378,AttendanceSheet!$C$7:$C412,0)),"")</f>
        <v>Emp_0029</v>
      </c>
      <c r="C378" s="38" t="s">
        <v>107</v>
      </c>
      <c r="D378" s="49">
        <v>44504</v>
      </c>
      <c r="E378" s="40" t="s">
        <v>89</v>
      </c>
    </row>
    <row r="379" spans="1:5" ht="16.5" thickTop="1" thickBot="1" x14ac:dyDescent="0.3">
      <c r="A379" s="47" t="str">
        <f t="shared" si="11"/>
        <v>Emp_002944505</v>
      </c>
      <c r="B379" s="48" t="str">
        <f>IFERROR(INDEX(AttendanceSheet!$B$7:$B387,MATCH('Mark Leave'!C379,AttendanceSheet!$C$7:$C413,0)),"")</f>
        <v>Emp_0029</v>
      </c>
      <c r="C379" s="38" t="s">
        <v>107</v>
      </c>
      <c r="D379" s="49">
        <v>44505</v>
      </c>
      <c r="E379" s="40" t="s">
        <v>89</v>
      </c>
    </row>
    <row r="380" spans="1:5" ht="16.5" thickTop="1" thickBot="1" x14ac:dyDescent="0.3">
      <c r="A380" s="47" t="str">
        <f t="shared" si="11"/>
        <v>Emp_002944506</v>
      </c>
      <c r="B380" s="48" t="str">
        <f>IFERROR(INDEX(AttendanceSheet!$B$7:$B388,MATCH('Mark Leave'!C380,AttendanceSheet!$C$7:$C414,0)),"")</f>
        <v>Emp_0029</v>
      </c>
      <c r="C380" s="38" t="s">
        <v>107</v>
      </c>
      <c r="D380" s="49">
        <v>44506</v>
      </c>
      <c r="E380" s="40" t="s">
        <v>89</v>
      </c>
    </row>
    <row r="381" spans="1:5" ht="16.5" thickTop="1" thickBot="1" x14ac:dyDescent="0.3">
      <c r="A381" s="47" t="str">
        <f t="shared" si="11"/>
        <v>Emp_002944507</v>
      </c>
      <c r="B381" s="48" t="str">
        <f>IFERROR(INDEX(AttendanceSheet!$B$7:$B389,MATCH('Mark Leave'!C381,AttendanceSheet!$C$7:$C415,0)),"")</f>
        <v>Emp_0029</v>
      </c>
      <c r="C381" s="38" t="s">
        <v>107</v>
      </c>
      <c r="D381" s="49">
        <v>44507</v>
      </c>
      <c r="E381" s="40" t="s">
        <v>39</v>
      </c>
    </row>
    <row r="382" spans="1:5" ht="16.5" thickTop="1" thickBot="1" x14ac:dyDescent="0.3">
      <c r="A382" s="47" t="str">
        <f t="shared" si="11"/>
        <v>Emp_003644501</v>
      </c>
      <c r="B382" s="48" t="str">
        <f>IFERROR(INDEX(AttendanceSheet!$B$7:$B390,MATCH('Mark Leave'!C382,AttendanceSheet!$C$7:$C416,0)),"")</f>
        <v>Emp_0036</v>
      </c>
      <c r="C382" s="38" t="s">
        <v>113</v>
      </c>
      <c r="D382" s="49">
        <v>44501</v>
      </c>
      <c r="E382" s="40" t="s">
        <v>89</v>
      </c>
    </row>
    <row r="383" spans="1:5" ht="16.5" thickTop="1" thickBot="1" x14ac:dyDescent="0.3">
      <c r="A383" s="47" t="str">
        <f t="shared" si="11"/>
        <v>Emp_003644502</v>
      </c>
      <c r="B383" s="48" t="str">
        <f>IFERROR(INDEX(AttendanceSheet!$B$7:$B391,MATCH('Mark Leave'!C383,AttendanceSheet!$C$7:$C417,0)),"")</f>
        <v>Emp_0036</v>
      </c>
      <c r="C383" s="38" t="s">
        <v>113</v>
      </c>
      <c r="D383" s="49">
        <v>44502</v>
      </c>
      <c r="E383" s="40" t="s">
        <v>89</v>
      </c>
    </row>
    <row r="384" spans="1:5" ht="16.5" thickTop="1" thickBot="1" x14ac:dyDescent="0.3">
      <c r="A384" s="47" t="str">
        <f t="shared" si="11"/>
        <v>Emp_003644503</v>
      </c>
      <c r="B384" s="48" t="str">
        <f>IFERROR(INDEX(AttendanceSheet!$B$7:$B392,MATCH('Mark Leave'!C384,AttendanceSheet!$C$7:$C418,0)),"")</f>
        <v>Emp_0036</v>
      </c>
      <c r="C384" s="38" t="s">
        <v>113</v>
      </c>
      <c r="D384" s="49">
        <v>44503</v>
      </c>
      <c r="E384" s="40" t="s">
        <v>89</v>
      </c>
    </row>
    <row r="385" spans="1:5" ht="16.5" thickTop="1" thickBot="1" x14ac:dyDescent="0.3">
      <c r="A385" s="47" t="str">
        <f t="shared" si="11"/>
        <v>Emp_003644504</v>
      </c>
      <c r="B385" s="48" t="str">
        <f>IFERROR(INDEX(AttendanceSheet!$B$7:$B393,MATCH('Mark Leave'!C385,AttendanceSheet!$C$7:$C419,0)),"")</f>
        <v>Emp_0036</v>
      </c>
      <c r="C385" s="38" t="s">
        <v>113</v>
      </c>
      <c r="D385" s="49">
        <v>44504</v>
      </c>
      <c r="E385" s="40" t="s">
        <v>89</v>
      </c>
    </row>
    <row r="386" spans="1:5" ht="16.5" thickTop="1" thickBot="1" x14ac:dyDescent="0.3">
      <c r="A386" s="47" t="str">
        <f t="shared" si="11"/>
        <v>Emp_003644505</v>
      </c>
      <c r="B386" s="48" t="str">
        <f>IFERROR(INDEX(AttendanceSheet!$B$7:$B394,MATCH('Mark Leave'!C386,AttendanceSheet!$C$7:$C420,0)),"")</f>
        <v>Emp_0036</v>
      </c>
      <c r="C386" s="38" t="s">
        <v>113</v>
      </c>
      <c r="D386" s="49">
        <v>44505</v>
      </c>
      <c r="E386" s="40" t="s">
        <v>89</v>
      </c>
    </row>
    <row r="387" spans="1:5" ht="16.5" thickTop="1" thickBot="1" x14ac:dyDescent="0.3">
      <c r="A387" s="47" t="str">
        <f t="shared" si="11"/>
        <v>Emp_003644506</v>
      </c>
      <c r="B387" s="48" t="str">
        <f>IFERROR(INDEX(AttendanceSheet!$B$7:$B395,MATCH('Mark Leave'!C387,AttendanceSheet!$C$7:$C421,0)),"")</f>
        <v>Emp_0036</v>
      </c>
      <c r="C387" s="38" t="s">
        <v>113</v>
      </c>
      <c r="D387" s="49">
        <v>44506</v>
      </c>
      <c r="E387" s="40" t="s">
        <v>89</v>
      </c>
    </row>
    <row r="388" spans="1:5" ht="16.5" thickTop="1" thickBot="1" x14ac:dyDescent="0.3">
      <c r="A388" s="47" t="str">
        <f t="shared" si="11"/>
        <v>Emp_003644507</v>
      </c>
      <c r="B388" s="48" t="str">
        <f>IFERROR(INDEX(AttendanceSheet!$B$7:$B396,MATCH('Mark Leave'!C388,AttendanceSheet!$C$7:$C422,0)),"")</f>
        <v>Emp_0036</v>
      </c>
      <c r="C388" s="38" t="s">
        <v>113</v>
      </c>
      <c r="D388" s="49">
        <v>44507</v>
      </c>
      <c r="E388" s="40" t="s">
        <v>89</v>
      </c>
    </row>
    <row r="389" spans="1:5" ht="16.5" thickTop="1" thickBot="1" x14ac:dyDescent="0.3">
      <c r="A389" s="47" t="str">
        <f t="shared" si="11"/>
        <v>Emp_003644508</v>
      </c>
      <c r="B389" s="48" t="str">
        <f>IFERROR(INDEX(AttendanceSheet!$B$7:$B397,MATCH('Mark Leave'!C389,AttendanceSheet!$C$7:$C423,0)),"")</f>
        <v>Emp_0036</v>
      </c>
      <c r="C389" s="38" t="s">
        <v>113</v>
      </c>
      <c r="D389" s="49">
        <v>44508</v>
      </c>
      <c r="E389" s="40" t="s">
        <v>89</v>
      </c>
    </row>
    <row r="390" spans="1:5" ht="16.5" thickTop="1" thickBot="1" x14ac:dyDescent="0.3">
      <c r="A390" s="47" t="str">
        <f t="shared" si="11"/>
        <v>Emp_003644509</v>
      </c>
      <c r="B390" s="48" t="str">
        <f>IFERROR(INDEX(AttendanceSheet!$B$7:$B398,MATCH('Mark Leave'!C390,AttendanceSheet!$C$7:$C424,0)),"")</f>
        <v>Emp_0036</v>
      </c>
      <c r="C390" s="38" t="s">
        <v>113</v>
      </c>
      <c r="D390" s="49">
        <v>44509</v>
      </c>
      <c r="E390" s="40" t="s">
        <v>89</v>
      </c>
    </row>
    <row r="391" spans="1:5" ht="16.5" thickTop="1" thickBot="1" x14ac:dyDescent="0.3">
      <c r="A391" s="47" t="str">
        <f t="shared" si="11"/>
        <v>Emp_003644510</v>
      </c>
      <c r="B391" s="48" t="str">
        <f>IFERROR(INDEX(AttendanceSheet!$B$7:$B399,MATCH('Mark Leave'!C391,AttendanceSheet!$C$7:$C425,0)),"")</f>
        <v>Emp_0036</v>
      </c>
      <c r="C391" s="38" t="s">
        <v>113</v>
      </c>
      <c r="D391" s="49">
        <v>44510</v>
      </c>
      <c r="E391" s="40" t="s">
        <v>89</v>
      </c>
    </row>
    <row r="392" spans="1:5" ht="16.5" thickTop="1" thickBot="1" x14ac:dyDescent="0.3">
      <c r="A392" s="47" t="str">
        <f t="shared" si="11"/>
        <v>Emp_003644511</v>
      </c>
      <c r="B392" s="48" t="str">
        <f>IFERROR(INDEX(AttendanceSheet!$B$7:$B400,MATCH('Mark Leave'!C392,AttendanceSheet!$C$7:$C426,0)),"")</f>
        <v>Emp_0036</v>
      </c>
      <c r="C392" s="38" t="s">
        <v>113</v>
      </c>
      <c r="D392" s="49">
        <v>44511</v>
      </c>
      <c r="E392" s="40" t="s">
        <v>89</v>
      </c>
    </row>
    <row r="393" spans="1:5" ht="16.5" thickTop="1" thickBot="1" x14ac:dyDescent="0.3">
      <c r="A393" s="47" t="str">
        <f t="shared" si="11"/>
        <v>Emp_003644512</v>
      </c>
      <c r="B393" s="48" t="str">
        <f>IFERROR(INDEX(AttendanceSheet!$B$7:$B401,MATCH('Mark Leave'!C393,AttendanceSheet!$C$7:$C427,0)),"")</f>
        <v>Emp_0036</v>
      </c>
      <c r="C393" s="38" t="s">
        <v>113</v>
      </c>
      <c r="D393" s="49">
        <v>44512</v>
      </c>
      <c r="E393" s="40" t="s">
        <v>89</v>
      </c>
    </row>
    <row r="394" spans="1:5" ht="16.5" thickTop="1" thickBot="1" x14ac:dyDescent="0.3">
      <c r="A394" s="47" t="str">
        <f t="shared" si="11"/>
        <v>Emp_003644513</v>
      </c>
      <c r="B394" s="48" t="str">
        <f>IFERROR(INDEX(AttendanceSheet!$B$7:$B402,MATCH('Mark Leave'!C394,AttendanceSheet!$C$7:$C428,0)),"")</f>
        <v>Emp_0036</v>
      </c>
      <c r="C394" s="38" t="s">
        <v>113</v>
      </c>
      <c r="D394" s="49">
        <v>44513</v>
      </c>
      <c r="E394" s="40" t="s">
        <v>89</v>
      </c>
    </row>
    <row r="395" spans="1:5" ht="16.5" thickTop="1" thickBot="1" x14ac:dyDescent="0.3">
      <c r="A395" s="47" t="str">
        <f t="shared" si="11"/>
        <v>Emp_0036</v>
      </c>
      <c r="B395" s="48" t="str">
        <f>IFERROR(INDEX(AttendanceSheet!$B$7:$B403,MATCH('Mark Leave'!C395,AttendanceSheet!$C$7:$C429,0)),"")</f>
        <v>Emp_0036</v>
      </c>
      <c r="C395" s="38" t="s">
        <v>113</v>
      </c>
      <c r="D395" s="49"/>
      <c r="E395" s="40"/>
    </row>
    <row r="396" spans="1:5" ht="16.5" thickTop="1" thickBot="1" x14ac:dyDescent="0.3">
      <c r="A396" s="47" t="str">
        <f t="shared" si="11"/>
        <v>Emp_002644501</v>
      </c>
      <c r="B396" s="48" t="str">
        <f>IFERROR(INDEX(AttendanceSheet!$B$7:$B404,MATCH('Mark Leave'!C396,AttendanceSheet!$C$7:$C430,0)),"")</f>
        <v>Emp_0026</v>
      </c>
      <c r="C396" s="38" t="s">
        <v>104</v>
      </c>
      <c r="D396" s="49">
        <v>44501</v>
      </c>
      <c r="E396" s="40" t="s">
        <v>89</v>
      </c>
    </row>
    <row r="397" spans="1:5" ht="16.5" thickTop="1" thickBot="1" x14ac:dyDescent="0.3">
      <c r="A397" s="47" t="str">
        <f t="shared" si="11"/>
        <v>Emp_002644502</v>
      </c>
      <c r="B397" s="48" t="str">
        <f>IFERROR(INDEX(AttendanceSheet!$B$7:$B405,MATCH('Mark Leave'!C397,AttendanceSheet!$C$7:$C431,0)),"")</f>
        <v>Emp_0026</v>
      </c>
      <c r="C397" s="38" t="s">
        <v>104</v>
      </c>
      <c r="D397" s="49">
        <v>44502</v>
      </c>
      <c r="E397" s="40" t="s">
        <v>89</v>
      </c>
    </row>
    <row r="398" spans="1:5" ht="16.5" thickTop="1" thickBot="1" x14ac:dyDescent="0.3">
      <c r="A398" s="47" t="str">
        <f t="shared" si="11"/>
        <v>Emp_002644503</v>
      </c>
      <c r="B398" s="48" t="str">
        <f>IFERROR(INDEX(AttendanceSheet!$B$7:$B406,MATCH('Mark Leave'!C398,AttendanceSheet!$C$7:$C432,0)),"")</f>
        <v>Emp_0026</v>
      </c>
      <c r="C398" s="38" t="s">
        <v>104</v>
      </c>
      <c r="D398" s="49">
        <v>44503</v>
      </c>
      <c r="E398" s="40" t="s">
        <v>89</v>
      </c>
    </row>
    <row r="399" spans="1:5" ht="16.5" thickTop="1" thickBot="1" x14ac:dyDescent="0.3">
      <c r="A399" s="47" t="str">
        <f t="shared" si="11"/>
        <v>Emp_002644504</v>
      </c>
      <c r="B399" s="48" t="str">
        <f>IFERROR(INDEX(AttendanceSheet!$B$7:$B407,MATCH('Mark Leave'!C399,AttendanceSheet!$C$7:$C433,0)),"")</f>
        <v>Emp_0026</v>
      </c>
      <c r="C399" s="38" t="s">
        <v>104</v>
      </c>
      <c r="D399" s="49">
        <v>44504</v>
      </c>
      <c r="E399" s="40" t="s">
        <v>89</v>
      </c>
    </row>
    <row r="400" spans="1:5" ht="16.5" thickTop="1" thickBot="1" x14ac:dyDescent="0.3">
      <c r="A400" s="47" t="str">
        <f t="shared" si="11"/>
        <v>Emp_002644505</v>
      </c>
      <c r="B400" s="48" t="str">
        <f>IFERROR(INDEX(AttendanceSheet!$B$7:$B408,MATCH('Mark Leave'!C400,AttendanceSheet!$C$7:$C434,0)),"")</f>
        <v>Emp_0026</v>
      </c>
      <c r="C400" s="38" t="s">
        <v>104</v>
      </c>
      <c r="D400" s="49">
        <v>44505</v>
      </c>
      <c r="E400" s="40" t="s">
        <v>89</v>
      </c>
    </row>
    <row r="401" spans="1:5" ht="16.5" thickTop="1" thickBot="1" x14ac:dyDescent="0.3">
      <c r="A401" s="47" t="str">
        <f t="shared" si="11"/>
        <v>Emp_002644506</v>
      </c>
      <c r="B401" s="48" t="str">
        <f>IFERROR(INDEX(AttendanceSheet!$B$7:$B409,MATCH('Mark Leave'!C401,AttendanceSheet!$C$7:$C435,0)),"")</f>
        <v>Emp_0026</v>
      </c>
      <c r="C401" s="38" t="s">
        <v>104</v>
      </c>
      <c r="D401" s="49">
        <v>44506</v>
      </c>
      <c r="E401" s="40" t="s">
        <v>89</v>
      </c>
    </row>
    <row r="402" spans="1:5" ht="16.5" thickTop="1" thickBot="1" x14ac:dyDescent="0.3">
      <c r="A402" s="47" t="str">
        <f t="shared" si="11"/>
        <v>Emp_002644507</v>
      </c>
      <c r="B402" s="48" t="str">
        <f>IFERROR(INDEX(AttendanceSheet!$B$7:$B410,MATCH('Mark Leave'!C402,AttendanceSheet!$C$7:$C436,0)),"")</f>
        <v>Emp_0026</v>
      </c>
      <c r="C402" s="38" t="s">
        <v>104</v>
      </c>
      <c r="D402" s="49">
        <v>44507</v>
      </c>
      <c r="E402" s="40" t="s">
        <v>89</v>
      </c>
    </row>
    <row r="403" spans="1:5" ht="16.5" thickTop="1" thickBot="1" x14ac:dyDescent="0.3">
      <c r="A403" s="47" t="str">
        <f t="shared" si="11"/>
        <v>Emp_002644508</v>
      </c>
      <c r="B403" s="48" t="str">
        <f>IFERROR(INDEX(AttendanceSheet!$B$7:$B411,MATCH('Mark Leave'!C403,AttendanceSheet!$C$7:$C437,0)),"")</f>
        <v>Emp_0026</v>
      </c>
      <c r="C403" s="38" t="s">
        <v>104</v>
      </c>
      <c r="D403" s="49">
        <v>44508</v>
      </c>
      <c r="E403" s="40" t="s">
        <v>89</v>
      </c>
    </row>
    <row r="404" spans="1:5" ht="16.5" thickTop="1" thickBot="1" x14ac:dyDescent="0.3">
      <c r="A404" s="47" t="str">
        <f t="shared" si="11"/>
        <v>Emp_002744501</v>
      </c>
      <c r="B404" s="48" t="str">
        <f>IFERROR(INDEX(AttendanceSheet!$B$7:$B412,MATCH('Mark Leave'!C404,AttendanceSheet!$C$7:$C438,0)),"")</f>
        <v>Emp_0027</v>
      </c>
      <c r="C404" s="38" t="s">
        <v>105</v>
      </c>
      <c r="D404" s="49">
        <v>44501</v>
      </c>
      <c r="E404" s="40" t="s">
        <v>89</v>
      </c>
    </row>
    <row r="405" spans="1:5" ht="16.5" thickTop="1" thickBot="1" x14ac:dyDescent="0.3">
      <c r="A405" s="47" t="str">
        <f t="shared" si="11"/>
        <v>Emp_002744502</v>
      </c>
      <c r="B405" s="48" t="str">
        <f>IFERROR(INDEX(AttendanceSheet!$B$7:$B413,MATCH('Mark Leave'!C405,AttendanceSheet!$C$7:$C439,0)),"")</f>
        <v>Emp_0027</v>
      </c>
      <c r="C405" s="38" t="s">
        <v>105</v>
      </c>
      <c r="D405" s="49">
        <v>44502</v>
      </c>
      <c r="E405" s="40" t="s">
        <v>89</v>
      </c>
    </row>
    <row r="406" spans="1:5" ht="16.5" thickTop="1" thickBot="1" x14ac:dyDescent="0.3">
      <c r="A406" s="47" t="str">
        <f t="shared" ref="A406:A469" si="12">B406&amp;D406</f>
        <v>Emp_002744503</v>
      </c>
      <c r="B406" s="48" t="str">
        <f>IFERROR(INDEX(AttendanceSheet!$B$7:$B414,MATCH('Mark Leave'!C406,AttendanceSheet!$C$7:$C440,0)),"")</f>
        <v>Emp_0027</v>
      </c>
      <c r="C406" s="38" t="s">
        <v>105</v>
      </c>
      <c r="D406" s="49">
        <v>44503</v>
      </c>
      <c r="E406" s="40" t="s">
        <v>89</v>
      </c>
    </row>
    <row r="407" spans="1:5" ht="16.5" thickTop="1" thickBot="1" x14ac:dyDescent="0.3">
      <c r="A407" s="47" t="str">
        <f t="shared" si="12"/>
        <v>Emp_002744504</v>
      </c>
      <c r="B407" s="48" t="str">
        <f>IFERROR(INDEX(AttendanceSheet!$B$7:$B415,MATCH('Mark Leave'!C407,AttendanceSheet!$C$7:$C441,0)),"")</f>
        <v>Emp_0027</v>
      </c>
      <c r="C407" s="38" t="s">
        <v>105</v>
      </c>
      <c r="D407" s="49">
        <v>44504</v>
      </c>
      <c r="E407" s="40" t="s">
        <v>89</v>
      </c>
    </row>
    <row r="408" spans="1:5" ht="16.5" thickTop="1" thickBot="1" x14ac:dyDescent="0.3">
      <c r="A408" s="47" t="str">
        <f t="shared" si="12"/>
        <v>Emp_002744505</v>
      </c>
      <c r="B408" s="48" t="str">
        <f>IFERROR(INDEX(AttendanceSheet!$B$7:$B416,MATCH('Mark Leave'!C408,AttendanceSheet!$C$7:$C442,0)),"")</f>
        <v>Emp_0027</v>
      </c>
      <c r="C408" s="38" t="s">
        <v>105</v>
      </c>
      <c r="D408" s="49">
        <v>44505</v>
      </c>
      <c r="E408" s="40" t="s">
        <v>89</v>
      </c>
    </row>
    <row r="409" spans="1:5" ht="16.5" thickTop="1" thickBot="1" x14ac:dyDescent="0.3">
      <c r="A409" s="47" t="str">
        <f t="shared" si="12"/>
        <v>Emp_002744506</v>
      </c>
      <c r="B409" s="48" t="str">
        <f>IFERROR(INDEX(AttendanceSheet!$B$7:$B417,MATCH('Mark Leave'!C409,AttendanceSheet!$C$7:$C443,0)),"")</f>
        <v>Emp_0027</v>
      </c>
      <c r="C409" s="38" t="s">
        <v>105</v>
      </c>
      <c r="D409" s="49">
        <v>44506</v>
      </c>
      <c r="E409" s="40" t="s">
        <v>89</v>
      </c>
    </row>
    <row r="410" spans="1:5" ht="16.5" thickTop="1" thickBot="1" x14ac:dyDescent="0.3">
      <c r="A410" s="47" t="str">
        <f t="shared" si="12"/>
        <v>Emp_002744507</v>
      </c>
      <c r="B410" s="48" t="str">
        <f>IFERROR(INDEX(AttendanceSheet!$B$7:$B418,MATCH('Mark Leave'!C410,AttendanceSheet!$C$7:$C444,0)),"")</f>
        <v>Emp_0027</v>
      </c>
      <c r="C410" s="38" t="s">
        <v>105</v>
      </c>
      <c r="D410" s="49">
        <v>44507</v>
      </c>
      <c r="E410" s="40" t="s">
        <v>89</v>
      </c>
    </row>
    <row r="411" spans="1:5" ht="16.5" thickTop="1" thickBot="1" x14ac:dyDescent="0.3">
      <c r="A411" s="47" t="str">
        <f t="shared" si="12"/>
        <v>Emp_002744508</v>
      </c>
      <c r="B411" s="48" t="str">
        <f>IFERROR(INDEX(AttendanceSheet!$B$7:$B419,MATCH('Mark Leave'!C411,AttendanceSheet!$C$7:$C445,0)),"")</f>
        <v>Emp_0027</v>
      </c>
      <c r="C411" s="38" t="s">
        <v>105</v>
      </c>
      <c r="D411" s="49">
        <v>44508</v>
      </c>
      <c r="E411" s="40" t="s">
        <v>89</v>
      </c>
    </row>
    <row r="412" spans="1:5" ht="16.5" thickTop="1" thickBot="1" x14ac:dyDescent="0.3">
      <c r="A412" s="47" t="str">
        <f t="shared" si="12"/>
        <v>Emp_002244501</v>
      </c>
      <c r="B412" s="48" t="str">
        <f>IFERROR(INDEX(AttendanceSheet!$B$7:$B420,MATCH('Mark Leave'!C412,AttendanceSheet!$C$7:$C446,0)),"")</f>
        <v>Emp_0022</v>
      </c>
      <c r="C412" s="38" t="s">
        <v>100</v>
      </c>
      <c r="D412" s="49">
        <v>44501</v>
      </c>
      <c r="E412" s="40" t="s">
        <v>89</v>
      </c>
    </row>
    <row r="413" spans="1:5" ht="16.5" thickTop="1" thickBot="1" x14ac:dyDescent="0.3">
      <c r="A413" s="47" t="str">
        <f t="shared" si="12"/>
        <v>Emp_002244502</v>
      </c>
      <c r="B413" s="48" t="str">
        <f>IFERROR(INDEX(AttendanceSheet!$B$7:$B421,MATCH('Mark Leave'!C413,AttendanceSheet!$C$7:$C447,0)),"")</f>
        <v>Emp_0022</v>
      </c>
      <c r="C413" s="38" t="s">
        <v>100</v>
      </c>
      <c r="D413" s="49">
        <v>44502</v>
      </c>
      <c r="E413" s="40" t="s">
        <v>89</v>
      </c>
    </row>
    <row r="414" spans="1:5" ht="16.5" thickTop="1" thickBot="1" x14ac:dyDescent="0.3">
      <c r="A414" s="47" t="str">
        <f t="shared" si="12"/>
        <v>Emp_002244503</v>
      </c>
      <c r="B414" s="48" t="str">
        <f>IFERROR(INDEX(AttendanceSheet!$B$7:$B422,MATCH('Mark Leave'!C414,AttendanceSheet!$C$7:$C448,0)),"")</f>
        <v>Emp_0022</v>
      </c>
      <c r="C414" s="38" t="s">
        <v>100</v>
      </c>
      <c r="D414" s="49">
        <v>44503</v>
      </c>
      <c r="E414" s="40" t="s">
        <v>89</v>
      </c>
    </row>
    <row r="415" spans="1:5" ht="16.5" thickTop="1" thickBot="1" x14ac:dyDescent="0.3">
      <c r="A415" s="47" t="str">
        <f t="shared" si="12"/>
        <v>Emp_002244504</v>
      </c>
      <c r="B415" s="48" t="str">
        <f>IFERROR(INDEX(AttendanceSheet!$B$7:$B423,MATCH('Mark Leave'!C415,AttendanceSheet!$C$7:$C449,0)),"")</f>
        <v>Emp_0022</v>
      </c>
      <c r="C415" s="38" t="s">
        <v>100</v>
      </c>
      <c r="D415" s="49">
        <v>44504</v>
      </c>
      <c r="E415" s="40" t="s">
        <v>89</v>
      </c>
    </row>
    <row r="416" spans="1:5" ht="16.5" thickTop="1" thickBot="1" x14ac:dyDescent="0.3">
      <c r="A416" s="47" t="str">
        <f t="shared" si="12"/>
        <v>Emp_002244505</v>
      </c>
      <c r="B416" s="48" t="str">
        <f>IFERROR(INDEX(AttendanceSheet!$B$7:$B424,MATCH('Mark Leave'!C416,AttendanceSheet!$C$7:$C450,0)),"")</f>
        <v>Emp_0022</v>
      </c>
      <c r="C416" s="38" t="s">
        <v>100</v>
      </c>
      <c r="D416" s="49">
        <v>44505</v>
      </c>
      <c r="E416" s="40" t="s">
        <v>89</v>
      </c>
    </row>
    <row r="417" spans="1:5" ht="16.5" thickTop="1" thickBot="1" x14ac:dyDescent="0.3">
      <c r="A417" s="47" t="str">
        <f t="shared" si="12"/>
        <v>Emp_002844501</v>
      </c>
      <c r="B417" s="48" t="str">
        <f>IFERROR(INDEX(AttendanceSheet!$B$7:$B425,MATCH('Mark Leave'!C417,AttendanceSheet!$C$7:$C451,0)),"")</f>
        <v>Emp_0028</v>
      </c>
      <c r="C417" s="38" t="s">
        <v>106</v>
      </c>
      <c r="D417" s="49">
        <v>44501</v>
      </c>
      <c r="E417" s="40" t="s">
        <v>89</v>
      </c>
    </row>
    <row r="418" spans="1:5" ht="16.5" thickTop="1" thickBot="1" x14ac:dyDescent="0.3">
      <c r="A418" s="47" t="str">
        <f t="shared" si="12"/>
        <v>Emp_002844502</v>
      </c>
      <c r="B418" s="48" t="str">
        <f>IFERROR(INDEX(AttendanceSheet!$B$7:$B426,MATCH('Mark Leave'!C418,AttendanceSheet!$C$7:$C452,0)),"")</f>
        <v>Emp_0028</v>
      </c>
      <c r="C418" s="38" t="s">
        <v>106</v>
      </c>
      <c r="D418" s="49">
        <v>44502</v>
      </c>
      <c r="E418" s="40" t="s">
        <v>89</v>
      </c>
    </row>
    <row r="419" spans="1:5" ht="16.5" thickTop="1" thickBot="1" x14ac:dyDescent="0.3">
      <c r="A419" s="47" t="str">
        <f t="shared" si="12"/>
        <v>Emp_002844503</v>
      </c>
      <c r="B419" s="48" t="str">
        <f>IFERROR(INDEX(AttendanceSheet!$B$7:$B427,MATCH('Mark Leave'!C419,AttendanceSheet!$C$7:$C453,0)),"")</f>
        <v>Emp_0028</v>
      </c>
      <c r="C419" s="38" t="s">
        <v>106</v>
      </c>
      <c r="D419" s="49">
        <v>44503</v>
      </c>
      <c r="E419" s="40" t="s">
        <v>89</v>
      </c>
    </row>
    <row r="420" spans="1:5" ht="16.5" thickTop="1" thickBot="1" x14ac:dyDescent="0.3">
      <c r="A420" s="47" t="str">
        <f t="shared" si="12"/>
        <v>Emp_002844504</v>
      </c>
      <c r="B420" s="48" t="str">
        <f>IFERROR(INDEX(AttendanceSheet!$B$7:$B428,MATCH('Mark Leave'!C420,AttendanceSheet!$C$7:$C454,0)),"")</f>
        <v>Emp_0028</v>
      </c>
      <c r="C420" s="38" t="s">
        <v>106</v>
      </c>
      <c r="D420" s="49">
        <v>44504</v>
      </c>
      <c r="E420" s="40" t="s">
        <v>89</v>
      </c>
    </row>
    <row r="421" spans="1:5" ht="16.5" thickTop="1" thickBot="1" x14ac:dyDescent="0.3">
      <c r="A421" s="47" t="str">
        <f t="shared" si="12"/>
        <v>Emp_002844505</v>
      </c>
      <c r="B421" s="48" t="str">
        <f>IFERROR(INDEX(AttendanceSheet!$B$7:$B429,MATCH('Mark Leave'!C421,AttendanceSheet!$C$7:$C455,0)),"")</f>
        <v>Emp_0028</v>
      </c>
      <c r="C421" s="38" t="s">
        <v>106</v>
      </c>
      <c r="D421" s="49">
        <v>44505</v>
      </c>
      <c r="E421" s="40" t="s">
        <v>89</v>
      </c>
    </row>
    <row r="422" spans="1:5" ht="16.5" thickTop="1" thickBot="1" x14ac:dyDescent="0.3">
      <c r="A422" s="47" t="str">
        <f t="shared" si="12"/>
        <v>Emp_002844506</v>
      </c>
      <c r="B422" s="48" t="str">
        <f>IFERROR(INDEX(AttendanceSheet!$B$7:$B430,MATCH('Mark Leave'!C422,AttendanceSheet!$C$7:$C456,0)),"")</f>
        <v>Emp_0028</v>
      </c>
      <c r="C422" s="38" t="s">
        <v>106</v>
      </c>
      <c r="D422" s="49">
        <v>44506</v>
      </c>
      <c r="E422" s="40" t="s">
        <v>89</v>
      </c>
    </row>
    <row r="423" spans="1:5" ht="16.5" thickTop="1" thickBot="1" x14ac:dyDescent="0.3">
      <c r="A423" s="47" t="str">
        <f t="shared" si="12"/>
        <v>Emp_002844507</v>
      </c>
      <c r="B423" s="48" t="str">
        <f>IFERROR(INDEX(AttendanceSheet!$B$7:$B431,MATCH('Mark Leave'!C423,AttendanceSheet!$C$7:$C457,0)),"")</f>
        <v>Emp_0028</v>
      </c>
      <c r="C423" s="38" t="s">
        <v>106</v>
      </c>
      <c r="D423" s="49">
        <v>44507</v>
      </c>
      <c r="E423" s="40" t="s">
        <v>89</v>
      </c>
    </row>
    <row r="424" spans="1:5" ht="16.5" thickTop="1" thickBot="1" x14ac:dyDescent="0.3">
      <c r="A424" s="47" t="str">
        <f t="shared" si="12"/>
        <v>Emp_003344501</v>
      </c>
      <c r="B424" s="48" t="str">
        <f>IFERROR(INDEX(AttendanceSheet!$B$7:$B432,MATCH('Mark Leave'!C424,AttendanceSheet!$C$7:$C458,0)),"")</f>
        <v>Emp_0033</v>
      </c>
      <c r="C424" s="38" t="s">
        <v>110</v>
      </c>
      <c r="D424" s="49">
        <v>44501</v>
      </c>
      <c r="E424" s="40" t="s">
        <v>89</v>
      </c>
    </row>
    <row r="425" spans="1:5" ht="16.5" thickTop="1" thickBot="1" x14ac:dyDescent="0.3">
      <c r="A425" s="47" t="str">
        <f t="shared" si="12"/>
        <v>Emp_003344502</v>
      </c>
      <c r="B425" s="48" t="str">
        <f>IFERROR(INDEX(AttendanceSheet!$B$7:$B433,MATCH('Mark Leave'!C425,AttendanceSheet!$C$7:$C459,0)),"")</f>
        <v>Emp_0033</v>
      </c>
      <c r="C425" s="38" t="s">
        <v>110</v>
      </c>
      <c r="D425" s="49">
        <v>44502</v>
      </c>
      <c r="E425" s="40" t="s">
        <v>89</v>
      </c>
    </row>
    <row r="426" spans="1:5" ht="16.5" thickTop="1" thickBot="1" x14ac:dyDescent="0.3">
      <c r="A426" s="47" t="str">
        <f t="shared" si="12"/>
        <v>Emp_003344503</v>
      </c>
      <c r="B426" s="48" t="str">
        <f>IFERROR(INDEX(AttendanceSheet!$B$7:$B434,MATCH('Mark Leave'!C426,AttendanceSheet!$C$7:$C460,0)),"")</f>
        <v>Emp_0033</v>
      </c>
      <c r="C426" s="38" t="s">
        <v>110</v>
      </c>
      <c r="D426" s="49">
        <v>44503</v>
      </c>
      <c r="E426" s="40" t="s">
        <v>89</v>
      </c>
    </row>
    <row r="427" spans="1:5" ht="16.5" thickTop="1" thickBot="1" x14ac:dyDescent="0.3">
      <c r="A427" s="47" t="str">
        <f t="shared" si="12"/>
        <v>Emp_003344504</v>
      </c>
      <c r="B427" s="48" t="str">
        <f>IFERROR(INDEX(AttendanceSheet!$B$7:$B435,MATCH('Mark Leave'!C427,AttendanceSheet!$C$7:$C461,0)),"")</f>
        <v>Emp_0033</v>
      </c>
      <c r="C427" s="38" t="s">
        <v>110</v>
      </c>
      <c r="D427" s="49">
        <v>44504</v>
      </c>
      <c r="E427" s="40" t="s">
        <v>89</v>
      </c>
    </row>
    <row r="428" spans="1:5" ht="16.5" thickTop="1" thickBot="1" x14ac:dyDescent="0.3">
      <c r="A428" s="47" t="str">
        <f t="shared" si="12"/>
        <v>Emp_003344505</v>
      </c>
      <c r="B428" s="48" t="str">
        <f>IFERROR(INDEX(AttendanceSheet!$B$7:$B436,MATCH('Mark Leave'!C428,AttendanceSheet!$C$7:$C462,0)),"")</f>
        <v>Emp_0033</v>
      </c>
      <c r="C428" s="38" t="s">
        <v>110</v>
      </c>
      <c r="D428" s="49">
        <v>44505</v>
      </c>
      <c r="E428" s="40" t="s">
        <v>89</v>
      </c>
    </row>
    <row r="429" spans="1:5" ht="16.5" thickTop="1" thickBot="1" x14ac:dyDescent="0.3">
      <c r="A429" s="47" t="str">
        <f t="shared" si="12"/>
        <v>Emp_003344506</v>
      </c>
      <c r="B429" s="48" t="str">
        <f>IFERROR(INDEX(AttendanceSheet!$B$7:$B437,MATCH('Mark Leave'!C429,AttendanceSheet!$C$7:$C463,0)),"")</f>
        <v>Emp_0033</v>
      </c>
      <c r="C429" s="38" t="s">
        <v>110</v>
      </c>
      <c r="D429" s="49">
        <v>44506</v>
      </c>
      <c r="E429" s="40" t="s">
        <v>39</v>
      </c>
    </row>
    <row r="430" spans="1:5" ht="16.5" thickTop="1" thickBot="1" x14ac:dyDescent="0.3">
      <c r="A430" s="47" t="str">
        <f t="shared" si="12"/>
        <v>Emp_003644515</v>
      </c>
      <c r="B430" s="48" t="str">
        <f>IFERROR(INDEX(AttendanceSheet!$B$7:$B438,MATCH('Mark Leave'!C430,AttendanceSheet!$C$7:$C464,0)),"")</f>
        <v>Emp_0036</v>
      </c>
      <c r="C430" s="38" t="s">
        <v>113</v>
      </c>
      <c r="D430" s="49">
        <v>44515</v>
      </c>
      <c r="E430" s="40"/>
    </row>
    <row r="431" spans="1:5" ht="16.5" thickTop="1" thickBot="1" x14ac:dyDescent="0.3">
      <c r="A431" s="47" t="str">
        <f t="shared" si="12"/>
        <v>Emp_000544501</v>
      </c>
      <c r="B431" s="48" t="str">
        <f>IFERROR(INDEX(AttendanceSheet!$B$7:$B439,MATCH('Mark Leave'!C431,AttendanceSheet!$C$7:$C465,0)),"")</f>
        <v>Emp_0005</v>
      </c>
      <c r="C431" s="38" t="s">
        <v>96</v>
      </c>
      <c r="D431" s="49">
        <v>44501</v>
      </c>
      <c r="E431" s="40" t="s">
        <v>42</v>
      </c>
    </row>
    <row r="432" spans="1:5" ht="16.5" thickTop="1" thickBot="1" x14ac:dyDescent="0.3">
      <c r="A432" s="47" t="str">
        <f t="shared" si="12"/>
        <v>Emp_000244501</v>
      </c>
      <c r="B432" s="48" t="str">
        <f>IFERROR(INDEX(AttendanceSheet!$B$7:$B440,MATCH('Mark Leave'!C432,AttendanceSheet!$C$7:$C466,0)),"")</f>
        <v>Emp_0002</v>
      </c>
      <c r="C432" s="38" t="s">
        <v>95</v>
      </c>
      <c r="D432" s="49">
        <v>44501</v>
      </c>
      <c r="E432" s="40" t="s">
        <v>89</v>
      </c>
    </row>
    <row r="433" spans="1:5" ht="16.5" thickTop="1" thickBot="1" x14ac:dyDescent="0.3">
      <c r="A433" s="47" t="str">
        <f t="shared" si="12"/>
        <v>Emp_001544502</v>
      </c>
      <c r="B433" s="48" t="str">
        <f>IFERROR(INDEX(AttendanceSheet!$B$7:$B441,MATCH('Mark Leave'!C433,AttendanceSheet!$C$7:$C467,0)),"")</f>
        <v>Emp_0015</v>
      </c>
      <c r="C433" s="38" t="s">
        <v>27</v>
      </c>
      <c r="D433" s="49">
        <v>44502</v>
      </c>
      <c r="E433" s="40" t="s">
        <v>42</v>
      </c>
    </row>
    <row r="434" spans="1:5" ht="16.5" thickTop="1" thickBot="1" x14ac:dyDescent="0.3">
      <c r="A434" s="47" t="str">
        <f t="shared" si="12"/>
        <v>Emp_000144501</v>
      </c>
      <c r="B434" s="48" t="str">
        <f>IFERROR(INDEX(AttendanceSheet!$B$7:$B442,MATCH('Mark Leave'!C434,AttendanceSheet!$C$7:$C468,0)),"")</f>
        <v>Emp_0001</v>
      </c>
      <c r="C434" s="38" t="s">
        <v>97</v>
      </c>
      <c r="D434" s="49">
        <v>44501</v>
      </c>
      <c r="E434" s="40" t="s">
        <v>42</v>
      </c>
    </row>
    <row r="435" spans="1:5" ht="16.5" thickTop="1" thickBot="1" x14ac:dyDescent="0.3">
      <c r="A435" s="47" t="str">
        <f t="shared" si="12"/>
        <v>Emp_001944501</v>
      </c>
      <c r="B435" s="48" t="str">
        <f>IFERROR(INDEX(AttendanceSheet!$B$7:$B443,MATCH('Mark Leave'!C435,AttendanceSheet!$C$7:$C469,0)),"")</f>
        <v>Emp_0019</v>
      </c>
      <c r="C435" s="38" t="s">
        <v>90</v>
      </c>
      <c r="D435" s="49">
        <v>44501</v>
      </c>
      <c r="E435" s="40" t="s">
        <v>89</v>
      </c>
    </row>
    <row r="436" spans="1:5" ht="16.5" thickTop="1" thickBot="1" x14ac:dyDescent="0.3">
      <c r="A436" s="47" t="str">
        <f t="shared" si="12"/>
        <v>Emp_001944502</v>
      </c>
      <c r="B436" s="48" t="str">
        <f>IFERROR(INDEX(AttendanceSheet!$B$7:$B444,MATCH('Mark Leave'!C436,AttendanceSheet!$C$7:$C470,0)),"")</f>
        <v>Emp_0019</v>
      </c>
      <c r="C436" s="38" t="s">
        <v>90</v>
      </c>
      <c r="D436" s="49">
        <v>44502</v>
      </c>
      <c r="E436" s="40" t="s">
        <v>89</v>
      </c>
    </row>
    <row r="437" spans="1:5" ht="16.5" thickTop="1" thickBot="1" x14ac:dyDescent="0.3">
      <c r="A437" s="47" t="str">
        <f t="shared" si="12"/>
        <v>Emp_001944503</v>
      </c>
      <c r="B437" s="48" t="str">
        <f>IFERROR(INDEX(AttendanceSheet!$B$7:$B445,MATCH('Mark Leave'!C437,AttendanceSheet!$C$7:$C471,0)),"")</f>
        <v>Emp_0019</v>
      </c>
      <c r="C437" s="38" t="s">
        <v>90</v>
      </c>
      <c r="D437" s="49">
        <v>44503</v>
      </c>
      <c r="E437" s="40" t="s">
        <v>89</v>
      </c>
    </row>
    <row r="438" spans="1:5" ht="16.5" thickTop="1" thickBot="1" x14ac:dyDescent="0.3">
      <c r="A438" s="47" t="str">
        <f t="shared" si="12"/>
        <v>Emp_001644501</v>
      </c>
      <c r="B438" s="48" t="str">
        <f>IFERROR(INDEX(AttendanceSheet!$B$7:$B446,MATCH('Mark Leave'!C438,AttendanceSheet!$C$7:$C472,0)),"")</f>
        <v>Emp_0016</v>
      </c>
      <c r="C438" s="38" t="s">
        <v>92</v>
      </c>
      <c r="D438" s="49">
        <v>44501</v>
      </c>
      <c r="E438" s="40" t="s">
        <v>89</v>
      </c>
    </row>
    <row r="439" spans="1:5" ht="16.5" thickTop="1" thickBot="1" x14ac:dyDescent="0.3">
      <c r="A439" s="47" t="str">
        <f t="shared" si="12"/>
        <v>Emp_001444501</v>
      </c>
      <c r="B439" s="48" t="str">
        <f>IFERROR(INDEX(AttendanceSheet!$B$7:$B447,MATCH('Mark Leave'!C439,AttendanceSheet!$C$7:$C473,0)),"")</f>
        <v>Emp_0014</v>
      </c>
      <c r="C439" s="38" t="s">
        <v>25</v>
      </c>
      <c r="D439" s="49">
        <v>44501</v>
      </c>
      <c r="E439" s="40" t="s">
        <v>89</v>
      </c>
    </row>
    <row r="440" spans="1:5" ht="16.5" thickTop="1" thickBot="1" x14ac:dyDescent="0.3">
      <c r="A440" s="47" t="str">
        <f t="shared" si="12"/>
        <v>Emp_001444502</v>
      </c>
      <c r="B440" s="48" t="str">
        <f>IFERROR(INDEX(AttendanceSheet!$B$7:$B448,MATCH('Mark Leave'!C440,AttendanceSheet!$C$7:$C474,0)),"")</f>
        <v>Emp_0014</v>
      </c>
      <c r="C440" s="38" t="s">
        <v>25</v>
      </c>
      <c r="D440" s="49">
        <v>44502</v>
      </c>
      <c r="E440" s="40" t="s">
        <v>89</v>
      </c>
    </row>
    <row r="441" spans="1:5" ht="16.5" thickTop="1" thickBot="1" x14ac:dyDescent="0.3">
      <c r="A441" s="47" t="str">
        <f t="shared" si="12"/>
        <v>Emp_001744501</v>
      </c>
      <c r="B441" s="48" t="str">
        <f>IFERROR(INDEX(AttendanceSheet!$B$7:$B449,MATCH('Mark Leave'!C441,AttendanceSheet!$C$7:$C475,0)),"")</f>
        <v>Emp_0017</v>
      </c>
      <c r="C441" s="38" t="s">
        <v>94</v>
      </c>
      <c r="D441" s="49">
        <v>44501</v>
      </c>
      <c r="E441" s="40" t="s">
        <v>89</v>
      </c>
    </row>
    <row r="442" spans="1:5" ht="16.5" thickTop="1" thickBot="1" x14ac:dyDescent="0.3">
      <c r="A442" s="47" t="str">
        <f t="shared" si="12"/>
        <v>Emp_001844501</v>
      </c>
      <c r="B442" s="48" t="str">
        <f>IFERROR(INDEX(AttendanceSheet!$B$7:$B450,MATCH('Mark Leave'!C442,AttendanceSheet!$C$7:$C476,0)),"")</f>
        <v>Emp_0018</v>
      </c>
      <c r="C442" s="38" t="s">
        <v>93</v>
      </c>
      <c r="D442" s="49">
        <v>44501</v>
      </c>
      <c r="E442" s="40" t="s">
        <v>89</v>
      </c>
    </row>
    <row r="443" spans="1:5" ht="16.5" thickTop="1" thickBot="1" x14ac:dyDescent="0.3">
      <c r="A443" s="47" t="str">
        <f t="shared" si="12"/>
        <v>Emp_001844502</v>
      </c>
      <c r="B443" s="48" t="str">
        <f>IFERROR(INDEX(AttendanceSheet!$B$7:$B451,MATCH('Mark Leave'!C443,AttendanceSheet!$C$7:$C477,0)),"")</f>
        <v>Emp_0018</v>
      </c>
      <c r="C443" s="38" t="s">
        <v>93</v>
      </c>
      <c r="D443" s="49">
        <v>44502</v>
      </c>
      <c r="E443" s="40" t="s">
        <v>89</v>
      </c>
    </row>
    <row r="444" spans="1:5" ht="16.5" thickTop="1" thickBot="1" x14ac:dyDescent="0.3">
      <c r="A444" s="47" t="str">
        <f t="shared" si="12"/>
        <v>Emp_001844503</v>
      </c>
      <c r="B444" s="48" t="str">
        <f>IFERROR(INDEX(AttendanceSheet!$B$7:$B452,MATCH('Mark Leave'!C444,AttendanceSheet!$C$7:$C478,0)),"")</f>
        <v>Emp_0018</v>
      </c>
      <c r="C444" s="38" t="s">
        <v>93</v>
      </c>
      <c r="D444" s="49">
        <v>44503</v>
      </c>
      <c r="E444" s="40" t="s">
        <v>89</v>
      </c>
    </row>
    <row r="445" spans="1:5" ht="16.5" thickTop="1" thickBot="1" x14ac:dyDescent="0.3">
      <c r="A445" s="47" t="str">
        <f t="shared" si="12"/>
        <v>Emp_001844504</v>
      </c>
      <c r="B445" s="48" t="str">
        <f>IFERROR(INDEX(AttendanceSheet!$B$7:$B453,MATCH('Mark Leave'!C445,AttendanceSheet!$C$7:$C479,0)),"")</f>
        <v>Emp_0018</v>
      </c>
      <c r="C445" s="38" t="s">
        <v>93</v>
      </c>
      <c r="D445" s="49">
        <v>44504</v>
      </c>
      <c r="E445" s="40" t="s">
        <v>39</v>
      </c>
    </row>
    <row r="446" spans="1:5" ht="16.5" thickTop="1" thickBot="1" x14ac:dyDescent="0.3">
      <c r="A446" s="47" t="str">
        <f t="shared" si="12"/>
        <v>Emp_001544501</v>
      </c>
      <c r="B446" s="48" t="str">
        <f>IFERROR(INDEX(AttendanceSheet!$B$7:$B454,MATCH('Mark Leave'!C446,AttendanceSheet!$C$7:$C480,0)),"")</f>
        <v>Emp_0015</v>
      </c>
      <c r="C446" s="38" t="s">
        <v>27</v>
      </c>
      <c r="D446" s="49">
        <v>44501</v>
      </c>
      <c r="E446" s="40" t="s">
        <v>42</v>
      </c>
    </row>
    <row r="447" spans="1:5" ht="16.5" thickTop="1" thickBot="1" x14ac:dyDescent="0.3">
      <c r="A447" s="47" t="str">
        <f t="shared" si="12"/>
        <v>Emp_001544502</v>
      </c>
      <c r="B447" s="48" t="str">
        <f>IFERROR(INDEX(AttendanceSheet!$B$7:$B455,MATCH('Mark Leave'!C447,AttendanceSheet!$C$7:$C481,0)),"")</f>
        <v>Emp_0015</v>
      </c>
      <c r="C447" s="38" t="s">
        <v>27</v>
      </c>
      <c r="D447" s="49">
        <v>44502</v>
      </c>
      <c r="E447" s="40" t="s">
        <v>42</v>
      </c>
    </row>
    <row r="448" spans="1:5" ht="16.5" thickTop="1" thickBot="1" x14ac:dyDescent="0.3">
      <c r="A448" s="47" t="str">
        <f t="shared" si="12"/>
        <v>Emp_000444501</v>
      </c>
      <c r="B448" s="48" t="str">
        <f>IFERROR(INDEX(AttendanceSheet!$B$7:$B456,MATCH('Mark Leave'!C448,AttendanceSheet!$C$7:$C482,0)),"")</f>
        <v>Emp_0004</v>
      </c>
      <c r="C448" s="38" t="s">
        <v>121</v>
      </c>
      <c r="D448" s="49">
        <v>44501</v>
      </c>
      <c r="E448" s="40" t="s">
        <v>89</v>
      </c>
    </row>
    <row r="449" spans="1:5" ht="16.5" thickTop="1" thickBot="1" x14ac:dyDescent="0.3">
      <c r="A449" s="47" t="str">
        <f t="shared" si="12"/>
        <v>Emp_000444502</v>
      </c>
      <c r="B449" s="48" t="str">
        <f>IFERROR(INDEX(AttendanceSheet!$B$7:$B457,MATCH('Mark Leave'!C449,AttendanceSheet!$C$7:$C483,0)),"")</f>
        <v>Emp_0004</v>
      </c>
      <c r="C449" s="38" t="s">
        <v>121</v>
      </c>
      <c r="D449" s="49">
        <v>44502</v>
      </c>
      <c r="E449" s="40" t="s">
        <v>89</v>
      </c>
    </row>
    <row r="450" spans="1:5" ht="16.5" thickTop="1" thickBot="1" x14ac:dyDescent="0.3">
      <c r="A450" s="47" t="str">
        <f t="shared" si="12"/>
        <v>Emp_000444503</v>
      </c>
      <c r="B450" s="48" t="str">
        <f>IFERROR(INDEX(AttendanceSheet!$B$7:$B458,MATCH('Mark Leave'!C450,AttendanceSheet!$C$7:$C484,0)),"")</f>
        <v>Emp_0004</v>
      </c>
      <c r="C450" s="38" t="s">
        <v>121</v>
      </c>
      <c r="D450" s="49">
        <v>44503</v>
      </c>
      <c r="E450" s="40" t="s">
        <v>89</v>
      </c>
    </row>
    <row r="451" spans="1:5" ht="16.5" thickTop="1" thickBot="1" x14ac:dyDescent="0.3">
      <c r="A451" s="47" t="str">
        <f t="shared" si="12"/>
        <v>Emp_000444504</v>
      </c>
      <c r="B451" s="48" t="str">
        <f>IFERROR(INDEX(AttendanceSheet!$B$7:$B459,MATCH('Mark Leave'!C451,AttendanceSheet!$C$7:$C485,0)),"")</f>
        <v>Emp_0004</v>
      </c>
      <c r="C451" s="38" t="s">
        <v>121</v>
      </c>
      <c r="D451" s="49">
        <v>44504</v>
      </c>
      <c r="E451" s="40" t="s">
        <v>89</v>
      </c>
    </row>
    <row r="452" spans="1:5" ht="16.5" thickTop="1" thickBot="1" x14ac:dyDescent="0.3">
      <c r="A452" s="47" t="str">
        <f t="shared" si="12"/>
        <v>Emp_000444505</v>
      </c>
      <c r="B452" s="48" t="str">
        <f>IFERROR(INDEX(AttendanceSheet!$B$7:$B460,MATCH('Mark Leave'!C452,AttendanceSheet!$C$7:$C486,0)),"")</f>
        <v>Emp_0004</v>
      </c>
      <c r="C452" s="38" t="s">
        <v>121</v>
      </c>
      <c r="D452" s="49">
        <v>44505</v>
      </c>
      <c r="E452" s="40" t="s">
        <v>89</v>
      </c>
    </row>
    <row r="453" spans="1:5" ht="16.5" thickTop="1" thickBot="1" x14ac:dyDescent="0.3">
      <c r="A453" s="47" t="str">
        <f t="shared" si="12"/>
        <v>Emp_000444506</v>
      </c>
      <c r="B453" s="48" t="str">
        <f>IFERROR(INDEX(AttendanceSheet!$B$7:$B461,MATCH('Mark Leave'!C453,AttendanceSheet!$C$7:$C487,0)),"")</f>
        <v>Emp_0004</v>
      </c>
      <c r="C453" s="38" t="s">
        <v>121</v>
      </c>
      <c r="D453" s="49">
        <v>44506</v>
      </c>
      <c r="E453" s="40" t="s">
        <v>89</v>
      </c>
    </row>
    <row r="454" spans="1:5" ht="16.5" thickTop="1" thickBot="1" x14ac:dyDescent="0.3">
      <c r="A454" s="47" t="str">
        <f t="shared" si="12"/>
        <v>Emp_000444507</v>
      </c>
      <c r="B454" s="48" t="str">
        <f>IFERROR(INDEX(AttendanceSheet!$B$7:$B462,MATCH('Mark Leave'!C454,AttendanceSheet!$C$7:$C488,0)),"")</f>
        <v>Emp_0004</v>
      </c>
      <c r="C454" s="38" t="s">
        <v>121</v>
      </c>
      <c r="D454" s="49">
        <v>44507</v>
      </c>
      <c r="E454" s="40" t="s">
        <v>89</v>
      </c>
    </row>
    <row r="455" spans="1:5" ht="16.5" thickTop="1" thickBot="1" x14ac:dyDescent="0.3">
      <c r="A455" s="47" t="str">
        <f t="shared" si="12"/>
        <v>Emp_001044501</v>
      </c>
      <c r="B455" s="48" t="str">
        <f>IFERROR(INDEX(AttendanceSheet!$B$7:$B463,MATCH('Mark Leave'!C455,AttendanceSheet!$C$7:$C489,0)),"")</f>
        <v>Emp_0010</v>
      </c>
      <c r="C455" s="38" t="s">
        <v>120</v>
      </c>
      <c r="D455" s="49">
        <v>44501</v>
      </c>
      <c r="E455" s="40" t="s">
        <v>89</v>
      </c>
    </row>
    <row r="456" spans="1:5" ht="16.5" thickTop="1" thickBot="1" x14ac:dyDescent="0.3">
      <c r="A456" s="47" t="str">
        <f t="shared" si="12"/>
        <v>Emp_003544501</v>
      </c>
      <c r="B456" s="48" t="str">
        <f>IFERROR(INDEX(AttendanceSheet!$B$7:$B464,MATCH('Mark Leave'!C456,AttendanceSheet!$C$7:$C490,0)),"")</f>
        <v>Emp_0035</v>
      </c>
      <c r="C456" s="38" t="s">
        <v>112</v>
      </c>
      <c r="D456" s="49">
        <v>44501</v>
      </c>
      <c r="E456" s="40" t="s">
        <v>89</v>
      </c>
    </row>
    <row r="457" spans="1:5" ht="16.5" thickTop="1" thickBot="1" x14ac:dyDescent="0.3">
      <c r="A457" s="47" t="str">
        <f t="shared" si="12"/>
        <v>Emp_003544502</v>
      </c>
      <c r="B457" s="48" t="str">
        <f>IFERROR(INDEX(AttendanceSheet!$B$7:$B465,MATCH('Mark Leave'!C457,AttendanceSheet!$C$7:$C491,0)),"")</f>
        <v>Emp_0035</v>
      </c>
      <c r="C457" s="38" t="s">
        <v>112</v>
      </c>
      <c r="D457" s="49">
        <v>44502</v>
      </c>
      <c r="E457" s="40" t="s">
        <v>89</v>
      </c>
    </row>
    <row r="458" spans="1:5" ht="16.5" thickTop="1" thickBot="1" x14ac:dyDescent="0.3">
      <c r="A458" s="47" t="str">
        <f t="shared" si="12"/>
        <v>Emp_003544503</v>
      </c>
      <c r="B458" s="48" t="str">
        <f>IFERROR(INDEX(AttendanceSheet!$B$7:$B466,MATCH('Mark Leave'!C458,AttendanceSheet!$C$7:$C492,0)),"")</f>
        <v>Emp_0035</v>
      </c>
      <c r="C458" s="38" t="s">
        <v>112</v>
      </c>
      <c r="D458" s="49">
        <v>44503</v>
      </c>
      <c r="E458" s="40" t="s">
        <v>89</v>
      </c>
    </row>
    <row r="459" spans="1:5" ht="16.5" thickTop="1" thickBot="1" x14ac:dyDescent="0.3">
      <c r="A459" s="47" t="str">
        <f t="shared" si="12"/>
        <v>Emp_003544504</v>
      </c>
      <c r="B459" s="48" t="str">
        <f>IFERROR(INDEX(AttendanceSheet!$B$7:$B467,MATCH('Mark Leave'!C459,AttendanceSheet!$C$7:$C493,0)),"")</f>
        <v>Emp_0035</v>
      </c>
      <c r="C459" s="38" t="s">
        <v>112</v>
      </c>
      <c r="D459" s="49">
        <v>44504</v>
      </c>
      <c r="E459" s="40" t="s">
        <v>89</v>
      </c>
    </row>
    <row r="460" spans="1:5" ht="16.5" thickTop="1" thickBot="1" x14ac:dyDescent="0.3">
      <c r="A460" s="47" t="str">
        <f t="shared" si="12"/>
        <v>Emp_0034</v>
      </c>
      <c r="B460" s="48" t="str">
        <f>IFERROR(INDEX(AttendanceSheet!$B$7:$B468,MATCH('Mark Leave'!C460,AttendanceSheet!$C$7:$C494,0)),"")</f>
        <v>Emp_0034</v>
      </c>
      <c r="C460" s="38" t="s">
        <v>111</v>
      </c>
      <c r="D460" s="49"/>
      <c r="E460" s="40"/>
    </row>
    <row r="461" spans="1:5" ht="16.5" thickTop="1" thickBot="1" x14ac:dyDescent="0.3">
      <c r="A461" s="47" t="str">
        <f t="shared" si="12"/>
        <v>Emp_002244510</v>
      </c>
      <c r="B461" s="48" t="str">
        <f>IFERROR(INDEX(AttendanceSheet!$B$7:$B469,MATCH('Mark Leave'!C461,AttendanceSheet!$C$7:$C495,0)),"")</f>
        <v>Emp_0022</v>
      </c>
      <c r="C461" s="38" t="s">
        <v>100</v>
      </c>
      <c r="D461" s="49">
        <v>44510</v>
      </c>
      <c r="E461" s="40"/>
    </row>
    <row r="462" spans="1:5" ht="16.5" thickTop="1" thickBot="1" x14ac:dyDescent="0.3">
      <c r="A462" s="47" t="str">
        <f t="shared" si="12"/>
        <v>Emp_002244511</v>
      </c>
      <c r="B462" s="48" t="str">
        <f>IFERROR(INDEX(AttendanceSheet!$B$7:$B470,MATCH('Mark Leave'!C462,AttendanceSheet!$C$7:$C496,0)),"")</f>
        <v>Emp_0022</v>
      </c>
      <c r="C462" s="38" t="s">
        <v>100</v>
      </c>
      <c r="D462" s="49">
        <v>44511</v>
      </c>
      <c r="E462" s="40"/>
    </row>
    <row r="463" spans="1:5" ht="16.5" thickTop="1" thickBot="1" x14ac:dyDescent="0.3">
      <c r="A463" s="47" t="str">
        <f t="shared" si="12"/>
        <v>Emp_001344505</v>
      </c>
      <c r="B463" s="48" t="str">
        <f>IFERROR(INDEX(AttendanceSheet!$B$7:$B471,MATCH('Mark Leave'!C463,AttendanceSheet!$C$7:$C497,0)),"")</f>
        <v>Emp_0013</v>
      </c>
      <c r="C463" s="38" t="s">
        <v>91</v>
      </c>
      <c r="D463" s="49">
        <v>44505</v>
      </c>
      <c r="E463" s="40" t="s">
        <v>42</v>
      </c>
    </row>
    <row r="464" spans="1:5" ht="16.5" thickTop="1" thickBot="1" x14ac:dyDescent="0.3">
      <c r="A464" s="47" t="str">
        <f t="shared" si="12"/>
        <v>Emp_001344506</v>
      </c>
      <c r="B464" s="48" t="str">
        <f>IFERROR(INDEX(AttendanceSheet!$B$7:$B472,MATCH('Mark Leave'!C464,AttendanceSheet!$C$7:$C498,0)),"")</f>
        <v>Emp_0013</v>
      </c>
      <c r="C464" s="38" t="s">
        <v>91</v>
      </c>
      <c r="D464" s="49">
        <v>44506</v>
      </c>
      <c r="E464" s="40" t="s">
        <v>42</v>
      </c>
    </row>
    <row r="465" spans="1:5" ht="16.5" thickTop="1" thickBot="1" x14ac:dyDescent="0.3">
      <c r="A465" s="47" t="str">
        <f t="shared" si="12"/>
        <v/>
      </c>
      <c r="B465" s="48" t="str">
        <f>IFERROR(INDEX(AttendanceSheet!$B$7:$B473,MATCH('Mark Leave'!C465,AttendanceSheet!$C$7:$C499,0)),"")</f>
        <v/>
      </c>
      <c r="C465" s="38"/>
      <c r="D465" s="49"/>
      <c r="E465" s="40"/>
    </row>
    <row r="466" spans="1:5" ht="16.5" thickTop="1" thickBot="1" x14ac:dyDescent="0.3">
      <c r="A466" s="47" t="str">
        <f t="shared" si="12"/>
        <v/>
      </c>
      <c r="B466" s="48" t="str">
        <f>IFERROR(INDEX(AttendanceSheet!$B$7:$B474,MATCH('Mark Leave'!C466,AttendanceSheet!$C$7:$C500,0)),"")</f>
        <v/>
      </c>
      <c r="C466" s="38"/>
      <c r="D466" s="49"/>
      <c r="E466" s="40"/>
    </row>
    <row r="467" spans="1:5" ht="16.5" thickTop="1" thickBot="1" x14ac:dyDescent="0.3">
      <c r="A467" s="47" t="str">
        <f t="shared" si="12"/>
        <v/>
      </c>
      <c r="B467" s="48" t="str">
        <f>IFERROR(INDEX(AttendanceSheet!$B$7:$B475,MATCH('Mark Leave'!C467,AttendanceSheet!$C$7:$C501,0)),"")</f>
        <v/>
      </c>
      <c r="C467" s="38"/>
      <c r="D467" s="49"/>
      <c r="E467" s="40"/>
    </row>
    <row r="468" spans="1:5" ht="16.5" thickTop="1" thickBot="1" x14ac:dyDescent="0.3">
      <c r="A468" s="47" t="str">
        <f t="shared" si="12"/>
        <v/>
      </c>
      <c r="B468" s="48" t="str">
        <f>IFERROR(INDEX(AttendanceSheet!$B$7:$B476,MATCH('Mark Leave'!C468,AttendanceSheet!$C$7:$C502,0)),"")</f>
        <v/>
      </c>
      <c r="C468" s="38"/>
      <c r="D468" s="49"/>
      <c r="E468" s="40"/>
    </row>
    <row r="469" spans="1:5" ht="16.5" thickTop="1" thickBot="1" x14ac:dyDescent="0.3">
      <c r="A469" s="47" t="str">
        <f t="shared" si="12"/>
        <v/>
      </c>
      <c r="B469" s="48" t="str">
        <f>IFERROR(INDEX(AttendanceSheet!$B$7:$B477,MATCH('Mark Leave'!C469,AttendanceSheet!$C$7:$C503,0)),"")</f>
        <v/>
      </c>
      <c r="C469" s="38"/>
      <c r="D469" s="49"/>
      <c r="E469" s="40"/>
    </row>
    <row r="470" spans="1:5" ht="16.5" thickTop="1" thickBot="1" x14ac:dyDescent="0.3">
      <c r="A470" s="47" t="str">
        <f t="shared" ref="A470:A533" si="13">B470&amp;D470</f>
        <v/>
      </c>
      <c r="B470" s="48" t="str">
        <f>IFERROR(INDEX(AttendanceSheet!$B$7:$B478,MATCH('Mark Leave'!C470,AttendanceSheet!$C$7:$C504,0)),"")</f>
        <v/>
      </c>
      <c r="C470" s="38"/>
      <c r="D470" s="49"/>
      <c r="E470" s="40"/>
    </row>
    <row r="471" spans="1:5" ht="16.5" thickTop="1" thickBot="1" x14ac:dyDescent="0.3">
      <c r="A471" s="47" t="str">
        <f t="shared" si="13"/>
        <v/>
      </c>
      <c r="B471" s="48" t="str">
        <f>IFERROR(INDEX(AttendanceSheet!$B$7:$B479,MATCH('Mark Leave'!C471,AttendanceSheet!$C$7:$C505,0)),"")</f>
        <v/>
      </c>
      <c r="C471" s="38"/>
      <c r="D471" s="49"/>
      <c r="E471" s="40"/>
    </row>
    <row r="472" spans="1:5" ht="16.5" thickTop="1" thickBot="1" x14ac:dyDescent="0.3">
      <c r="A472" s="47" t="str">
        <f t="shared" si="13"/>
        <v/>
      </c>
      <c r="B472" s="48" t="str">
        <f>IFERROR(INDEX(AttendanceSheet!$B$7:$B480,MATCH('Mark Leave'!C472,AttendanceSheet!$C$7:$C506,0)),"")</f>
        <v/>
      </c>
      <c r="C472" s="38"/>
      <c r="D472" s="49"/>
      <c r="E472" s="40"/>
    </row>
    <row r="473" spans="1:5" ht="16.5" thickTop="1" thickBot="1" x14ac:dyDescent="0.3">
      <c r="A473" s="47" t="str">
        <f t="shared" si="13"/>
        <v/>
      </c>
      <c r="B473" s="48" t="str">
        <f>IFERROR(INDEX(AttendanceSheet!$B$7:$B481,MATCH('Mark Leave'!C473,AttendanceSheet!$C$7:$C507,0)),"")</f>
        <v/>
      </c>
      <c r="C473" s="38"/>
      <c r="D473" s="49"/>
      <c r="E473" s="40"/>
    </row>
    <row r="474" spans="1:5" ht="16.5" thickTop="1" thickBot="1" x14ac:dyDescent="0.3">
      <c r="A474" s="47" t="str">
        <f t="shared" si="13"/>
        <v/>
      </c>
      <c r="B474" s="48" t="str">
        <f>IFERROR(INDEX(AttendanceSheet!$B$7:$B482,MATCH('Mark Leave'!C474,AttendanceSheet!$C$7:$C508,0)),"")</f>
        <v/>
      </c>
      <c r="C474" s="38"/>
      <c r="D474" s="49"/>
      <c r="E474" s="40"/>
    </row>
    <row r="475" spans="1:5" ht="16.5" thickTop="1" thickBot="1" x14ac:dyDescent="0.3">
      <c r="A475" s="47" t="str">
        <f t="shared" si="13"/>
        <v/>
      </c>
      <c r="B475" s="48" t="str">
        <f>IFERROR(INDEX(AttendanceSheet!$B$7:$B483,MATCH('Mark Leave'!C475,AttendanceSheet!$C$7:$C509,0)),"")</f>
        <v/>
      </c>
      <c r="C475" s="38"/>
      <c r="D475" s="49"/>
      <c r="E475" s="40"/>
    </row>
    <row r="476" spans="1:5" ht="16.5" thickTop="1" thickBot="1" x14ac:dyDescent="0.3">
      <c r="A476" s="47" t="str">
        <f t="shared" si="13"/>
        <v/>
      </c>
      <c r="B476" s="48" t="str">
        <f>IFERROR(INDEX(AttendanceSheet!$B$7:$B484,MATCH('Mark Leave'!C476,AttendanceSheet!$C$7:$C510,0)),"")</f>
        <v/>
      </c>
      <c r="C476" s="38"/>
      <c r="D476" s="49"/>
      <c r="E476" s="40"/>
    </row>
    <row r="477" spans="1:5" ht="16.5" thickTop="1" thickBot="1" x14ac:dyDescent="0.3">
      <c r="A477" s="47" t="str">
        <f t="shared" si="13"/>
        <v/>
      </c>
      <c r="B477" s="48" t="str">
        <f>IFERROR(INDEX(AttendanceSheet!$B$7:$B485,MATCH('Mark Leave'!C477,AttendanceSheet!$C$7:$C511,0)),"")</f>
        <v/>
      </c>
      <c r="C477" s="38"/>
      <c r="D477" s="49"/>
      <c r="E477" s="40"/>
    </row>
    <row r="478" spans="1:5" ht="16.5" thickTop="1" thickBot="1" x14ac:dyDescent="0.3">
      <c r="A478" s="47" t="str">
        <f t="shared" si="13"/>
        <v/>
      </c>
      <c r="B478" s="48" t="str">
        <f>IFERROR(INDEX(AttendanceSheet!$B$7:$B486,MATCH('Mark Leave'!C478,AttendanceSheet!$C$7:$C512,0)),"")</f>
        <v/>
      </c>
      <c r="C478" s="38"/>
      <c r="D478" s="49"/>
      <c r="E478" s="40"/>
    </row>
    <row r="479" spans="1:5" ht="16.5" thickTop="1" thickBot="1" x14ac:dyDescent="0.3">
      <c r="A479" s="47" t="str">
        <f t="shared" si="13"/>
        <v/>
      </c>
      <c r="B479" s="48" t="str">
        <f>IFERROR(INDEX(AttendanceSheet!$B$7:$B487,MATCH('Mark Leave'!C479,AttendanceSheet!$C$7:$C513,0)),"")</f>
        <v/>
      </c>
      <c r="C479" s="38"/>
      <c r="D479" s="49"/>
      <c r="E479" s="40"/>
    </row>
    <row r="480" spans="1:5" ht="16.5" thickTop="1" thickBot="1" x14ac:dyDescent="0.3">
      <c r="A480" s="47" t="str">
        <f t="shared" si="13"/>
        <v/>
      </c>
      <c r="B480" s="48" t="str">
        <f>IFERROR(INDEX(AttendanceSheet!$B$7:$B488,MATCH('Mark Leave'!C480,AttendanceSheet!$C$7:$C514,0)),"")</f>
        <v/>
      </c>
      <c r="C480" s="38"/>
      <c r="D480" s="49"/>
      <c r="E480" s="40"/>
    </row>
    <row r="481" spans="1:5" ht="16.5" thickTop="1" thickBot="1" x14ac:dyDescent="0.3">
      <c r="A481" s="47" t="str">
        <f t="shared" si="13"/>
        <v/>
      </c>
      <c r="B481" s="48" t="str">
        <f>IFERROR(INDEX(AttendanceSheet!$B$7:$B489,MATCH('Mark Leave'!C481,AttendanceSheet!$C$7:$C515,0)),"")</f>
        <v/>
      </c>
      <c r="C481" s="38"/>
      <c r="D481" s="49"/>
      <c r="E481" s="40"/>
    </row>
    <row r="482" spans="1:5" ht="16.5" thickTop="1" thickBot="1" x14ac:dyDescent="0.3">
      <c r="A482" s="47" t="str">
        <f t="shared" si="13"/>
        <v/>
      </c>
      <c r="B482" s="48" t="str">
        <f>IFERROR(INDEX(AttendanceSheet!$B$7:$B490,MATCH('Mark Leave'!C482,AttendanceSheet!$C$7:$C516,0)),"")</f>
        <v/>
      </c>
      <c r="C482" s="38"/>
      <c r="D482" s="49"/>
      <c r="E482" s="40"/>
    </row>
    <row r="483" spans="1:5" ht="16.5" thickTop="1" thickBot="1" x14ac:dyDescent="0.3">
      <c r="A483" s="47" t="str">
        <f t="shared" si="13"/>
        <v/>
      </c>
      <c r="B483" s="48" t="str">
        <f>IFERROR(INDEX(AttendanceSheet!$B$7:$B491,MATCH('Mark Leave'!C483,AttendanceSheet!$C$7:$C517,0)),"")</f>
        <v/>
      </c>
      <c r="C483" s="38"/>
      <c r="D483" s="49"/>
      <c r="E483" s="40"/>
    </row>
    <row r="484" spans="1:5" ht="16.5" thickTop="1" thickBot="1" x14ac:dyDescent="0.3">
      <c r="A484" s="47" t="str">
        <f t="shared" si="13"/>
        <v/>
      </c>
      <c r="B484" s="48" t="str">
        <f>IFERROR(INDEX(AttendanceSheet!$B$7:$B492,MATCH('Mark Leave'!C484,AttendanceSheet!$C$7:$C518,0)),"")</f>
        <v/>
      </c>
      <c r="C484" s="38"/>
      <c r="D484" s="49"/>
      <c r="E484" s="40"/>
    </row>
    <row r="485" spans="1:5" ht="16.5" thickTop="1" thickBot="1" x14ac:dyDescent="0.3">
      <c r="A485" s="47" t="str">
        <f t="shared" si="13"/>
        <v/>
      </c>
      <c r="B485" s="48" t="str">
        <f>IFERROR(INDEX(AttendanceSheet!$B$7:$B493,MATCH('Mark Leave'!C485,AttendanceSheet!$C$7:$C519,0)),"")</f>
        <v/>
      </c>
      <c r="C485" s="38"/>
      <c r="D485" s="49"/>
      <c r="E485" s="40"/>
    </row>
    <row r="486" spans="1:5" ht="16.5" thickTop="1" thickBot="1" x14ac:dyDescent="0.3">
      <c r="A486" s="47" t="str">
        <f t="shared" si="13"/>
        <v/>
      </c>
      <c r="B486" s="48" t="str">
        <f>IFERROR(INDEX(AttendanceSheet!$B$7:$B494,MATCH('Mark Leave'!C486,AttendanceSheet!$C$7:$C520,0)),"")</f>
        <v/>
      </c>
      <c r="C486" s="38"/>
      <c r="D486" s="49"/>
      <c r="E486" s="40"/>
    </row>
    <row r="487" spans="1:5" ht="16.5" thickTop="1" thickBot="1" x14ac:dyDescent="0.3">
      <c r="A487" s="47" t="str">
        <f t="shared" si="13"/>
        <v/>
      </c>
      <c r="B487" s="48" t="str">
        <f>IFERROR(INDEX(AttendanceSheet!$B$7:$B495,MATCH('Mark Leave'!C487,AttendanceSheet!$C$7:$C521,0)),"")</f>
        <v/>
      </c>
      <c r="C487" s="38"/>
      <c r="D487" s="49"/>
      <c r="E487" s="40"/>
    </row>
    <row r="488" spans="1:5" ht="16.5" thickTop="1" thickBot="1" x14ac:dyDescent="0.3">
      <c r="A488" s="47" t="str">
        <f t="shared" si="13"/>
        <v/>
      </c>
      <c r="B488" s="48" t="str">
        <f>IFERROR(INDEX(AttendanceSheet!$B$7:$B496,MATCH('Mark Leave'!C488,AttendanceSheet!$C$7:$C522,0)),"")</f>
        <v/>
      </c>
      <c r="C488" s="38"/>
      <c r="D488" s="49"/>
      <c r="E488" s="40"/>
    </row>
    <row r="489" spans="1:5" ht="16.5" thickTop="1" thickBot="1" x14ac:dyDescent="0.3">
      <c r="A489" s="47" t="str">
        <f t="shared" si="13"/>
        <v/>
      </c>
      <c r="B489" s="48" t="str">
        <f>IFERROR(INDEX(AttendanceSheet!$B$7:$B497,MATCH('Mark Leave'!C489,AttendanceSheet!$C$7:$C523,0)),"")</f>
        <v/>
      </c>
      <c r="C489" s="38"/>
      <c r="D489" s="49"/>
      <c r="E489" s="40"/>
    </row>
    <row r="490" spans="1:5" ht="16.5" thickTop="1" thickBot="1" x14ac:dyDescent="0.3">
      <c r="A490" s="47" t="str">
        <f t="shared" si="13"/>
        <v/>
      </c>
      <c r="B490" s="48" t="str">
        <f>IFERROR(INDEX(AttendanceSheet!$B$7:$B498,MATCH('Mark Leave'!C490,AttendanceSheet!$C$7:$C524,0)),"")</f>
        <v/>
      </c>
      <c r="C490" s="38"/>
      <c r="D490" s="49"/>
      <c r="E490" s="40"/>
    </row>
    <row r="491" spans="1:5" ht="16.5" thickTop="1" thickBot="1" x14ac:dyDescent="0.3">
      <c r="A491" s="47" t="str">
        <f t="shared" si="13"/>
        <v/>
      </c>
      <c r="B491" s="48" t="str">
        <f>IFERROR(INDEX(AttendanceSheet!$B$7:$B499,MATCH('Mark Leave'!C491,AttendanceSheet!$C$7:$C525,0)),"")</f>
        <v/>
      </c>
      <c r="C491" s="38"/>
      <c r="D491" s="49"/>
      <c r="E491" s="40"/>
    </row>
    <row r="492" spans="1:5" ht="16.5" thickTop="1" thickBot="1" x14ac:dyDescent="0.3">
      <c r="A492" s="47" t="str">
        <f t="shared" si="13"/>
        <v/>
      </c>
      <c r="B492" s="48" t="str">
        <f>IFERROR(INDEX(AttendanceSheet!$B$7:$B500,MATCH('Mark Leave'!C492,AttendanceSheet!$C$7:$C526,0)),"")</f>
        <v/>
      </c>
      <c r="C492" s="38"/>
      <c r="D492" s="49"/>
      <c r="E492" s="40"/>
    </row>
    <row r="493" spans="1:5" ht="16.5" thickTop="1" thickBot="1" x14ac:dyDescent="0.3">
      <c r="A493" s="47" t="str">
        <f t="shared" si="13"/>
        <v/>
      </c>
      <c r="B493" s="48" t="str">
        <f>IFERROR(INDEX(AttendanceSheet!$B$7:$B501,MATCH('Mark Leave'!C493,AttendanceSheet!$C$7:$C527,0)),"")</f>
        <v/>
      </c>
      <c r="C493" s="38"/>
      <c r="D493" s="49"/>
      <c r="E493" s="40"/>
    </row>
    <row r="494" spans="1:5" ht="16.5" thickTop="1" thickBot="1" x14ac:dyDescent="0.3">
      <c r="A494" s="47" t="str">
        <f t="shared" si="13"/>
        <v/>
      </c>
      <c r="B494" s="48" t="str">
        <f>IFERROR(INDEX(AttendanceSheet!$B$7:$B502,MATCH('Mark Leave'!C494,AttendanceSheet!$C$7:$C528,0)),"")</f>
        <v/>
      </c>
      <c r="C494" s="38"/>
      <c r="D494" s="49"/>
      <c r="E494" s="40"/>
    </row>
    <row r="495" spans="1:5" ht="16.5" thickTop="1" thickBot="1" x14ac:dyDescent="0.3">
      <c r="A495" s="47" t="str">
        <f t="shared" si="13"/>
        <v/>
      </c>
      <c r="B495" s="48" t="str">
        <f>IFERROR(INDEX(AttendanceSheet!$B$7:$B503,MATCH('Mark Leave'!C495,AttendanceSheet!$C$7:$C529,0)),"")</f>
        <v/>
      </c>
      <c r="C495" s="38"/>
      <c r="D495" s="49"/>
      <c r="E495" s="40"/>
    </row>
    <row r="496" spans="1:5" ht="16.5" thickTop="1" thickBot="1" x14ac:dyDescent="0.3">
      <c r="A496" s="47" t="str">
        <f t="shared" si="13"/>
        <v/>
      </c>
      <c r="B496" s="48" t="str">
        <f>IFERROR(INDEX(AttendanceSheet!$B$7:$B504,MATCH('Mark Leave'!C496,AttendanceSheet!$C$7:$C530,0)),"")</f>
        <v/>
      </c>
      <c r="C496" s="38"/>
      <c r="D496" s="49"/>
      <c r="E496" s="40"/>
    </row>
    <row r="497" spans="1:5" ht="16.5" thickTop="1" thickBot="1" x14ac:dyDescent="0.3">
      <c r="A497" s="47" t="str">
        <f t="shared" si="13"/>
        <v/>
      </c>
      <c r="B497" s="48" t="str">
        <f>IFERROR(INDEX(AttendanceSheet!$B$7:$B505,MATCH('Mark Leave'!C497,AttendanceSheet!$C$7:$C531,0)),"")</f>
        <v/>
      </c>
      <c r="C497" s="38"/>
      <c r="D497" s="49"/>
      <c r="E497" s="40"/>
    </row>
    <row r="498" spans="1:5" ht="16.5" thickTop="1" thickBot="1" x14ac:dyDescent="0.3">
      <c r="A498" s="47" t="str">
        <f t="shared" si="13"/>
        <v/>
      </c>
      <c r="B498" s="48" t="str">
        <f>IFERROR(INDEX(AttendanceSheet!$B$7:$B506,MATCH('Mark Leave'!C498,AttendanceSheet!$C$7:$C532,0)),"")</f>
        <v/>
      </c>
      <c r="C498" s="38"/>
      <c r="D498" s="49"/>
      <c r="E498" s="40"/>
    </row>
    <row r="499" spans="1:5" ht="16.5" thickTop="1" thickBot="1" x14ac:dyDescent="0.3">
      <c r="A499" s="47" t="str">
        <f t="shared" si="13"/>
        <v/>
      </c>
      <c r="B499" s="48" t="str">
        <f>IFERROR(INDEX(AttendanceSheet!$B$7:$B507,MATCH('Mark Leave'!C499,AttendanceSheet!$C$7:$C533,0)),"")</f>
        <v/>
      </c>
      <c r="C499" s="38"/>
      <c r="D499" s="49"/>
      <c r="E499" s="40"/>
    </row>
    <row r="500" spans="1:5" ht="16.5" thickTop="1" thickBot="1" x14ac:dyDescent="0.3">
      <c r="A500" s="47" t="str">
        <f t="shared" si="13"/>
        <v/>
      </c>
      <c r="B500" s="48" t="str">
        <f>IFERROR(INDEX(AttendanceSheet!$B$7:$B508,MATCH('Mark Leave'!C500,AttendanceSheet!$C$7:$C534,0)),"")</f>
        <v/>
      </c>
      <c r="C500" s="38"/>
      <c r="D500" s="49"/>
      <c r="E500" s="40"/>
    </row>
    <row r="501" spans="1:5" ht="16.5" thickTop="1" thickBot="1" x14ac:dyDescent="0.3">
      <c r="A501" s="47" t="str">
        <f t="shared" si="13"/>
        <v/>
      </c>
      <c r="B501" s="48" t="str">
        <f>IFERROR(INDEX(AttendanceSheet!$B$7:$B509,MATCH('Mark Leave'!C501,AttendanceSheet!$C$7:$C535,0)),"")</f>
        <v/>
      </c>
      <c r="C501" s="38"/>
      <c r="D501" s="49"/>
      <c r="E501" s="40"/>
    </row>
    <row r="502" spans="1:5" ht="16.5" thickTop="1" thickBot="1" x14ac:dyDescent="0.3">
      <c r="A502" s="47" t="str">
        <f t="shared" si="13"/>
        <v/>
      </c>
      <c r="B502" s="48" t="str">
        <f>IFERROR(INDEX(AttendanceSheet!$B$7:$B510,MATCH('Mark Leave'!C502,AttendanceSheet!$C$7:$C536,0)),"")</f>
        <v/>
      </c>
      <c r="C502" s="38"/>
      <c r="D502" s="49"/>
      <c r="E502" s="40"/>
    </row>
    <row r="503" spans="1:5" ht="16.5" thickTop="1" thickBot="1" x14ac:dyDescent="0.3">
      <c r="A503" s="47" t="str">
        <f t="shared" si="13"/>
        <v/>
      </c>
      <c r="B503" s="48" t="str">
        <f>IFERROR(INDEX(AttendanceSheet!$B$7:$B511,MATCH('Mark Leave'!C503,AttendanceSheet!$C$7:$C537,0)),"")</f>
        <v/>
      </c>
      <c r="C503" s="38"/>
      <c r="D503" s="49"/>
      <c r="E503" s="40"/>
    </row>
    <row r="504" spans="1:5" ht="16.5" thickTop="1" thickBot="1" x14ac:dyDescent="0.3">
      <c r="A504" s="47" t="str">
        <f t="shared" si="13"/>
        <v/>
      </c>
      <c r="B504" s="48" t="str">
        <f>IFERROR(INDEX(AttendanceSheet!$B$7:$B512,MATCH('Mark Leave'!C504,AttendanceSheet!$C$7:$C538,0)),"")</f>
        <v/>
      </c>
      <c r="C504" s="38"/>
      <c r="D504" s="49"/>
      <c r="E504" s="40"/>
    </row>
    <row r="505" spans="1:5" ht="16.5" thickTop="1" thickBot="1" x14ac:dyDescent="0.3">
      <c r="A505" s="47" t="str">
        <f t="shared" si="13"/>
        <v/>
      </c>
      <c r="B505" s="48" t="str">
        <f>IFERROR(INDEX(AttendanceSheet!$B$7:$B513,MATCH('Mark Leave'!C505,AttendanceSheet!$C$7:$C539,0)),"")</f>
        <v/>
      </c>
      <c r="C505" s="38"/>
      <c r="D505" s="49"/>
      <c r="E505" s="40"/>
    </row>
    <row r="506" spans="1:5" ht="16.5" thickTop="1" thickBot="1" x14ac:dyDescent="0.3">
      <c r="A506" s="47" t="str">
        <f t="shared" si="13"/>
        <v/>
      </c>
      <c r="B506" s="48" t="str">
        <f>IFERROR(INDEX(AttendanceSheet!$B$7:$B514,MATCH('Mark Leave'!C506,AttendanceSheet!$C$7:$C540,0)),"")</f>
        <v/>
      </c>
      <c r="C506" s="38"/>
      <c r="D506" s="49"/>
      <c r="E506" s="40"/>
    </row>
    <row r="507" spans="1:5" ht="16.5" thickTop="1" thickBot="1" x14ac:dyDescent="0.3">
      <c r="A507" s="47" t="str">
        <f t="shared" si="13"/>
        <v/>
      </c>
      <c r="B507" s="48" t="str">
        <f>IFERROR(INDEX(AttendanceSheet!$B$7:$B515,MATCH('Mark Leave'!C507,AttendanceSheet!$C$7:$C541,0)),"")</f>
        <v/>
      </c>
      <c r="C507" s="38"/>
      <c r="D507" s="49"/>
      <c r="E507" s="40"/>
    </row>
    <row r="508" spans="1:5" ht="16.5" thickTop="1" thickBot="1" x14ac:dyDescent="0.3">
      <c r="A508" s="47" t="str">
        <f t="shared" si="13"/>
        <v/>
      </c>
      <c r="B508" s="48" t="str">
        <f>IFERROR(INDEX(AttendanceSheet!$B$7:$B516,MATCH('Mark Leave'!C508,AttendanceSheet!$C$7:$C542,0)),"")</f>
        <v/>
      </c>
      <c r="C508" s="38"/>
      <c r="D508" s="49"/>
      <c r="E508" s="40"/>
    </row>
    <row r="509" spans="1:5" ht="16.5" thickTop="1" thickBot="1" x14ac:dyDescent="0.3">
      <c r="A509" s="47" t="str">
        <f t="shared" si="13"/>
        <v/>
      </c>
      <c r="B509" s="48" t="str">
        <f>IFERROR(INDEX(AttendanceSheet!$B$7:$B517,MATCH('Mark Leave'!C509,AttendanceSheet!$C$7:$C543,0)),"")</f>
        <v/>
      </c>
      <c r="C509" s="38"/>
      <c r="D509" s="49"/>
      <c r="E509" s="40"/>
    </row>
    <row r="510" spans="1:5" ht="16.5" thickTop="1" thickBot="1" x14ac:dyDescent="0.3">
      <c r="A510" s="47" t="str">
        <f t="shared" si="13"/>
        <v/>
      </c>
      <c r="B510" s="48" t="str">
        <f>IFERROR(INDEX(AttendanceSheet!$B$7:$B518,MATCH('Mark Leave'!C510,AttendanceSheet!$C$7:$C544,0)),"")</f>
        <v/>
      </c>
      <c r="C510" s="38"/>
      <c r="D510" s="49"/>
      <c r="E510" s="40"/>
    </row>
    <row r="511" spans="1:5" ht="16.5" thickTop="1" thickBot="1" x14ac:dyDescent="0.3">
      <c r="A511" s="47" t="str">
        <f t="shared" si="13"/>
        <v/>
      </c>
      <c r="B511" s="48" t="str">
        <f>IFERROR(INDEX(AttendanceSheet!$B$7:$B519,MATCH('Mark Leave'!C511,AttendanceSheet!$C$7:$C545,0)),"")</f>
        <v/>
      </c>
      <c r="C511" s="38"/>
      <c r="D511" s="49"/>
      <c r="E511" s="40"/>
    </row>
    <row r="512" spans="1:5" ht="16.5" thickTop="1" thickBot="1" x14ac:dyDescent="0.3">
      <c r="A512" s="47" t="str">
        <f t="shared" si="13"/>
        <v/>
      </c>
      <c r="B512" s="48" t="str">
        <f>IFERROR(INDEX(AttendanceSheet!$B$7:$B520,MATCH('Mark Leave'!C512,AttendanceSheet!$C$7:$C546,0)),"")</f>
        <v/>
      </c>
      <c r="C512" s="38"/>
      <c r="D512" s="49"/>
      <c r="E512" s="40"/>
    </row>
    <row r="513" spans="1:5" ht="16.5" thickTop="1" thickBot="1" x14ac:dyDescent="0.3">
      <c r="A513" s="47" t="str">
        <f t="shared" si="13"/>
        <v/>
      </c>
      <c r="B513" s="48" t="str">
        <f>IFERROR(INDEX(AttendanceSheet!$B$7:$B521,MATCH('Mark Leave'!C513,AttendanceSheet!$C$7:$C547,0)),"")</f>
        <v/>
      </c>
      <c r="C513" s="38"/>
      <c r="D513" s="49"/>
      <c r="E513" s="40"/>
    </row>
    <row r="514" spans="1:5" ht="16.5" thickTop="1" thickBot="1" x14ac:dyDescent="0.3">
      <c r="A514" s="47" t="str">
        <f t="shared" si="13"/>
        <v/>
      </c>
      <c r="B514" s="48" t="str">
        <f>IFERROR(INDEX(AttendanceSheet!$B$7:$B522,MATCH('Mark Leave'!C514,AttendanceSheet!$C$7:$C548,0)),"")</f>
        <v/>
      </c>
      <c r="C514" s="38"/>
      <c r="D514" s="49"/>
      <c r="E514" s="40"/>
    </row>
    <row r="515" spans="1:5" ht="16.5" thickTop="1" thickBot="1" x14ac:dyDescent="0.3">
      <c r="A515" s="47" t="str">
        <f t="shared" si="13"/>
        <v/>
      </c>
      <c r="B515" s="48" t="str">
        <f>IFERROR(INDEX(AttendanceSheet!$B$7:$B523,MATCH('Mark Leave'!C515,AttendanceSheet!$C$7:$C549,0)),"")</f>
        <v/>
      </c>
      <c r="C515" s="38"/>
      <c r="D515" s="49"/>
      <c r="E515" s="40"/>
    </row>
    <row r="516" spans="1:5" ht="16.5" thickTop="1" thickBot="1" x14ac:dyDescent="0.3">
      <c r="A516" s="47" t="str">
        <f t="shared" si="13"/>
        <v/>
      </c>
      <c r="B516" s="48" t="str">
        <f>IFERROR(INDEX(AttendanceSheet!$B$7:$B524,MATCH('Mark Leave'!C516,AttendanceSheet!$C$7:$C550,0)),"")</f>
        <v/>
      </c>
      <c r="C516" s="38"/>
      <c r="D516" s="49"/>
      <c r="E516" s="40"/>
    </row>
    <row r="517" spans="1:5" ht="16.5" thickTop="1" thickBot="1" x14ac:dyDescent="0.3">
      <c r="A517" s="47" t="str">
        <f t="shared" si="13"/>
        <v/>
      </c>
      <c r="B517" s="48" t="str">
        <f>IFERROR(INDEX(AttendanceSheet!$B$7:$B525,MATCH('Mark Leave'!C517,AttendanceSheet!$C$7:$C551,0)),"")</f>
        <v/>
      </c>
      <c r="C517" s="38"/>
      <c r="D517" s="49"/>
      <c r="E517" s="40"/>
    </row>
    <row r="518" spans="1:5" ht="16.5" thickTop="1" thickBot="1" x14ac:dyDescent="0.3">
      <c r="A518" s="47" t="str">
        <f t="shared" si="13"/>
        <v/>
      </c>
      <c r="B518" s="48" t="str">
        <f>IFERROR(INDEX(AttendanceSheet!$B$7:$B526,MATCH('Mark Leave'!C518,AttendanceSheet!$C$7:$C552,0)),"")</f>
        <v/>
      </c>
      <c r="C518" s="38"/>
      <c r="D518" s="49"/>
      <c r="E518" s="40"/>
    </row>
    <row r="519" spans="1:5" ht="16.5" thickTop="1" thickBot="1" x14ac:dyDescent="0.3">
      <c r="A519" s="47" t="str">
        <f t="shared" si="13"/>
        <v/>
      </c>
      <c r="B519" s="48" t="str">
        <f>IFERROR(INDEX(AttendanceSheet!$B$7:$B527,MATCH('Mark Leave'!C519,AttendanceSheet!$C$7:$C553,0)),"")</f>
        <v/>
      </c>
      <c r="C519" s="38"/>
      <c r="D519" s="49"/>
      <c r="E519" s="40"/>
    </row>
    <row r="520" spans="1:5" ht="16.5" thickTop="1" thickBot="1" x14ac:dyDescent="0.3">
      <c r="A520" s="47" t="str">
        <f t="shared" si="13"/>
        <v/>
      </c>
      <c r="B520" s="48" t="str">
        <f>IFERROR(INDEX(AttendanceSheet!$B$7:$B528,MATCH('Mark Leave'!C520,AttendanceSheet!$C$7:$C554,0)),"")</f>
        <v/>
      </c>
      <c r="C520" s="38"/>
      <c r="D520" s="49"/>
      <c r="E520" s="40"/>
    </row>
    <row r="521" spans="1:5" ht="16.5" thickTop="1" thickBot="1" x14ac:dyDescent="0.3">
      <c r="A521" s="47" t="str">
        <f t="shared" si="13"/>
        <v/>
      </c>
      <c r="B521" s="48" t="str">
        <f>IFERROR(INDEX(AttendanceSheet!$B$7:$B529,MATCH('Mark Leave'!C521,AttendanceSheet!$C$7:$C555,0)),"")</f>
        <v/>
      </c>
      <c r="C521" s="38"/>
      <c r="D521" s="49"/>
      <c r="E521" s="40"/>
    </row>
    <row r="522" spans="1:5" ht="16.5" thickTop="1" thickBot="1" x14ac:dyDescent="0.3">
      <c r="A522" s="47" t="str">
        <f t="shared" si="13"/>
        <v/>
      </c>
      <c r="B522" s="48" t="str">
        <f>IFERROR(INDEX(AttendanceSheet!$B$7:$B530,MATCH('Mark Leave'!C522,AttendanceSheet!$C$7:$C556,0)),"")</f>
        <v/>
      </c>
      <c r="C522" s="38"/>
      <c r="D522" s="49"/>
      <c r="E522" s="40"/>
    </row>
    <row r="523" spans="1:5" ht="16.5" thickTop="1" thickBot="1" x14ac:dyDescent="0.3">
      <c r="A523" s="47" t="str">
        <f t="shared" si="13"/>
        <v/>
      </c>
      <c r="B523" s="48" t="str">
        <f>IFERROR(INDEX(AttendanceSheet!$B$7:$B531,MATCH('Mark Leave'!C523,AttendanceSheet!$C$7:$C557,0)),"")</f>
        <v/>
      </c>
      <c r="C523" s="38"/>
      <c r="D523" s="49"/>
      <c r="E523" s="40"/>
    </row>
    <row r="524" spans="1:5" ht="16.5" thickTop="1" thickBot="1" x14ac:dyDescent="0.3">
      <c r="A524" s="47" t="str">
        <f t="shared" si="13"/>
        <v/>
      </c>
      <c r="B524" s="48" t="str">
        <f>IFERROR(INDEX(AttendanceSheet!$B$7:$B532,MATCH('Mark Leave'!C524,AttendanceSheet!$C$7:$C558,0)),"")</f>
        <v/>
      </c>
      <c r="C524" s="38"/>
      <c r="D524" s="49"/>
      <c r="E524" s="40"/>
    </row>
    <row r="525" spans="1:5" ht="16.5" thickTop="1" thickBot="1" x14ac:dyDescent="0.3">
      <c r="A525" s="47" t="str">
        <f t="shared" si="13"/>
        <v/>
      </c>
      <c r="B525" s="48" t="str">
        <f>IFERROR(INDEX(AttendanceSheet!$B$7:$B533,MATCH('Mark Leave'!C525,AttendanceSheet!$C$7:$C559,0)),"")</f>
        <v/>
      </c>
      <c r="C525" s="38"/>
      <c r="D525" s="49"/>
      <c r="E525" s="40"/>
    </row>
    <row r="526" spans="1:5" ht="16.5" thickTop="1" thickBot="1" x14ac:dyDescent="0.3">
      <c r="A526" s="47" t="str">
        <f t="shared" si="13"/>
        <v/>
      </c>
      <c r="B526" s="48" t="str">
        <f>IFERROR(INDEX(AttendanceSheet!$B$7:$B534,MATCH('Mark Leave'!C526,AttendanceSheet!$C$7:$C560,0)),"")</f>
        <v/>
      </c>
      <c r="C526" s="38"/>
      <c r="D526" s="49"/>
      <c r="E526" s="40"/>
    </row>
    <row r="527" spans="1:5" ht="16.5" thickTop="1" thickBot="1" x14ac:dyDescent="0.3">
      <c r="A527" s="47" t="str">
        <f t="shared" si="13"/>
        <v/>
      </c>
      <c r="B527" s="48" t="str">
        <f>IFERROR(INDEX(AttendanceSheet!$B$7:$B535,MATCH('Mark Leave'!C527,AttendanceSheet!$C$7:$C561,0)),"")</f>
        <v/>
      </c>
      <c r="C527" s="38"/>
      <c r="D527" s="49"/>
      <c r="E527" s="40"/>
    </row>
    <row r="528" spans="1:5" ht="16.5" thickTop="1" thickBot="1" x14ac:dyDescent="0.3">
      <c r="A528" s="47" t="str">
        <f t="shared" si="13"/>
        <v/>
      </c>
      <c r="B528" s="48" t="str">
        <f>IFERROR(INDEX(AttendanceSheet!$B$7:$B536,MATCH('Mark Leave'!C528,AttendanceSheet!$C$7:$C562,0)),"")</f>
        <v/>
      </c>
      <c r="C528" s="38"/>
      <c r="D528" s="49"/>
      <c r="E528" s="40"/>
    </row>
    <row r="529" spans="1:5" ht="16.5" thickTop="1" thickBot="1" x14ac:dyDescent="0.3">
      <c r="A529" s="47" t="str">
        <f t="shared" si="13"/>
        <v/>
      </c>
      <c r="B529" s="48" t="str">
        <f>IFERROR(INDEX(AttendanceSheet!$B$7:$B537,MATCH('Mark Leave'!C529,AttendanceSheet!$C$7:$C563,0)),"")</f>
        <v/>
      </c>
      <c r="C529" s="38"/>
      <c r="D529" s="49"/>
      <c r="E529" s="40"/>
    </row>
    <row r="530" spans="1:5" ht="16.5" thickTop="1" thickBot="1" x14ac:dyDescent="0.3">
      <c r="A530" s="47" t="str">
        <f t="shared" si="13"/>
        <v/>
      </c>
      <c r="B530" s="48" t="str">
        <f>IFERROR(INDEX(AttendanceSheet!$B$7:$B538,MATCH('Mark Leave'!C530,AttendanceSheet!$C$7:$C564,0)),"")</f>
        <v/>
      </c>
      <c r="C530" s="38"/>
      <c r="D530" s="49"/>
      <c r="E530" s="40"/>
    </row>
    <row r="531" spans="1:5" ht="16.5" thickTop="1" thickBot="1" x14ac:dyDescent="0.3">
      <c r="A531" s="47" t="str">
        <f t="shared" si="13"/>
        <v/>
      </c>
      <c r="B531" s="48" t="str">
        <f>IFERROR(INDEX(AttendanceSheet!$B$7:$B539,MATCH('Mark Leave'!C531,AttendanceSheet!$C$7:$C565,0)),"")</f>
        <v/>
      </c>
      <c r="C531" s="38"/>
      <c r="D531" s="49"/>
      <c r="E531" s="40"/>
    </row>
    <row r="532" spans="1:5" ht="16.5" thickTop="1" thickBot="1" x14ac:dyDescent="0.3">
      <c r="A532" s="47" t="str">
        <f t="shared" si="13"/>
        <v/>
      </c>
      <c r="B532" s="48" t="str">
        <f>IFERROR(INDEX(AttendanceSheet!$B$7:$B540,MATCH('Mark Leave'!C532,AttendanceSheet!$C$7:$C566,0)),"")</f>
        <v/>
      </c>
      <c r="C532" s="38"/>
      <c r="D532" s="49"/>
      <c r="E532" s="40"/>
    </row>
    <row r="533" spans="1:5" ht="16.5" thickTop="1" thickBot="1" x14ac:dyDescent="0.3">
      <c r="A533" s="47" t="str">
        <f t="shared" si="13"/>
        <v/>
      </c>
      <c r="B533" s="48" t="str">
        <f>IFERROR(INDEX(AttendanceSheet!$B$7:$B541,MATCH('Mark Leave'!C533,AttendanceSheet!$C$7:$C567,0)),"")</f>
        <v/>
      </c>
      <c r="C533" s="38"/>
      <c r="D533" s="49"/>
      <c r="E533" s="40"/>
    </row>
    <row r="534" spans="1:5" ht="16.5" thickTop="1" thickBot="1" x14ac:dyDescent="0.3">
      <c r="A534" s="47" t="str">
        <f t="shared" ref="A534:A597" si="14">B534&amp;D534</f>
        <v/>
      </c>
      <c r="B534" s="48" t="str">
        <f>IFERROR(INDEX(AttendanceSheet!$B$7:$B542,MATCH('Mark Leave'!C534,AttendanceSheet!$C$7:$C568,0)),"")</f>
        <v/>
      </c>
      <c r="C534" s="38"/>
      <c r="D534" s="49"/>
      <c r="E534" s="40"/>
    </row>
    <row r="535" spans="1:5" ht="16.5" thickTop="1" thickBot="1" x14ac:dyDescent="0.3">
      <c r="A535" s="47" t="str">
        <f t="shared" si="14"/>
        <v/>
      </c>
      <c r="B535" s="48" t="str">
        <f>IFERROR(INDEX(AttendanceSheet!$B$7:$B543,MATCH('Mark Leave'!C535,AttendanceSheet!$C$7:$C569,0)),"")</f>
        <v/>
      </c>
      <c r="C535" s="38"/>
      <c r="D535" s="49"/>
      <c r="E535" s="40"/>
    </row>
    <row r="536" spans="1:5" ht="16.5" thickTop="1" thickBot="1" x14ac:dyDescent="0.3">
      <c r="A536" s="47" t="str">
        <f t="shared" si="14"/>
        <v/>
      </c>
      <c r="B536" s="48" t="str">
        <f>IFERROR(INDEX(AttendanceSheet!$B$7:$B544,MATCH('Mark Leave'!C536,AttendanceSheet!$C$7:$C570,0)),"")</f>
        <v/>
      </c>
      <c r="C536" s="38"/>
      <c r="D536" s="49"/>
      <c r="E536" s="40"/>
    </row>
    <row r="537" spans="1:5" ht="16.5" thickTop="1" thickBot="1" x14ac:dyDescent="0.3">
      <c r="A537" s="47" t="str">
        <f t="shared" si="14"/>
        <v/>
      </c>
      <c r="B537" s="48" t="str">
        <f>IFERROR(INDEX(AttendanceSheet!$B$7:$B545,MATCH('Mark Leave'!C537,AttendanceSheet!$C$7:$C571,0)),"")</f>
        <v/>
      </c>
      <c r="C537" s="38"/>
      <c r="D537" s="49"/>
      <c r="E537" s="40"/>
    </row>
    <row r="538" spans="1:5" ht="16.5" thickTop="1" thickBot="1" x14ac:dyDescent="0.3">
      <c r="A538" s="47" t="str">
        <f t="shared" si="14"/>
        <v/>
      </c>
      <c r="B538" s="48" t="str">
        <f>IFERROR(INDEX(AttendanceSheet!$B$7:$B546,MATCH('Mark Leave'!C538,AttendanceSheet!$C$7:$C572,0)),"")</f>
        <v/>
      </c>
      <c r="C538" s="38"/>
      <c r="D538" s="49"/>
      <c r="E538" s="40"/>
    </row>
    <row r="539" spans="1:5" ht="16.5" thickTop="1" thickBot="1" x14ac:dyDescent="0.3">
      <c r="A539" s="47" t="str">
        <f t="shared" si="14"/>
        <v/>
      </c>
      <c r="B539" s="48" t="str">
        <f>IFERROR(INDEX(AttendanceSheet!$B$7:$B547,MATCH('Mark Leave'!C539,AttendanceSheet!$C$7:$C573,0)),"")</f>
        <v/>
      </c>
      <c r="C539" s="38"/>
      <c r="D539" s="49"/>
      <c r="E539" s="40"/>
    </row>
    <row r="540" spans="1:5" ht="16.5" thickTop="1" thickBot="1" x14ac:dyDescent="0.3">
      <c r="A540" s="47" t="str">
        <f t="shared" si="14"/>
        <v/>
      </c>
      <c r="B540" s="48" t="str">
        <f>IFERROR(INDEX(AttendanceSheet!$B$7:$B548,MATCH('Mark Leave'!C540,AttendanceSheet!$C$7:$C574,0)),"")</f>
        <v/>
      </c>
      <c r="C540" s="38"/>
      <c r="D540" s="49"/>
      <c r="E540" s="40"/>
    </row>
    <row r="541" spans="1:5" ht="16.5" thickTop="1" thickBot="1" x14ac:dyDescent="0.3">
      <c r="A541" s="47" t="str">
        <f t="shared" si="14"/>
        <v/>
      </c>
      <c r="B541" s="48" t="str">
        <f>IFERROR(INDEX(AttendanceSheet!$B$7:$B549,MATCH('Mark Leave'!C541,AttendanceSheet!$C$7:$C575,0)),"")</f>
        <v/>
      </c>
      <c r="C541" s="38"/>
      <c r="D541" s="49"/>
      <c r="E541" s="40"/>
    </row>
    <row r="542" spans="1:5" ht="16.5" thickTop="1" thickBot="1" x14ac:dyDescent="0.3">
      <c r="A542" s="47" t="str">
        <f t="shared" si="14"/>
        <v/>
      </c>
      <c r="B542" s="48" t="str">
        <f>IFERROR(INDEX(AttendanceSheet!$B$7:$B550,MATCH('Mark Leave'!C542,AttendanceSheet!$C$7:$C576,0)),"")</f>
        <v/>
      </c>
      <c r="C542" s="38"/>
      <c r="D542" s="49"/>
      <c r="E542" s="40"/>
    </row>
    <row r="543" spans="1:5" ht="16.5" thickTop="1" thickBot="1" x14ac:dyDescent="0.3">
      <c r="A543" s="47" t="str">
        <f t="shared" si="14"/>
        <v/>
      </c>
      <c r="B543" s="48" t="str">
        <f>IFERROR(INDEX(AttendanceSheet!$B$7:$B551,MATCH('Mark Leave'!C543,AttendanceSheet!$C$7:$C577,0)),"")</f>
        <v/>
      </c>
      <c r="C543" s="38"/>
      <c r="D543" s="49"/>
      <c r="E543" s="40"/>
    </row>
    <row r="544" spans="1:5" ht="16.5" thickTop="1" thickBot="1" x14ac:dyDescent="0.3">
      <c r="A544" s="47" t="str">
        <f t="shared" si="14"/>
        <v/>
      </c>
      <c r="B544" s="48" t="str">
        <f>IFERROR(INDEX(AttendanceSheet!$B$7:$B552,MATCH('Mark Leave'!C544,AttendanceSheet!$C$7:$C578,0)),"")</f>
        <v/>
      </c>
      <c r="C544" s="38"/>
      <c r="D544" s="49"/>
      <c r="E544" s="40"/>
    </row>
    <row r="545" spans="1:5" ht="16.5" thickTop="1" thickBot="1" x14ac:dyDescent="0.3">
      <c r="A545" s="47" t="str">
        <f t="shared" si="14"/>
        <v/>
      </c>
      <c r="B545" s="48" t="str">
        <f>IFERROR(INDEX(AttendanceSheet!$B$7:$B553,MATCH('Mark Leave'!C545,AttendanceSheet!$C$7:$C579,0)),"")</f>
        <v/>
      </c>
      <c r="C545" s="38"/>
      <c r="D545" s="49"/>
      <c r="E545" s="40"/>
    </row>
    <row r="546" spans="1:5" ht="16.5" thickTop="1" thickBot="1" x14ac:dyDescent="0.3">
      <c r="A546" s="47" t="str">
        <f t="shared" si="14"/>
        <v/>
      </c>
      <c r="B546" s="48" t="str">
        <f>IFERROR(INDEX(AttendanceSheet!$B$7:$B554,MATCH('Mark Leave'!C546,AttendanceSheet!$C$7:$C580,0)),"")</f>
        <v/>
      </c>
      <c r="C546" s="38"/>
      <c r="D546" s="49"/>
      <c r="E546" s="40"/>
    </row>
    <row r="547" spans="1:5" ht="16.5" thickTop="1" thickBot="1" x14ac:dyDescent="0.3">
      <c r="A547" s="47" t="str">
        <f t="shared" si="14"/>
        <v/>
      </c>
      <c r="B547" s="48" t="str">
        <f>IFERROR(INDEX(AttendanceSheet!$B$7:$B555,MATCH('Mark Leave'!C547,AttendanceSheet!$C$7:$C581,0)),"")</f>
        <v/>
      </c>
      <c r="C547" s="38"/>
      <c r="D547" s="49"/>
      <c r="E547" s="40"/>
    </row>
    <row r="548" spans="1:5" ht="16.5" thickTop="1" thickBot="1" x14ac:dyDescent="0.3">
      <c r="A548" s="47" t="str">
        <f t="shared" si="14"/>
        <v/>
      </c>
      <c r="B548" s="48" t="str">
        <f>IFERROR(INDEX(AttendanceSheet!$B$7:$B556,MATCH('Mark Leave'!C548,AttendanceSheet!$C$7:$C582,0)),"")</f>
        <v/>
      </c>
      <c r="C548" s="38"/>
      <c r="D548" s="49"/>
      <c r="E548" s="40"/>
    </row>
    <row r="549" spans="1:5" ht="16.5" thickTop="1" thickBot="1" x14ac:dyDescent="0.3">
      <c r="A549" s="47" t="str">
        <f t="shared" si="14"/>
        <v/>
      </c>
      <c r="B549" s="48" t="str">
        <f>IFERROR(INDEX(AttendanceSheet!$B$7:$B557,MATCH('Mark Leave'!C549,AttendanceSheet!$C$7:$C583,0)),"")</f>
        <v/>
      </c>
      <c r="C549" s="38"/>
      <c r="D549" s="49"/>
      <c r="E549" s="40"/>
    </row>
    <row r="550" spans="1:5" ht="16.5" thickTop="1" thickBot="1" x14ac:dyDescent="0.3">
      <c r="A550" s="47" t="str">
        <f t="shared" si="14"/>
        <v/>
      </c>
      <c r="B550" s="48" t="str">
        <f>IFERROR(INDEX(AttendanceSheet!$B$7:$B558,MATCH('Mark Leave'!C550,AttendanceSheet!$C$7:$C584,0)),"")</f>
        <v/>
      </c>
      <c r="C550" s="38"/>
      <c r="D550" s="49"/>
      <c r="E550" s="40"/>
    </row>
    <row r="551" spans="1:5" ht="16.5" thickTop="1" thickBot="1" x14ac:dyDescent="0.3">
      <c r="A551" s="47" t="str">
        <f t="shared" si="14"/>
        <v/>
      </c>
      <c r="B551" s="48" t="str">
        <f>IFERROR(INDEX(AttendanceSheet!$B$7:$B559,MATCH('Mark Leave'!C551,AttendanceSheet!$C$7:$C585,0)),"")</f>
        <v/>
      </c>
      <c r="C551" s="38"/>
      <c r="D551" s="49"/>
      <c r="E551" s="40"/>
    </row>
    <row r="552" spans="1:5" ht="16.5" thickTop="1" thickBot="1" x14ac:dyDescent="0.3">
      <c r="A552" s="47" t="str">
        <f t="shared" si="14"/>
        <v/>
      </c>
      <c r="B552" s="48" t="str">
        <f>IFERROR(INDEX(AttendanceSheet!$B$7:$B560,MATCH('Mark Leave'!C552,AttendanceSheet!$C$7:$C586,0)),"")</f>
        <v/>
      </c>
      <c r="C552" s="38"/>
      <c r="D552" s="49"/>
      <c r="E552" s="40"/>
    </row>
    <row r="553" spans="1:5" ht="16.5" thickTop="1" thickBot="1" x14ac:dyDescent="0.3">
      <c r="A553" s="47" t="str">
        <f t="shared" si="14"/>
        <v/>
      </c>
      <c r="B553" s="48" t="str">
        <f>IFERROR(INDEX(AttendanceSheet!$B$7:$B561,MATCH('Mark Leave'!C553,AttendanceSheet!$C$7:$C587,0)),"")</f>
        <v/>
      </c>
      <c r="C553" s="38"/>
      <c r="D553" s="49"/>
      <c r="E553" s="40"/>
    </row>
    <row r="554" spans="1:5" ht="16.5" thickTop="1" thickBot="1" x14ac:dyDescent="0.3">
      <c r="A554" s="47" t="str">
        <f t="shared" si="14"/>
        <v/>
      </c>
      <c r="B554" s="48" t="str">
        <f>IFERROR(INDEX(AttendanceSheet!$B$7:$B562,MATCH('Mark Leave'!C554,AttendanceSheet!$C$7:$C588,0)),"")</f>
        <v/>
      </c>
      <c r="C554" s="38"/>
      <c r="D554" s="49"/>
      <c r="E554" s="40"/>
    </row>
    <row r="555" spans="1:5" ht="16.5" thickTop="1" thickBot="1" x14ac:dyDescent="0.3">
      <c r="A555" s="47" t="str">
        <f t="shared" si="14"/>
        <v/>
      </c>
      <c r="B555" s="48" t="str">
        <f>IFERROR(INDEX(AttendanceSheet!$B$7:$B563,MATCH('Mark Leave'!C555,AttendanceSheet!$C$7:$C589,0)),"")</f>
        <v/>
      </c>
      <c r="C555" s="38"/>
      <c r="D555" s="49"/>
      <c r="E555" s="40"/>
    </row>
    <row r="556" spans="1:5" ht="16.5" thickTop="1" thickBot="1" x14ac:dyDescent="0.3">
      <c r="A556" s="47" t="str">
        <f t="shared" si="14"/>
        <v/>
      </c>
      <c r="B556" s="48" t="str">
        <f>IFERROR(INDEX(AttendanceSheet!$B$7:$B564,MATCH('Mark Leave'!C556,AttendanceSheet!$C$7:$C590,0)),"")</f>
        <v/>
      </c>
      <c r="C556" s="38"/>
      <c r="D556" s="49"/>
      <c r="E556" s="40"/>
    </row>
    <row r="557" spans="1:5" ht="16.5" thickTop="1" thickBot="1" x14ac:dyDescent="0.3">
      <c r="A557" s="47" t="str">
        <f t="shared" si="14"/>
        <v/>
      </c>
      <c r="B557" s="48" t="str">
        <f>IFERROR(INDEX(AttendanceSheet!$B$7:$B565,MATCH('Mark Leave'!C557,AttendanceSheet!$C$7:$C591,0)),"")</f>
        <v/>
      </c>
      <c r="C557" s="38"/>
      <c r="D557" s="49"/>
      <c r="E557" s="40"/>
    </row>
    <row r="558" spans="1:5" ht="16.5" thickTop="1" thickBot="1" x14ac:dyDescent="0.3">
      <c r="A558" s="47" t="str">
        <f t="shared" si="14"/>
        <v/>
      </c>
      <c r="B558" s="48" t="str">
        <f>IFERROR(INDEX(AttendanceSheet!$B$7:$B566,MATCH('Mark Leave'!C558,AttendanceSheet!$C$7:$C592,0)),"")</f>
        <v/>
      </c>
      <c r="C558" s="38"/>
      <c r="D558" s="49"/>
      <c r="E558" s="40"/>
    </row>
    <row r="559" spans="1:5" ht="16.5" thickTop="1" thickBot="1" x14ac:dyDescent="0.3">
      <c r="A559" s="47" t="str">
        <f t="shared" si="14"/>
        <v/>
      </c>
      <c r="B559" s="48" t="str">
        <f>IFERROR(INDEX(AttendanceSheet!$B$7:$B567,MATCH('Mark Leave'!C559,AttendanceSheet!$C$7:$C593,0)),"")</f>
        <v/>
      </c>
      <c r="C559" s="38"/>
      <c r="D559" s="49"/>
      <c r="E559" s="40"/>
    </row>
    <row r="560" spans="1:5" ht="16.5" thickTop="1" thickBot="1" x14ac:dyDescent="0.3">
      <c r="A560" s="47" t="str">
        <f t="shared" si="14"/>
        <v/>
      </c>
      <c r="B560" s="48" t="str">
        <f>IFERROR(INDEX(AttendanceSheet!$B$7:$B568,MATCH('Mark Leave'!C560,AttendanceSheet!$C$7:$C594,0)),"")</f>
        <v/>
      </c>
      <c r="C560" s="38"/>
      <c r="D560" s="49"/>
      <c r="E560" s="40"/>
    </row>
    <row r="561" spans="1:5" ht="16.5" thickTop="1" thickBot="1" x14ac:dyDescent="0.3">
      <c r="A561" s="47" t="str">
        <f t="shared" si="14"/>
        <v/>
      </c>
      <c r="B561" s="48" t="str">
        <f>IFERROR(INDEX(AttendanceSheet!$B$7:$B569,MATCH('Mark Leave'!C561,AttendanceSheet!$C$7:$C595,0)),"")</f>
        <v/>
      </c>
      <c r="C561" s="38"/>
      <c r="D561" s="49"/>
      <c r="E561" s="40"/>
    </row>
    <row r="562" spans="1:5" ht="16.5" thickTop="1" thickBot="1" x14ac:dyDescent="0.3">
      <c r="A562" s="47" t="str">
        <f t="shared" si="14"/>
        <v/>
      </c>
      <c r="B562" s="48" t="str">
        <f>IFERROR(INDEX(AttendanceSheet!$B$7:$B570,MATCH('Mark Leave'!C562,AttendanceSheet!$C$7:$C596,0)),"")</f>
        <v/>
      </c>
      <c r="C562" s="38"/>
      <c r="D562" s="49"/>
      <c r="E562" s="40"/>
    </row>
    <row r="563" spans="1:5" ht="16.5" thickTop="1" thickBot="1" x14ac:dyDescent="0.3">
      <c r="A563" s="47" t="str">
        <f t="shared" si="14"/>
        <v/>
      </c>
      <c r="B563" s="48" t="str">
        <f>IFERROR(INDEX(AttendanceSheet!$B$7:$B571,MATCH('Mark Leave'!C563,AttendanceSheet!$C$7:$C597,0)),"")</f>
        <v/>
      </c>
      <c r="C563" s="38"/>
      <c r="D563" s="49"/>
      <c r="E563" s="40"/>
    </row>
    <row r="564" spans="1:5" ht="16.5" thickTop="1" thickBot="1" x14ac:dyDescent="0.3">
      <c r="A564" s="47" t="str">
        <f t="shared" si="14"/>
        <v/>
      </c>
      <c r="B564" s="48" t="str">
        <f>IFERROR(INDEX(AttendanceSheet!$B$7:$B572,MATCH('Mark Leave'!C564,AttendanceSheet!$C$7:$C598,0)),"")</f>
        <v/>
      </c>
      <c r="C564" s="38"/>
      <c r="D564" s="49"/>
      <c r="E564" s="40"/>
    </row>
    <row r="565" spans="1:5" ht="16.5" thickTop="1" thickBot="1" x14ac:dyDescent="0.3">
      <c r="A565" s="47" t="str">
        <f t="shared" si="14"/>
        <v/>
      </c>
      <c r="B565" s="48" t="str">
        <f>IFERROR(INDEX(AttendanceSheet!$B$7:$B573,MATCH('Mark Leave'!C565,AttendanceSheet!$C$7:$C599,0)),"")</f>
        <v/>
      </c>
      <c r="C565" s="38"/>
      <c r="D565" s="49"/>
      <c r="E565" s="40"/>
    </row>
    <row r="566" spans="1:5" ht="16.5" thickTop="1" thickBot="1" x14ac:dyDescent="0.3">
      <c r="A566" s="47" t="str">
        <f t="shared" si="14"/>
        <v/>
      </c>
      <c r="B566" s="48" t="str">
        <f>IFERROR(INDEX(AttendanceSheet!$B$7:$B574,MATCH('Mark Leave'!C566,AttendanceSheet!$C$7:$C600,0)),"")</f>
        <v/>
      </c>
      <c r="C566" s="38"/>
      <c r="D566" s="49"/>
      <c r="E566" s="40"/>
    </row>
    <row r="567" spans="1:5" ht="16.5" thickTop="1" thickBot="1" x14ac:dyDescent="0.3">
      <c r="A567" s="47" t="str">
        <f t="shared" si="14"/>
        <v/>
      </c>
      <c r="B567" s="48" t="str">
        <f>IFERROR(INDEX(AttendanceSheet!$B$7:$B575,MATCH('Mark Leave'!C567,AttendanceSheet!$C$7:$C601,0)),"")</f>
        <v/>
      </c>
      <c r="C567" s="38"/>
      <c r="D567" s="49"/>
      <c r="E567" s="40"/>
    </row>
    <row r="568" spans="1:5" ht="16.5" thickTop="1" thickBot="1" x14ac:dyDescent="0.3">
      <c r="A568" s="47" t="str">
        <f t="shared" si="14"/>
        <v/>
      </c>
      <c r="B568" s="48" t="str">
        <f>IFERROR(INDEX(AttendanceSheet!$B$7:$B576,MATCH('Mark Leave'!C568,AttendanceSheet!$C$7:$C602,0)),"")</f>
        <v/>
      </c>
      <c r="C568" s="38"/>
      <c r="D568" s="49"/>
      <c r="E568" s="40"/>
    </row>
    <row r="569" spans="1:5" ht="16.5" thickTop="1" thickBot="1" x14ac:dyDescent="0.3">
      <c r="A569" s="47" t="str">
        <f t="shared" si="14"/>
        <v/>
      </c>
      <c r="B569" s="48" t="str">
        <f>IFERROR(INDEX(AttendanceSheet!$B$7:$B577,MATCH('Mark Leave'!C569,AttendanceSheet!$C$7:$C603,0)),"")</f>
        <v/>
      </c>
      <c r="C569" s="38"/>
      <c r="D569" s="49"/>
      <c r="E569" s="40"/>
    </row>
    <row r="570" spans="1:5" ht="16.5" thickTop="1" thickBot="1" x14ac:dyDescent="0.3">
      <c r="A570" s="47" t="str">
        <f t="shared" si="14"/>
        <v/>
      </c>
      <c r="B570" s="48" t="str">
        <f>IFERROR(INDEX(AttendanceSheet!$B$7:$B578,MATCH('Mark Leave'!C570,AttendanceSheet!$C$7:$C604,0)),"")</f>
        <v/>
      </c>
      <c r="C570" s="38"/>
      <c r="D570" s="49"/>
      <c r="E570" s="40"/>
    </row>
    <row r="571" spans="1:5" ht="16.5" thickTop="1" thickBot="1" x14ac:dyDescent="0.3">
      <c r="A571" s="47" t="str">
        <f t="shared" si="14"/>
        <v/>
      </c>
      <c r="B571" s="48" t="str">
        <f>IFERROR(INDEX(AttendanceSheet!$B$7:$B579,MATCH('Mark Leave'!C571,AttendanceSheet!$C$7:$C605,0)),"")</f>
        <v/>
      </c>
      <c r="C571" s="38"/>
      <c r="D571" s="49"/>
      <c r="E571" s="40"/>
    </row>
    <row r="572" spans="1:5" ht="16.5" thickTop="1" thickBot="1" x14ac:dyDescent="0.3">
      <c r="A572" s="47" t="str">
        <f t="shared" si="14"/>
        <v/>
      </c>
      <c r="B572" s="48" t="str">
        <f>IFERROR(INDEX(AttendanceSheet!$B$7:$B580,MATCH('Mark Leave'!C572,AttendanceSheet!$C$7:$C606,0)),"")</f>
        <v/>
      </c>
      <c r="C572" s="38"/>
      <c r="D572" s="49"/>
      <c r="E572" s="40"/>
    </row>
    <row r="573" spans="1:5" ht="16.5" thickTop="1" thickBot="1" x14ac:dyDescent="0.3">
      <c r="A573" s="47" t="str">
        <f t="shared" si="14"/>
        <v/>
      </c>
      <c r="B573" s="48" t="str">
        <f>IFERROR(INDEX(AttendanceSheet!$B$7:$B581,MATCH('Mark Leave'!C573,AttendanceSheet!$C$7:$C607,0)),"")</f>
        <v/>
      </c>
      <c r="C573" s="38"/>
      <c r="D573" s="49"/>
      <c r="E573" s="40"/>
    </row>
    <row r="574" spans="1:5" ht="16.5" thickTop="1" thickBot="1" x14ac:dyDescent="0.3">
      <c r="A574" s="47" t="str">
        <f t="shared" si="14"/>
        <v/>
      </c>
      <c r="B574" s="48" t="str">
        <f>IFERROR(INDEX(AttendanceSheet!$B$7:$B582,MATCH('Mark Leave'!C574,AttendanceSheet!$C$7:$C608,0)),"")</f>
        <v/>
      </c>
      <c r="C574" s="38"/>
      <c r="D574" s="49"/>
      <c r="E574" s="40"/>
    </row>
    <row r="575" spans="1:5" ht="16.5" thickTop="1" thickBot="1" x14ac:dyDescent="0.3">
      <c r="A575" s="47" t="str">
        <f t="shared" si="14"/>
        <v/>
      </c>
      <c r="B575" s="48" t="str">
        <f>IFERROR(INDEX(AttendanceSheet!$B$7:$B583,MATCH('Mark Leave'!C575,AttendanceSheet!$C$7:$C609,0)),"")</f>
        <v/>
      </c>
      <c r="C575" s="38"/>
      <c r="D575" s="49"/>
      <c r="E575" s="40"/>
    </row>
    <row r="576" spans="1:5" ht="16.5" thickTop="1" thickBot="1" x14ac:dyDescent="0.3">
      <c r="A576" s="47" t="str">
        <f t="shared" si="14"/>
        <v/>
      </c>
      <c r="B576" s="48" t="str">
        <f>IFERROR(INDEX(AttendanceSheet!$B$7:$B584,MATCH('Mark Leave'!C576,AttendanceSheet!$C$7:$C610,0)),"")</f>
        <v/>
      </c>
      <c r="C576" s="38"/>
      <c r="D576" s="49"/>
      <c r="E576" s="40"/>
    </row>
    <row r="577" spans="1:5" ht="16.5" thickTop="1" thickBot="1" x14ac:dyDescent="0.3">
      <c r="A577" s="47" t="str">
        <f t="shared" si="14"/>
        <v/>
      </c>
      <c r="B577" s="48" t="str">
        <f>IFERROR(INDEX(AttendanceSheet!$B$7:$B585,MATCH('Mark Leave'!C577,AttendanceSheet!$C$7:$C611,0)),"")</f>
        <v/>
      </c>
      <c r="C577" s="38"/>
      <c r="D577" s="49"/>
      <c r="E577" s="40"/>
    </row>
    <row r="578" spans="1:5" ht="16.5" thickTop="1" thickBot="1" x14ac:dyDescent="0.3">
      <c r="A578" s="47" t="str">
        <f t="shared" si="14"/>
        <v/>
      </c>
      <c r="B578" s="48" t="str">
        <f>IFERROR(INDEX(AttendanceSheet!$B$7:$B586,MATCH('Mark Leave'!C578,AttendanceSheet!$C$7:$C612,0)),"")</f>
        <v/>
      </c>
      <c r="C578" s="38"/>
      <c r="D578" s="49"/>
      <c r="E578" s="40"/>
    </row>
    <row r="579" spans="1:5" ht="16.5" thickTop="1" thickBot="1" x14ac:dyDescent="0.3">
      <c r="A579" s="47" t="str">
        <f t="shared" si="14"/>
        <v/>
      </c>
      <c r="B579" s="48" t="str">
        <f>IFERROR(INDEX(AttendanceSheet!$B$7:$B587,MATCH('Mark Leave'!C579,AttendanceSheet!$C$7:$C613,0)),"")</f>
        <v/>
      </c>
      <c r="C579" s="38"/>
      <c r="D579" s="49"/>
      <c r="E579" s="40"/>
    </row>
    <row r="580" spans="1:5" ht="16.5" thickTop="1" thickBot="1" x14ac:dyDescent="0.3">
      <c r="A580" s="47" t="str">
        <f t="shared" si="14"/>
        <v/>
      </c>
      <c r="B580" s="48" t="str">
        <f>IFERROR(INDEX(AttendanceSheet!$B$7:$B588,MATCH('Mark Leave'!C580,AttendanceSheet!$C$7:$C614,0)),"")</f>
        <v/>
      </c>
      <c r="C580" s="38"/>
      <c r="D580" s="49"/>
      <c r="E580" s="40"/>
    </row>
    <row r="581" spans="1:5" ht="16.5" thickTop="1" thickBot="1" x14ac:dyDescent="0.3">
      <c r="A581" s="47" t="str">
        <f t="shared" si="14"/>
        <v/>
      </c>
      <c r="B581" s="48" t="str">
        <f>IFERROR(INDEX(AttendanceSheet!$B$7:$B589,MATCH('Mark Leave'!C581,AttendanceSheet!$C$7:$C615,0)),"")</f>
        <v/>
      </c>
      <c r="C581" s="38"/>
      <c r="D581" s="49"/>
      <c r="E581" s="40"/>
    </row>
    <row r="582" spans="1:5" ht="16.5" thickTop="1" thickBot="1" x14ac:dyDescent="0.3">
      <c r="A582" s="47" t="str">
        <f t="shared" si="14"/>
        <v/>
      </c>
      <c r="B582" s="48" t="str">
        <f>IFERROR(INDEX(AttendanceSheet!$B$7:$B590,MATCH('Mark Leave'!C582,AttendanceSheet!$C$7:$C616,0)),"")</f>
        <v/>
      </c>
      <c r="C582" s="38"/>
      <c r="D582" s="49"/>
      <c r="E582" s="40"/>
    </row>
    <row r="583" spans="1:5" ht="16.5" thickTop="1" thickBot="1" x14ac:dyDescent="0.3">
      <c r="A583" s="47" t="str">
        <f t="shared" si="14"/>
        <v/>
      </c>
      <c r="B583" s="48" t="str">
        <f>IFERROR(INDEX(AttendanceSheet!$B$7:$B591,MATCH('Mark Leave'!C583,AttendanceSheet!$C$7:$C617,0)),"")</f>
        <v/>
      </c>
      <c r="C583" s="38"/>
      <c r="D583" s="49"/>
      <c r="E583" s="40"/>
    </row>
    <row r="584" spans="1:5" ht="16.5" thickTop="1" thickBot="1" x14ac:dyDescent="0.3">
      <c r="A584" s="47" t="str">
        <f t="shared" si="14"/>
        <v/>
      </c>
      <c r="B584" s="48" t="str">
        <f>IFERROR(INDEX(AttendanceSheet!$B$7:$B592,MATCH('Mark Leave'!C584,AttendanceSheet!$C$7:$C618,0)),"")</f>
        <v/>
      </c>
      <c r="C584" s="38"/>
      <c r="D584" s="49"/>
      <c r="E584" s="40"/>
    </row>
    <row r="585" spans="1:5" ht="16.5" thickTop="1" thickBot="1" x14ac:dyDescent="0.3">
      <c r="A585" s="47" t="str">
        <f t="shared" si="14"/>
        <v/>
      </c>
      <c r="B585" s="48" t="str">
        <f>IFERROR(INDEX(AttendanceSheet!$B$7:$B593,MATCH('Mark Leave'!C585,AttendanceSheet!$C$7:$C619,0)),"")</f>
        <v/>
      </c>
      <c r="C585" s="38"/>
      <c r="D585" s="49"/>
      <c r="E585" s="40"/>
    </row>
    <row r="586" spans="1:5" ht="16.5" thickTop="1" thickBot="1" x14ac:dyDescent="0.3">
      <c r="A586" s="47" t="str">
        <f t="shared" si="14"/>
        <v/>
      </c>
      <c r="B586" s="48" t="str">
        <f>IFERROR(INDEX(AttendanceSheet!$B$7:$B594,MATCH('Mark Leave'!C586,AttendanceSheet!$C$7:$C620,0)),"")</f>
        <v/>
      </c>
      <c r="C586" s="38"/>
      <c r="D586" s="49"/>
      <c r="E586" s="40"/>
    </row>
    <row r="587" spans="1:5" ht="16.5" thickTop="1" thickBot="1" x14ac:dyDescent="0.3">
      <c r="A587" s="47" t="str">
        <f t="shared" si="14"/>
        <v/>
      </c>
      <c r="B587" s="48" t="str">
        <f>IFERROR(INDEX(AttendanceSheet!$B$7:$B595,MATCH('Mark Leave'!C587,AttendanceSheet!$C$7:$C621,0)),"")</f>
        <v/>
      </c>
      <c r="C587" s="38"/>
      <c r="D587" s="49"/>
      <c r="E587" s="40"/>
    </row>
    <row r="588" spans="1:5" ht="16.5" thickTop="1" thickBot="1" x14ac:dyDescent="0.3">
      <c r="A588" s="47" t="str">
        <f t="shared" si="14"/>
        <v/>
      </c>
      <c r="B588" s="48" t="str">
        <f>IFERROR(INDEX(AttendanceSheet!$B$7:$B596,MATCH('Mark Leave'!C588,AttendanceSheet!$C$7:$C622,0)),"")</f>
        <v/>
      </c>
      <c r="C588" s="38"/>
      <c r="D588" s="49"/>
      <c r="E588" s="40"/>
    </row>
    <row r="589" spans="1:5" ht="16.5" thickTop="1" thickBot="1" x14ac:dyDescent="0.3">
      <c r="A589" s="47" t="str">
        <f t="shared" si="14"/>
        <v/>
      </c>
      <c r="B589" s="48" t="str">
        <f>IFERROR(INDEX(AttendanceSheet!$B$7:$B597,MATCH('Mark Leave'!C589,AttendanceSheet!$C$7:$C623,0)),"")</f>
        <v/>
      </c>
      <c r="C589" s="38"/>
      <c r="D589" s="49"/>
      <c r="E589" s="40"/>
    </row>
    <row r="590" spans="1:5" ht="16.5" thickTop="1" thickBot="1" x14ac:dyDescent="0.3">
      <c r="A590" s="47" t="str">
        <f t="shared" si="14"/>
        <v/>
      </c>
      <c r="B590" s="48" t="str">
        <f>IFERROR(INDEX(AttendanceSheet!$B$7:$B598,MATCH('Mark Leave'!C590,AttendanceSheet!$C$7:$C624,0)),"")</f>
        <v/>
      </c>
      <c r="C590" s="38"/>
      <c r="D590" s="49"/>
      <c r="E590" s="40"/>
    </row>
    <row r="591" spans="1:5" ht="16.5" thickTop="1" thickBot="1" x14ac:dyDescent="0.3">
      <c r="A591" s="47" t="str">
        <f t="shared" si="14"/>
        <v/>
      </c>
      <c r="B591" s="48" t="str">
        <f>IFERROR(INDEX(AttendanceSheet!$B$7:$B599,MATCH('Mark Leave'!C591,AttendanceSheet!$C$7:$C625,0)),"")</f>
        <v/>
      </c>
      <c r="C591" s="38"/>
      <c r="D591" s="49"/>
      <c r="E591" s="40"/>
    </row>
    <row r="592" spans="1:5" ht="16.5" thickTop="1" thickBot="1" x14ac:dyDescent="0.3">
      <c r="A592" s="47" t="str">
        <f t="shared" si="14"/>
        <v/>
      </c>
      <c r="B592" s="48" t="str">
        <f>IFERROR(INDEX(AttendanceSheet!$B$7:$B600,MATCH('Mark Leave'!C592,AttendanceSheet!$C$7:$C626,0)),"")</f>
        <v/>
      </c>
      <c r="C592" s="38"/>
      <c r="D592" s="49"/>
      <c r="E592" s="40"/>
    </row>
    <row r="593" spans="1:5" ht="16.5" thickTop="1" thickBot="1" x14ac:dyDescent="0.3">
      <c r="A593" s="47" t="str">
        <f t="shared" si="14"/>
        <v/>
      </c>
      <c r="B593" s="48" t="str">
        <f>IFERROR(INDEX(AttendanceSheet!$B$7:$B601,MATCH('Mark Leave'!C593,AttendanceSheet!$C$7:$C627,0)),"")</f>
        <v/>
      </c>
      <c r="C593" s="38"/>
      <c r="D593" s="49"/>
      <c r="E593" s="40"/>
    </row>
    <row r="594" spans="1:5" ht="16.5" thickTop="1" thickBot="1" x14ac:dyDescent="0.3">
      <c r="A594" s="47" t="str">
        <f t="shared" si="14"/>
        <v/>
      </c>
      <c r="B594" s="48" t="str">
        <f>IFERROR(INDEX(AttendanceSheet!$B$7:$B602,MATCH('Mark Leave'!C594,AttendanceSheet!$C$7:$C628,0)),"")</f>
        <v/>
      </c>
      <c r="C594" s="38"/>
      <c r="D594" s="49"/>
      <c r="E594" s="40"/>
    </row>
    <row r="595" spans="1:5" ht="16.5" thickTop="1" thickBot="1" x14ac:dyDescent="0.3">
      <c r="A595" s="47" t="str">
        <f t="shared" si="14"/>
        <v/>
      </c>
      <c r="B595" s="48" t="str">
        <f>IFERROR(INDEX(AttendanceSheet!$B$7:$B603,MATCH('Mark Leave'!C595,AttendanceSheet!$C$7:$C629,0)),"")</f>
        <v/>
      </c>
      <c r="C595" s="38"/>
      <c r="D595" s="49"/>
      <c r="E595" s="40"/>
    </row>
    <row r="596" spans="1:5" ht="16.5" thickTop="1" thickBot="1" x14ac:dyDescent="0.3">
      <c r="A596" s="47" t="str">
        <f t="shared" si="14"/>
        <v/>
      </c>
      <c r="B596" s="48" t="str">
        <f>IFERROR(INDEX(AttendanceSheet!$B$7:$B604,MATCH('Mark Leave'!C596,AttendanceSheet!$C$7:$C630,0)),"")</f>
        <v/>
      </c>
      <c r="C596" s="38"/>
      <c r="D596" s="49"/>
      <c r="E596" s="40"/>
    </row>
    <row r="597" spans="1:5" ht="16.5" thickTop="1" thickBot="1" x14ac:dyDescent="0.3">
      <c r="A597" s="47" t="str">
        <f t="shared" si="14"/>
        <v/>
      </c>
      <c r="B597" s="48" t="str">
        <f>IFERROR(INDEX(AttendanceSheet!$B$7:$B605,MATCH('Mark Leave'!C597,AttendanceSheet!$C$7:$C631,0)),"")</f>
        <v/>
      </c>
      <c r="C597" s="38"/>
      <c r="D597" s="49"/>
      <c r="E597" s="40"/>
    </row>
    <row r="598" spans="1:5" ht="16.5" thickTop="1" thickBot="1" x14ac:dyDescent="0.3">
      <c r="A598" s="47" t="str">
        <f t="shared" ref="A598:A661" si="15">B598&amp;D598</f>
        <v/>
      </c>
      <c r="B598" s="48" t="str">
        <f>IFERROR(INDEX(AttendanceSheet!$B$7:$B606,MATCH('Mark Leave'!C598,AttendanceSheet!$C$7:$C632,0)),"")</f>
        <v/>
      </c>
      <c r="C598" s="38"/>
      <c r="D598" s="49"/>
      <c r="E598" s="40"/>
    </row>
    <row r="599" spans="1:5" ht="16.5" thickTop="1" thickBot="1" x14ac:dyDescent="0.3">
      <c r="A599" s="47" t="str">
        <f t="shared" si="15"/>
        <v/>
      </c>
      <c r="B599" s="48" t="str">
        <f>IFERROR(INDEX(AttendanceSheet!$B$7:$B607,MATCH('Mark Leave'!C599,AttendanceSheet!$C$7:$C633,0)),"")</f>
        <v/>
      </c>
      <c r="C599" s="38"/>
      <c r="D599" s="49"/>
      <c r="E599" s="40"/>
    </row>
    <row r="600" spans="1:5" ht="16.5" thickTop="1" thickBot="1" x14ac:dyDescent="0.3">
      <c r="A600" s="47" t="str">
        <f t="shared" si="15"/>
        <v/>
      </c>
      <c r="B600" s="48" t="str">
        <f>IFERROR(INDEX(AttendanceSheet!$B$7:$B608,MATCH('Mark Leave'!C600,AttendanceSheet!$C$7:$C634,0)),"")</f>
        <v/>
      </c>
      <c r="C600" s="38"/>
      <c r="D600" s="49"/>
      <c r="E600" s="40"/>
    </row>
    <row r="601" spans="1:5" ht="16.5" thickTop="1" thickBot="1" x14ac:dyDescent="0.3">
      <c r="A601" s="47" t="str">
        <f t="shared" si="15"/>
        <v/>
      </c>
      <c r="B601" s="48" t="str">
        <f>IFERROR(INDEX(AttendanceSheet!$B$7:$B609,MATCH('Mark Leave'!C601,AttendanceSheet!$C$7:$C635,0)),"")</f>
        <v/>
      </c>
      <c r="C601" s="38"/>
      <c r="D601" s="49"/>
      <c r="E601" s="40"/>
    </row>
    <row r="602" spans="1:5" ht="16.5" thickTop="1" thickBot="1" x14ac:dyDescent="0.3">
      <c r="A602" s="47" t="str">
        <f t="shared" si="15"/>
        <v/>
      </c>
      <c r="B602" s="48" t="str">
        <f>IFERROR(INDEX(AttendanceSheet!$B$7:$B610,MATCH('Mark Leave'!C602,AttendanceSheet!$C$7:$C636,0)),"")</f>
        <v/>
      </c>
      <c r="C602" s="38"/>
      <c r="D602" s="49"/>
      <c r="E602" s="40"/>
    </row>
    <row r="603" spans="1:5" ht="16.5" thickTop="1" thickBot="1" x14ac:dyDescent="0.3">
      <c r="A603" s="47" t="str">
        <f t="shared" si="15"/>
        <v/>
      </c>
      <c r="B603" s="48" t="str">
        <f>IFERROR(INDEX(AttendanceSheet!$B$7:$B611,MATCH('Mark Leave'!C603,AttendanceSheet!$C$7:$C637,0)),"")</f>
        <v/>
      </c>
      <c r="C603" s="38"/>
      <c r="D603" s="49"/>
      <c r="E603" s="40"/>
    </row>
    <row r="604" spans="1:5" ht="16.5" thickTop="1" thickBot="1" x14ac:dyDescent="0.3">
      <c r="A604" s="47" t="str">
        <f t="shared" si="15"/>
        <v/>
      </c>
      <c r="B604" s="48" t="str">
        <f>IFERROR(INDEX(AttendanceSheet!$B$7:$B612,MATCH('Mark Leave'!C604,AttendanceSheet!$C$7:$C638,0)),"")</f>
        <v/>
      </c>
      <c r="C604" s="38"/>
      <c r="D604" s="49"/>
      <c r="E604" s="40"/>
    </row>
    <row r="605" spans="1:5" ht="16.5" thickTop="1" thickBot="1" x14ac:dyDescent="0.3">
      <c r="A605" s="47" t="str">
        <f t="shared" si="15"/>
        <v/>
      </c>
      <c r="B605" s="48" t="str">
        <f>IFERROR(INDEX(AttendanceSheet!$B$7:$B613,MATCH('Mark Leave'!C605,AttendanceSheet!$C$7:$C639,0)),"")</f>
        <v/>
      </c>
      <c r="C605" s="38"/>
      <c r="D605" s="49"/>
      <c r="E605" s="40"/>
    </row>
    <row r="606" spans="1:5" ht="16.5" thickTop="1" thickBot="1" x14ac:dyDescent="0.3">
      <c r="A606" s="47" t="str">
        <f t="shared" si="15"/>
        <v/>
      </c>
      <c r="B606" s="48" t="str">
        <f>IFERROR(INDEX(AttendanceSheet!$B$7:$B614,MATCH('Mark Leave'!C606,AttendanceSheet!$C$7:$C640,0)),"")</f>
        <v/>
      </c>
      <c r="C606" s="38"/>
      <c r="D606" s="49"/>
      <c r="E606" s="40"/>
    </row>
    <row r="607" spans="1:5" ht="16.5" thickTop="1" thickBot="1" x14ac:dyDescent="0.3">
      <c r="A607" s="47" t="str">
        <f t="shared" si="15"/>
        <v/>
      </c>
      <c r="B607" s="48" t="str">
        <f>IFERROR(INDEX(AttendanceSheet!$B$7:$B615,MATCH('Mark Leave'!C607,AttendanceSheet!$C$7:$C641,0)),"")</f>
        <v/>
      </c>
      <c r="C607" s="38"/>
      <c r="D607" s="49"/>
      <c r="E607" s="40"/>
    </row>
    <row r="608" spans="1:5" ht="16.5" thickTop="1" thickBot="1" x14ac:dyDescent="0.3">
      <c r="A608" s="47" t="str">
        <f t="shared" si="15"/>
        <v/>
      </c>
      <c r="B608" s="48" t="str">
        <f>IFERROR(INDEX(AttendanceSheet!$B$7:$B616,MATCH('Mark Leave'!C608,AttendanceSheet!$C$7:$C642,0)),"")</f>
        <v/>
      </c>
      <c r="C608" s="38"/>
      <c r="D608" s="49"/>
      <c r="E608" s="40"/>
    </row>
    <row r="609" spans="1:5" ht="16.5" thickTop="1" thickBot="1" x14ac:dyDescent="0.3">
      <c r="A609" s="47" t="str">
        <f t="shared" si="15"/>
        <v/>
      </c>
      <c r="B609" s="48" t="str">
        <f>IFERROR(INDEX(AttendanceSheet!$B$7:$B617,MATCH('Mark Leave'!C609,AttendanceSheet!$C$7:$C643,0)),"")</f>
        <v/>
      </c>
      <c r="C609" s="38"/>
      <c r="D609" s="49"/>
      <c r="E609" s="40"/>
    </row>
    <row r="610" spans="1:5" ht="16.5" thickTop="1" thickBot="1" x14ac:dyDescent="0.3">
      <c r="A610" s="47" t="str">
        <f t="shared" si="15"/>
        <v/>
      </c>
      <c r="B610" s="48" t="str">
        <f>IFERROR(INDEX(AttendanceSheet!$B$7:$B618,MATCH('Mark Leave'!C610,AttendanceSheet!$C$7:$C644,0)),"")</f>
        <v/>
      </c>
      <c r="C610" s="38"/>
      <c r="D610" s="49"/>
      <c r="E610" s="40"/>
    </row>
    <row r="611" spans="1:5" ht="16.5" thickTop="1" thickBot="1" x14ac:dyDescent="0.3">
      <c r="A611" s="47" t="str">
        <f t="shared" si="15"/>
        <v/>
      </c>
      <c r="B611" s="48" t="str">
        <f>IFERROR(INDEX(AttendanceSheet!$B$7:$B619,MATCH('Mark Leave'!C611,AttendanceSheet!$C$7:$C645,0)),"")</f>
        <v/>
      </c>
      <c r="C611" s="38"/>
      <c r="D611" s="49"/>
      <c r="E611" s="40"/>
    </row>
    <row r="612" spans="1:5" ht="16.5" thickTop="1" thickBot="1" x14ac:dyDescent="0.3">
      <c r="A612" s="47" t="str">
        <f t="shared" si="15"/>
        <v/>
      </c>
      <c r="B612" s="48" t="str">
        <f>IFERROR(INDEX(AttendanceSheet!$B$7:$B620,MATCH('Mark Leave'!C612,AttendanceSheet!$C$7:$C646,0)),"")</f>
        <v/>
      </c>
      <c r="C612" s="38"/>
      <c r="D612" s="49"/>
      <c r="E612" s="40"/>
    </row>
    <row r="613" spans="1:5" ht="16.5" thickTop="1" thickBot="1" x14ac:dyDescent="0.3">
      <c r="A613" s="47" t="str">
        <f t="shared" si="15"/>
        <v/>
      </c>
      <c r="B613" s="48" t="str">
        <f>IFERROR(INDEX(AttendanceSheet!$B$7:$B621,MATCH('Mark Leave'!C613,AttendanceSheet!$C$7:$C647,0)),"")</f>
        <v/>
      </c>
      <c r="C613" s="38"/>
      <c r="D613" s="49"/>
      <c r="E613" s="40"/>
    </row>
    <row r="614" spans="1:5" ht="16.5" thickTop="1" thickBot="1" x14ac:dyDescent="0.3">
      <c r="A614" s="47" t="str">
        <f t="shared" si="15"/>
        <v/>
      </c>
      <c r="B614" s="48" t="str">
        <f>IFERROR(INDEX(AttendanceSheet!$B$7:$B622,MATCH('Mark Leave'!C614,AttendanceSheet!$C$7:$C648,0)),"")</f>
        <v/>
      </c>
      <c r="C614" s="38"/>
      <c r="D614" s="49"/>
      <c r="E614" s="40"/>
    </row>
    <row r="615" spans="1:5" ht="16.5" thickTop="1" thickBot="1" x14ac:dyDescent="0.3">
      <c r="A615" s="47" t="str">
        <f t="shared" si="15"/>
        <v/>
      </c>
      <c r="B615" s="48" t="str">
        <f>IFERROR(INDEX(AttendanceSheet!$B$7:$B623,MATCH('Mark Leave'!C615,AttendanceSheet!$C$7:$C649,0)),"")</f>
        <v/>
      </c>
      <c r="C615" s="38"/>
      <c r="D615" s="49"/>
      <c r="E615" s="40"/>
    </row>
    <row r="616" spans="1:5" ht="16.5" thickTop="1" thickBot="1" x14ac:dyDescent="0.3">
      <c r="A616" s="47" t="str">
        <f t="shared" si="15"/>
        <v/>
      </c>
      <c r="B616" s="48" t="str">
        <f>IFERROR(INDEX(AttendanceSheet!$B$7:$B624,MATCH('Mark Leave'!C616,AttendanceSheet!$C$7:$C650,0)),"")</f>
        <v/>
      </c>
      <c r="C616" s="38"/>
      <c r="D616" s="49"/>
      <c r="E616" s="40"/>
    </row>
    <row r="617" spans="1:5" ht="16.5" thickTop="1" thickBot="1" x14ac:dyDescent="0.3">
      <c r="A617" s="47" t="str">
        <f t="shared" si="15"/>
        <v/>
      </c>
      <c r="B617" s="48" t="str">
        <f>IFERROR(INDEX(AttendanceSheet!$B$7:$B625,MATCH('Mark Leave'!C617,AttendanceSheet!$C$7:$C651,0)),"")</f>
        <v/>
      </c>
      <c r="C617" s="38"/>
      <c r="D617" s="49"/>
      <c r="E617" s="40"/>
    </row>
    <row r="618" spans="1:5" ht="16.5" thickTop="1" thickBot="1" x14ac:dyDescent="0.3">
      <c r="A618" s="47" t="str">
        <f t="shared" si="15"/>
        <v/>
      </c>
      <c r="B618" s="48" t="str">
        <f>IFERROR(INDEX(AttendanceSheet!$B$7:$B626,MATCH('Mark Leave'!C618,AttendanceSheet!$C$7:$C652,0)),"")</f>
        <v/>
      </c>
      <c r="C618" s="38"/>
      <c r="D618" s="49"/>
      <c r="E618" s="40"/>
    </row>
    <row r="619" spans="1:5" ht="16.5" thickTop="1" thickBot="1" x14ac:dyDescent="0.3">
      <c r="A619" s="47" t="str">
        <f t="shared" si="15"/>
        <v/>
      </c>
      <c r="B619" s="48" t="str">
        <f>IFERROR(INDEX(AttendanceSheet!$B$7:$B627,MATCH('Mark Leave'!C619,AttendanceSheet!$C$7:$C653,0)),"")</f>
        <v/>
      </c>
      <c r="C619" s="38"/>
      <c r="D619" s="49"/>
      <c r="E619" s="40"/>
    </row>
    <row r="620" spans="1:5" ht="16.5" thickTop="1" thickBot="1" x14ac:dyDescent="0.3">
      <c r="A620" s="47" t="str">
        <f t="shared" si="15"/>
        <v/>
      </c>
      <c r="B620" s="48" t="str">
        <f>IFERROR(INDEX(AttendanceSheet!$B$7:$B628,MATCH('Mark Leave'!C620,AttendanceSheet!$C$7:$C654,0)),"")</f>
        <v/>
      </c>
      <c r="C620" s="38"/>
      <c r="D620" s="49"/>
      <c r="E620" s="40"/>
    </row>
    <row r="621" spans="1:5" ht="16.5" thickTop="1" thickBot="1" x14ac:dyDescent="0.3">
      <c r="A621" s="47" t="str">
        <f t="shared" si="15"/>
        <v/>
      </c>
      <c r="B621" s="48" t="str">
        <f>IFERROR(INDEX(AttendanceSheet!$B$7:$B629,MATCH('Mark Leave'!C621,AttendanceSheet!$C$7:$C655,0)),"")</f>
        <v/>
      </c>
      <c r="C621" s="38"/>
      <c r="D621" s="49"/>
      <c r="E621" s="40"/>
    </row>
    <row r="622" spans="1:5" ht="16.5" thickTop="1" thickBot="1" x14ac:dyDescent="0.3">
      <c r="A622" s="47" t="str">
        <f t="shared" si="15"/>
        <v/>
      </c>
      <c r="B622" s="48" t="str">
        <f>IFERROR(INDEX(AttendanceSheet!$B$7:$B630,MATCH('Mark Leave'!C622,AttendanceSheet!$C$7:$C656,0)),"")</f>
        <v/>
      </c>
      <c r="C622" s="38"/>
      <c r="D622" s="49"/>
      <c r="E622" s="40"/>
    </row>
    <row r="623" spans="1:5" ht="16.5" thickTop="1" thickBot="1" x14ac:dyDescent="0.3">
      <c r="A623" s="47" t="str">
        <f t="shared" si="15"/>
        <v/>
      </c>
      <c r="B623" s="48" t="str">
        <f>IFERROR(INDEX(AttendanceSheet!$B$7:$B631,MATCH('Mark Leave'!C623,AttendanceSheet!$C$7:$C657,0)),"")</f>
        <v/>
      </c>
      <c r="C623" s="38"/>
      <c r="D623" s="49"/>
      <c r="E623" s="40"/>
    </row>
    <row r="624" spans="1:5" ht="16.5" thickTop="1" thickBot="1" x14ac:dyDescent="0.3">
      <c r="A624" s="47" t="str">
        <f t="shared" si="15"/>
        <v/>
      </c>
      <c r="B624" s="48" t="str">
        <f>IFERROR(INDEX(AttendanceSheet!$B$7:$B632,MATCH('Mark Leave'!C624,AttendanceSheet!$C$7:$C658,0)),"")</f>
        <v/>
      </c>
      <c r="C624" s="38"/>
      <c r="D624" s="49"/>
      <c r="E624" s="40"/>
    </row>
    <row r="625" spans="1:5" ht="16.5" thickTop="1" thickBot="1" x14ac:dyDescent="0.3">
      <c r="A625" s="47" t="str">
        <f t="shared" si="15"/>
        <v/>
      </c>
      <c r="B625" s="48" t="str">
        <f>IFERROR(INDEX(AttendanceSheet!$B$7:$B633,MATCH('Mark Leave'!C625,AttendanceSheet!$C$7:$C659,0)),"")</f>
        <v/>
      </c>
      <c r="C625" s="38"/>
      <c r="D625" s="49"/>
      <c r="E625" s="40"/>
    </row>
    <row r="626" spans="1:5" ht="16.5" thickTop="1" thickBot="1" x14ac:dyDescent="0.3">
      <c r="A626" s="47" t="str">
        <f t="shared" si="15"/>
        <v/>
      </c>
      <c r="B626" s="48" t="str">
        <f>IFERROR(INDEX(AttendanceSheet!$B$7:$B634,MATCH('Mark Leave'!C626,AttendanceSheet!$C$7:$C660,0)),"")</f>
        <v/>
      </c>
      <c r="C626" s="38"/>
      <c r="D626" s="49"/>
      <c r="E626" s="40"/>
    </row>
    <row r="627" spans="1:5" ht="16.5" thickTop="1" thickBot="1" x14ac:dyDescent="0.3">
      <c r="A627" s="47" t="str">
        <f t="shared" si="15"/>
        <v/>
      </c>
      <c r="B627" s="48" t="str">
        <f>IFERROR(INDEX(AttendanceSheet!$B$7:$B635,MATCH('Mark Leave'!C627,AttendanceSheet!$C$7:$C661,0)),"")</f>
        <v/>
      </c>
      <c r="C627" s="38"/>
      <c r="D627" s="49"/>
      <c r="E627" s="40"/>
    </row>
    <row r="628" spans="1:5" ht="16.5" thickTop="1" thickBot="1" x14ac:dyDescent="0.3">
      <c r="A628" s="47" t="str">
        <f t="shared" si="15"/>
        <v/>
      </c>
      <c r="B628" s="48" t="str">
        <f>IFERROR(INDEX(AttendanceSheet!$B$7:$B636,MATCH('Mark Leave'!C628,AttendanceSheet!$C$7:$C662,0)),"")</f>
        <v/>
      </c>
      <c r="C628" s="38"/>
      <c r="D628" s="49"/>
      <c r="E628" s="40"/>
    </row>
    <row r="629" spans="1:5" ht="16.5" thickTop="1" thickBot="1" x14ac:dyDescent="0.3">
      <c r="A629" s="47" t="str">
        <f t="shared" si="15"/>
        <v/>
      </c>
      <c r="B629" s="48" t="str">
        <f>IFERROR(INDEX(AttendanceSheet!$B$7:$B637,MATCH('Mark Leave'!C629,AttendanceSheet!$C$7:$C663,0)),"")</f>
        <v/>
      </c>
      <c r="C629" s="38"/>
      <c r="D629" s="49"/>
      <c r="E629" s="40"/>
    </row>
    <row r="630" spans="1:5" ht="16.5" thickTop="1" thickBot="1" x14ac:dyDescent="0.3">
      <c r="A630" s="47" t="str">
        <f t="shared" si="15"/>
        <v/>
      </c>
      <c r="B630" s="48" t="str">
        <f>IFERROR(INDEX(AttendanceSheet!$B$7:$B638,MATCH('Mark Leave'!C630,AttendanceSheet!$C$7:$C664,0)),"")</f>
        <v/>
      </c>
      <c r="C630" s="38"/>
      <c r="D630" s="49"/>
      <c r="E630" s="40"/>
    </row>
    <row r="631" spans="1:5" ht="16.5" thickTop="1" thickBot="1" x14ac:dyDescent="0.3">
      <c r="A631" s="47" t="str">
        <f t="shared" si="15"/>
        <v/>
      </c>
      <c r="B631" s="48" t="str">
        <f>IFERROR(INDEX(AttendanceSheet!$B$7:$B639,MATCH('Mark Leave'!C631,AttendanceSheet!$C$7:$C665,0)),"")</f>
        <v/>
      </c>
      <c r="C631" s="38"/>
      <c r="D631" s="49"/>
      <c r="E631" s="40"/>
    </row>
    <row r="632" spans="1:5" ht="16.5" thickTop="1" thickBot="1" x14ac:dyDescent="0.3">
      <c r="A632" s="47" t="str">
        <f t="shared" si="15"/>
        <v/>
      </c>
      <c r="B632" s="48" t="str">
        <f>IFERROR(INDEX(AttendanceSheet!$B$7:$B640,MATCH('Mark Leave'!C632,AttendanceSheet!$C$7:$C666,0)),"")</f>
        <v/>
      </c>
      <c r="C632" s="38"/>
      <c r="D632" s="49"/>
      <c r="E632" s="40"/>
    </row>
    <row r="633" spans="1:5" ht="16.5" thickTop="1" thickBot="1" x14ac:dyDescent="0.3">
      <c r="A633" s="47" t="str">
        <f t="shared" si="15"/>
        <v/>
      </c>
      <c r="B633" s="48" t="str">
        <f>IFERROR(INDEX(AttendanceSheet!$B$7:$B641,MATCH('Mark Leave'!C633,AttendanceSheet!$C$7:$C667,0)),"")</f>
        <v/>
      </c>
      <c r="C633" s="38"/>
      <c r="D633" s="49"/>
      <c r="E633" s="40"/>
    </row>
    <row r="634" spans="1:5" ht="16.5" thickTop="1" thickBot="1" x14ac:dyDescent="0.3">
      <c r="A634" s="47" t="str">
        <f t="shared" si="15"/>
        <v/>
      </c>
      <c r="B634" s="48" t="str">
        <f>IFERROR(INDEX(AttendanceSheet!$B$7:$B642,MATCH('Mark Leave'!C634,AttendanceSheet!$C$7:$C668,0)),"")</f>
        <v/>
      </c>
      <c r="C634" s="38"/>
      <c r="D634" s="49"/>
      <c r="E634" s="40"/>
    </row>
    <row r="635" spans="1:5" ht="16.5" thickTop="1" thickBot="1" x14ac:dyDescent="0.3">
      <c r="A635" s="47" t="str">
        <f t="shared" si="15"/>
        <v/>
      </c>
      <c r="B635" s="48" t="str">
        <f>IFERROR(INDEX(AttendanceSheet!$B$7:$B643,MATCH('Mark Leave'!C635,AttendanceSheet!$C$7:$C669,0)),"")</f>
        <v/>
      </c>
      <c r="C635" s="38"/>
      <c r="D635" s="49"/>
      <c r="E635" s="40"/>
    </row>
    <row r="636" spans="1:5" ht="16.5" thickTop="1" thickBot="1" x14ac:dyDescent="0.3">
      <c r="A636" s="47" t="str">
        <f t="shared" si="15"/>
        <v/>
      </c>
      <c r="B636" s="48" t="str">
        <f>IFERROR(INDEX(AttendanceSheet!$B$7:$B644,MATCH('Mark Leave'!C636,AttendanceSheet!$C$7:$C670,0)),"")</f>
        <v/>
      </c>
      <c r="C636" s="38"/>
      <c r="D636" s="49"/>
      <c r="E636" s="40"/>
    </row>
    <row r="637" spans="1:5" ht="16.5" thickTop="1" thickBot="1" x14ac:dyDescent="0.3">
      <c r="A637" s="47" t="str">
        <f t="shared" si="15"/>
        <v/>
      </c>
      <c r="B637" s="48" t="str">
        <f>IFERROR(INDEX(AttendanceSheet!$B$7:$B645,MATCH('Mark Leave'!C637,AttendanceSheet!$C$7:$C671,0)),"")</f>
        <v/>
      </c>
      <c r="C637" s="38"/>
      <c r="D637" s="49"/>
      <c r="E637" s="40"/>
    </row>
    <row r="638" spans="1:5" ht="16.5" thickTop="1" thickBot="1" x14ac:dyDescent="0.3">
      <c r="A638" s="47" t="str">
        <f t="shared" si="15"/>
        <v/>
      </c>
      <c r="B638" s="48" t="str">
        <f>IFERROR(INDEX(AttendanceSheet!$B$7:$B646,MATCH('Mark Leave'!C638,AttendanceSheet!$C$7:$C672,0)),"")</f>
        <v/>
      </c>
      <c r="C638" s="38"/>
      <c r="D638" s="49"/>
      <c r="E638" s="40"/>
    </row>
    <row r="639" spans="1:5" ht="16.5" thickTop="1" thickBot="1" x14ac:dyDescent="0.3">
      <c r="A639" s="47" t="str">
        <f t="shared" si="15"/>
        <v/>
      </c>
      <c r="B639" s="48" t="str">
        <f>IFERROR(INDEX(AttendanceSheet!$B$7:$B647,MATCH('Mark Leave'!C639,AttendanceSheet!$C$7:$C673,0)),"")</f>
        <v/>
      </c>
      <c r="C639" s="38"/>
      <c r="D639" s="49"/>
      <c r="E639" s="40"/>
    </row>
    <row r="640" spans="1:5" ht="16.5" thickTop="1" thickBot="1" x14ac:dyDescent="0.3">
      <c r="A640" s="47" t="str">
        <f t="shared" si="15"/>
        <v/>
      </c>
      <c r="B640" s="48" t="str">
        <f>IFERROR(INDEX(AttendanceSheet!$B$7:$B648,MATCH('Mark Leave'!C640,AttendanceSheet!$C$7:$C674,0)),"")</f>
        <v/>
      </c>
      <c r="C640" s="38"/>
      <c r="D640" s="49"/>
      <c r="E640" s="40"/>
    </row>
    <row r="641" spans="1:5" ht="16.5" thickTop="1" thickBot="1" x14ac:dyDescent="0.3">
      <c r="A641" s="47" t="str">
        <f t="shared" si="15"/>
        <v/>
      </c>
      <c r="B641" s="48" t="str">
        <f>IFERROR(INDEX(AttendanceSheet!$B$7:$B649,MATCH('Mark Leave'!C641,AttendanceSheet!$C$7:$C675,0)),"")</f>
        <v/>
      </c>
      <c r="C641" s="38"/>
      <c r="D641" s="49"/>
      <c r="E641" s="40"/>
    </row>
    <row r="642" spans="1:5" ht="16.5" thickTop="1" thickBot="1" x14ac:dyDescent="0.3">
      <c r="A642" s="47" t="str">
        <f t="shared" si="15"/>
        <v/>
      </c>
      <c r="B642" s="48" t="str">
        <f>IFERROR(INDEX(AttendanceSheet!$B$7:$B650,MATCH('Mark Leave'!C642,AttendanceSheet!$C$7:$C676,0)),"")</f>
        <v/>
      </c>
      <c r="C642" s="38"/>
      <c r="D642" s="49"/>
      <c r="E642" s="40"/>
    </row>
    <row r="643" spans="1:5" ht="16.5" thickTop="1" thickBot="1" x14ac:dyDescent="0.3">
      <c r="A643" s="47" t="str">
        <f t="shared" si="15"/>
        <v/>
      </c>
      <c r="B643" s="48" t="str">
        <f>IFERROR(INDEX(AttendanceSheet!$B$7:$B651,MATCH('Mark Leave'!C643,AttendanceSheet!$C$7:$C677,0)),"")</f>
        <v/>
      </c>
      <c r="C643" s="38"/>
      <c r="D643" s="49"/>
      <c r="E643" s="40"/>
    </row>
    <row r="644" spans="1:5" ht="16.5" thickTop="1" thickBot="1" x14ac:dyDescent="0.3">
      <c r="A644" s="47" t="str">
        <f t="shared" si="15"/>
        <v/>
      </c>
      <c r="B644" s="48" t="str">
        <f>IFERROR(INDEX(AttendanceSheet!$B$7:$B652,MATCH('Mark Leave'!C644,AttendanceSheet!$C$7:$C678,0)),"")</f>
        <v/>
      </c>
      <c r="C644" s="38"/>
      <c r="D644" s="49"/>
      <c r="E644" s="40"/>
    </row>
    <row r="645" spans="1:5" ht="16.5" thickTop="1" thickBot="1" x14ac:dyDescent="0.3">
      <c r="A645" s="47" t="str">
        <f t="shared" si="15"/>
        <v/>
      </c>
      <c r="B645" s="48" t="str">
        <f>IFERROR(INDEX(AttendanceSheet!$B$7:$B653,MATCH('Mark Leave'!C645,AttendanceSheet!$C$7:$C679,0)),"")</f>
        <v/>
      </c>
      <c r="C645" s="38"/>
      <c r="D645" s="49"/>
      <c r="E645" s="40"/>
    </row>
    <row r="646" spans="1:5" ht="16.5" thickTop="1" thickBot="1" x14ac:dyDescent="0.3">
      <c r="A646" s="47" t="str">
        <f t="shared" si="15"/>
        <v/>
      </c>
      <c r="B646" s="48" t="str">
        <f>IFERROR(INDEX(AttendanceSheet!$B$7:$B654,MATCH('Mark Leave'!C646,AttendanceSheet!$C$7:$C680,0)),"")</f>
        <v/>
      </c>
      <c r="C646" s="38"/>
      <c r="D646" s="49"/>
      <c r="E646" s="40"/>
    </row>
    <row r="647" spans="1:5" ht="16.5" thickTop="1" thickBot="1" x14ac:dyDescent="0.3">
      <c r="A647" s="47" t="str">
        <f t="shared" si="15"/>
        <v/>
      </c>
      <c r="B647" s="48" t="str">
        <f>IFERROR(INDEX(AttendanceSheet!$B$7:$B655,MATCH('Mark Leave'!C647,AttendanceSheet!$C$7:$C681,0)),"")</f>
        <v/>
      </c>
      <c r="C647" s="38"/>
      <c r="D647" s="49"/>
      <c r="E647" s="40"/>
    </row>
    <row r="648" spans="1:5" ht="16.5" thickTop="1" thickBot="1" x14ac:dyDescent="0.3">
      <c r="A648" s="47" t="str">
        <f t="shared" si="15"/>
        <v/>
      </c>
      <c r="B648" s="48" t="str">
        <f>IFERROR(INDEX(AttendanceSheet!$B$7:$B656,MATCH('Mark Leave'!C648,AttendanceSheet!$C$7:$C682,0)),"")</f>
        <v/>
      </c>
      <c r="C648" s="38"/>
      <c r="D648" s="49"/>
      <c r="E648" s="40"/>
    </row>
    <row r="649" spans="1:5" ht="16.5" thickTop="1" thickBot="1" x14ac:dyDescent="0.3">
      <c r="A649" s="47" t="str">
        <f t="shared" si="15"/>
        <v/>
      </c>
      <c r="B649" s="48" t="str">
        <f>IFERROR(INDEX(AttendanceSheet!$B$7:$B657,MATCH('Mark Leave'!C649,AttendanceSheet!$C$7:$C683,0)),"")</f>
        <v/>
      </c>
      <c r="C649" s="38"/>
      <c r="D649" s="49"/>
      <c r="E649" s="40"/>
    </row>
    <row r="650" spans="1:5" ht="16.5" thickTop="1" thickBot="1" x14ac:dyDescent="0.3">
      <c r="A650" s="47" t="str">
        <f t="shared" si="15"/>
        <v/>
      </c>
      <c r="B650" s="48" t="str">
        <f>IFERROR(INDEX(AttendanceSheet!$B$7:$B658,MATCH('Mark Leave'!C650,AttendanceSheet!$C$7:$C684,0)),"")</f>
        <v/>
      </c>
      <c r="C650" s="38"/>
      <c r="D650" s="49"/>
      <c r="E650" s="40"/>
    </row>
    <row r="651" spans="1:5" ht="16.5" thickTop="1" thickBot="1" x14ac:dyDescent="0.3">
      <c r="A651" s="47" t="str">
        <f t="shared" si="15"/>
        <v/>
      </c>
      <c r="B651" s="48" t="str">
        <f>IFERROR(INDEX(AttendanceSheet!$B$7:$B659,MATCH('Mark Leave'!C651,AttendanceSheet!$C$7:$C685,0)),"")</f>
        <v/>
      </c>
      <c r="C651" s="38"/>
      <c r="D651" s="49"/>
      <c r="E651" s="40"/>
    </row>
    <row r="652" spans="1:5" ht="16.5" thickTop="1" thickBot="1" x14ac:dyDescent="0.3">
      <c r="A652" s="47" t="str">
        <f t="shared" si="15"/>
        <v/>
      </c>
      <c r="B652" s="48" t="str">
        <f>IFERROR(INDEX(AttendanceSheet!$B$7:$B660,MATCH('Mark Leave'!C652,AttendanceSheet!$C$7:$C686,0)),"")</f>
        <v/>
      </c>
      <c r="C652" s="38"/>
      <c r="D652" s="49"/>
      <c r="E652" s="40"/>
    </row>
    <row r="653" spans="1:5" ht="16.5" thickTop="1" thickBot="1" x14ac:dyDescent="0.3">
      <c r="A653" s="47" t="str">
        <f t="shared" si="15"/>
        <v/>
      </c>
      <c r="B653" s="48" t="str">
        <f>IFERROR(INDEX(AttendanceSheet!$B$7:$B661,MATCH('Mark Leave'!C653,AttendanceSheet!$C$7:$C687,0)),"")</f>
        <v/>
      </c>
      <c r="C653" s="38"/>
      <c r="D653" s="49"/>
      <c r="E653" s="40"/>
    </row>
    <row r="654" spans="1:5" ht="16.5" thickTop="1" thickBot="1" x14ac:dyDescent="0.3">
      <c r="A654" s="47" t="str">
        <f t="shared" si="15"/>
        <v/>
      </c>
      <c r="B654" s="48" t="str">
        <f>IFERROR(INDEX(AttendanceSheet!$B$7:$B662,MATCH('Mark Leave'!C654,AttendanceSheet!$C$7:$C688,0)),"")</f>
        <v/>
      </c>
      <c r="C654" s="38"/>
      <c r="D654" s="49"/>
      <c r="E654" s="40"/>
    </row>
    <row r="655" spans="1:5" ht="16.5" thickTop="1" thickBot="1" x14ac:dyDescent="0.3">
      <c r="A655" s="47" t="str">
        <f t="shared" si="15"/>
        <v/>
      </c>
      <c r="B655" s="48" t="str">
        <f>IFERROR(INDEX(AttendanceSheet!$B$7:$B663,MATCH('Mark Leave'!C655,AttendanceSheet!$C$7:$C689,0)),"")</f>
        <v/>
      </c>
      <c r="C655" s="38"/>
      <c r="D655" s="49"/>
      <c r="E655" s="40"/>
    </row>
    <row r="656" spans="1:5" ht="16.5" thickTop="1" thickBot="1" x14ac:dyDescent="0.3">
      <c r="A656" s="47" t="str">
        <f t="shared" si="15"/>
        <v/>
      </c>
      <c r="B656" s="48" t="str">
        <f>IFERROR(INDEX(AttendanceSheet!$B$7:$B664,MATCH('Mark Leave'!C656,AttendanceSheet!$C$7:$C690,0)),"")</f>
        <v/>
      </c>
      <c r="C656" s="38"/>
      <c r="D656" s="49"/>
      <c r="E656" s="40"/>
    </row>
    <row r="657" spans="1:5" ht="16.5" thickTop="1" thickBot="1" x14ac:dyDescent="0.3">
      <c r="A657" s="47" t="str">
        <f t="shared" si="15"/>
        <v/>
      </c>
      <c r="B657" s="48" t="str">
        <f>IFERROR(INDEX(AttendanceSheet!$B$7:$B665,MATCH('Mark Leave'!C657,AttendanceSheet!$C$7:$C691,0)),"")</f>
        <v/>
      </c>
      <c r="C657" s="38"/>
      <c r="D657" s="49"/>
      <c r="E657" s="40"/>
    </row>
    <row r="658" spans="1:5" ht="16.5" thickTop="1" thickBot="1" x14ac:dyDescent="0.3">
      <c r="A658" s="47" t="str">
        <f t="shared" si="15"/>
        <v/>
      </c>
      <c r="B658" s="48" t="str">
        <f>IFERROR(INDEX(AttendanceSheet!$B$7:$B666,MATCH('Mark Leave'!C658,AttendanceSheet!$C$7:$C692,0)),"")</f>
        <v/>
      </c>
      <c r="C658" s="38"/>
      <c r="D658" s="49"/>
      <c r="E658" s="40"/>
    </row>
    <row r="659" spans="1:5" ht="16.5" thickTop="1" thickBot="1" x14ac:dyDescent="0.3">
      <c r="A659" s="47" t="str">
        <f t="shared" si="15"/>
        <v/>
      </c>
      <c r="B659" s="48" t="str">
        <f>IFERROR(INDEX(AttendanceSheet!$B$7:$B667,MATCH('Mark Leave'!C659,AttendanceSheet!$C$7:$C693,0)),"")</f>
        <v/>
      </c>
      <c r="C659" s="38"/>
      <c r="D659" s="49"/>
      <c r="E659" s="40"/>
    </row>
    <row r="660" spans="1:5" ht="16.5" thickTop="1" thickBot="1" x14ac:dyDescent="0.3">
      <c r="A660" s="47" t="str">
        <f t="shared" si="15"/>
        <v/>
      </c>
      <c r="B660" s="48" t="str">
        <f>IFERROR(INDEX(AttendanceSheet!$B$7:$B668,MATCH('Mark Leave'!C660,AttendanceSheet!$C$7:$C694,0)),"")</f>
        <v/>
      </c>
      <c r="C660" s="38"/>
      <c r="D660" s="49"/>
      <c r="E660" s="40"/>
    </row>
    <row r="661" spans="1:5" ht="16.5" thickTop="1" thickBot="1" x14ac:dyDescent="0.3">
      <c r="A661" s="47" t="str">
        <f t="shared" si="15"/>
        <v/>
      </c>
      <c r="B661" s="48" t="str">
        <f>IFERROR(INDEX(AttendanceSheet!$B$7:$B669,MATCH('Mark Leave'!C661,AttendanceSheet!$C$7:$C695,0)),"")</f>
        <v/>
      </c>
      <c r="C661" s="38"/>
      <c r="D661" s="49"/>
      <c r="E661" s="40"/>
    </row>
    <row r="662" spans="1:5" ht="16.5" thickTop="1" thickBot="1" x14ac:dyDescent="0.3">
      <c r="A662" s="47" t="str">
        <f t="shared" ref="A662:A725" si="16">B662&amp;D662</f>
        <v/>
      </c>
      <c r="B662" s="48" t="str">
        <f>IFERROR(INDEX(AttendanceSheet!$B$7:$B670,MATCH('Mark Leave'!C662,AttendanceSheet!$C$7:$C696,0)),"")</f>
        <v/>
      </c>
      <c r="C662" s="38"/>
      <c r="D662" s="49"/>
      <c r="E662" s="40"/>
    </row>
    <row r="663" spans="1:5" ht="16.5" thickTop="1" thickBot="1" x14ac:dyDescent="0.3">
      <c r="A663" s="47" t="str">
        <f t="shared" si="16"/>
        <v/>
      </c>
      <c r="B663" s="48" t="str">
        <f>IFERROR(INDEX(AttendanceSheet!$B$7:$B671,MATCH('Mark Leave'!C663,AttendanceSheet!$C$7:$C697,0)),"")</f>
        <v/>
      </c>
      <c r="C663" s="38"/>
      <c r="D663" s="49"/>
      <c r="E663" s="40"/>
    </row>
    <row r="664" spans="1:5" ht="16.5" thickTop="1" thickBot="1" x14ac:dyDescent="0.3">
      <c r="A664" s="47" t="str">
        <f t="shared" si="16"/>
        <v/>
      </c>
      <c r="B664" s="48" t="str">
        <f>IFERROR(INDEX(AttendanceSheet!$B$7:$B672,MATCH('Mark Leave'!C664,AttendanceSheet!$C$7:$C698,0)),"")</f>
        <v/>
      </c>
      <c r="C664" s="38"/>
      <c r="D664" s="49"/>
      <c r="E664" s="40"/>
    </row>
    <row r="665" spans="1:5" ht="16.5" thickTop="1" thickBot="1" x14ac:dyDescent="0.3">
      <c r="A665" s="47" t="str">
        <f t="shared" si="16"/>
        <v/>
      </c>
      <c r="B665" s="48" t="str">
        <f>IFERROR(INDEX(AttendanceSheet!$B$7:$B673,MATCH('Mark Leave'!C665,AttendanceSheet!$C$7:$C699,0)),"")</f>
        <v/>
      </c>
      <c r="C665" s="38"/>
      <c r="D665" s="49"/>
      <c r="E665" s="40"/>
    </row>
    <row r="666" spans="1:5" ht="16.5" thickTop="1" thickBot="1" x14ac:dyDescent="0.3">
      <c r="A666" s="47" t="str">
        <f t="shared" si="16"/>
        <v/>
      </c>
      <c r="B666" s="48" t="str">
        <f>IFERROR(INDEX(AttendanceSheet!$B$7:$B674,MATCH('Mark Leave'!C666,AttendanceSheet!$C$7:$C700,0)),"")</f>
        <v/>
      </c>
      <c r="C666" s="38"/>
      <c r="D666" s="49"/>
      <c r="E666" s="40"/>
    </row>
    <row r="667" spans="1:5" ht="16.5" thickTop="1" thickBot="1" x14ac:dyDescent="0.3">
      <c r="A667" s="47" t="str">
        <f t="shared" si="16"/>
        <v/>
      </c>
      <c r="B667" s="48" t="str">
        <f>IFERROR(INDEX(AttendanceSheet!$B$7:$B675,MATCH('Mark Leave'!C667,AttendanceSheet!$C$7:$C701,0)),"")</f>
        <v/>
      </c>
      <c r="C667" s="38"/>
      <c r="D667" s="49"/>
      <c r="E667" s="40"/>
    </row>
    <row r="668" spans="1:5" ht="16.5" thickTop="1" thickBot="1" x14ac:dyDescent="0.3">
      <c r="A668" s="47" t="str">
        <f t="shared" si="16"/>
        <v/>
      </c>
      <c r="B668" s="48" t="str">
        <f>IFERROR(INDEX(AttendanceSheet!$B$7:$B676,MATCH('Mark Leave'!C668,AttendanceSheet!$C$7:$C702,0)),"")</f>
        <v/>
      </c>
      <c r="C668" s="38"/>
      <c r="D668" s="49"/>
      <c r="E668" s="40"/>
    </row>
    <row r="669" spans="1:5" ht="16.5" thickTop="1" thickBot="1" x14ac:dyDescent="0.3">
      <c r="A669" s="47" t="str">
        <f t="shared" si="16"/>
        <v/>
      </c>
      <c r="B669" s="48" t="str">
        <f>IFERROR(INDEX(AttendanceSheet!$B$7:$B677,MATCH('Mark Leave'!C669,AttendanceSheet!$C$7:$C703,0)),"")</f>
        <v/>
      </c>
      <c r="C669" s="38"/>
      <c r="D669" s="49"/>
      <c r="E669" s="40"/>
    </row>
    <row r="670" spans="1:5" ht="16.5" thickTop="1" thickBot="1" x14ac:dyDescent="0.3">
      <c r="A670" s="47" t="str">
        <f t="shared" si="16"/>
        <v/>
      </c>
      <c r="B670" s="48" t="str">
        <f>IFERROR(INDEX(AttendanceSheet!$B$7:$B678,MATCH('Mark Leave'!C670,AttendanceSheet!$C$7:$C704,0)),"")</f>
        <v/>
      </c>
      <c r="C670" s="38"/>
      <c r="D670" s="49"/>
      <c r="E670" s="40"/>
    </row>
    <row r="671" spans="1:5" ht="16.5" thickTop="1" thickBot="1" x14ac:dyDescent="0.3">
      <c r="A671" s="47" t="str">
        <f t="shared" si="16"/>
        <v/>
      </c>
      <c r="B671" s="48" t="str">
        <f>IFERROR(INDEX(AttendanceSheet!$B$7:$B679,MATCH('Mark Leave'!C671,AttendanceSheet!$C$7:$C705,0)),"")</f>
        <v/>
      </c>
      <c r="C671" s="38"/>
      <c r="D671" s="49"/>
      <c r="E671" s="40"/>
    </row>
    <row r="672" spans="1:5" ht="16.5" thickTop="1" thickBot="1" x14ac:dyDescent="0.3">
      <c r="A672" s="47" t="str">
        <f t="shared" si="16"/>
        <v/>
      </c>
      <c r="B672" s="48" t="str">
        <f>IFERROR(INDEX(AttendanceSheet!$B$7:$B680,MATCH('Mark Leave'!C672,AttendanceSheet!$C$7:$C706,0)),"")</f>
        <v/>
      </c>
      <c r="C672" s="38"/>
      <c r="D672" s="49"/>
      <c r="E672" s="40"/>
    </row>
    <row r="673" spans="1:5" ht="16.5" thickTop="1" thickBot="1" x14ac:dyDescent="0.3">
      <c r="A673" s="47" t="str">
        <f t="shared" si="16"/>
        <v/>
      </c>
      <c r="B673" s="48" t="str">
        <f>IFERROR(INDEX(AttendanceSheet!$B$7:$B681,MATCH('Mark Leave'!C673,AttendanceSheet!$C$7:$C707,0)),"")</f>
        <v/>
      </c>
      <c r="C673" s="38"/>
      <c r="D673" s="49"/>
      <c r="E673" s="40"/>
    </row>
    <row r="674" spans="1:5" ht="16.5" thickTop="1" thickBot="1" x14ac:dyDescent="0.3">
      <c r="A674" s="47" t="str">
        <f t="shared" si="16"/>
        <v/>
      </c>
      <c r="B674" s="48" t="str">
        <f>IFERROR(INDEX(AttendanceSheet!$B$7:$B682,MATCH('Mark Leave'!C674,AttendanceSheet!$C$7:$C708,0)),"")</f>
        <v/>
      </c>
      <c r="C674" s="38"/>
      <c r="D674" s="49"/>
      <c r="E674" s="40"/>
    </row>
    <row r="675" spans="1:5" ht="16.5" thickTop="1" thickBot="1" x14ac:dyDescent="0.3">
      <c r="A675" s="47" t="str">
        <f t="shared" si="16"/>
        <v/>
      </c>
      <c r="B675" s="48" t="str">
        <f>IFERROR(INDEX(AttendanceSheet!$B$7:$B683,MATCH('Mark Leave'!C675,AttendanceSheet!$C$7:$C709,0)),"")</f>
        <v/>
      </c>
      <c r="C675" s="38"/>
      <c r="D675" s="49"/>
      <c r="E675" s="40"/>
    </row>
    <row r="676" spans="1:5" ht="16.5" thickTop="1" thickBot="1" x14ac:dyDescent="0.3">
      <c r="A676" s="47" t="str">
        <f t="shared" si="16"/>
        <v/>
      </c>
      <c r="B676" s="48" t="str">
        <f>IFERROR(INDEX(AttendanceSheet!$B$7:$B684,MATCH('Mark Leave'!C676,AttendanceSheet!$C$7:$C710,0)),"")</f>
        <v/>
      </c>
      <c r="C676" s="38"/>
      <c r="D676" s="49"/>
      <c r="E676" s="40"/>
    </row>
    <row r="677" spans="1:5" ht="16.5" thickTop="1" thickBot="1" x14ac:dyDescent="0.3">
      <c r="A677" s="47" t="str">
        <f t="shared" si="16"/>
        <v/>
      </c>
      <c r="B677" s="48" t="str">
        <f>IFERROR(INDEX(AttendanceSheet!$B$7:$B685,MATCH('Mark Leave'!C677,AttendanceSheet!$C$7:$C711,0)),"")</f>
        <v/>
      </c>
      <c r="C677" s="38"/>
      <c r="D677" s="49"/>
      <c r="E677" s="40"/>
    </row>
    <row r="678" spans="1:5" ht="16.5" thickTop="1" thickBot="1" x14ac:dyDescent="0.3">
      <c r="A678" s="47" t="str">
        <f t="shared" si="16"/>
        <v/>
      </c>
      <c r="B678" s="48" t="str">
        <f>IFERROR(INDEX(AttendanceSheet!$B$7:$B686,MATCH('Mark Leave'!C678,AttendanceSheet!$C$7:$C712,0)),"")</f>
        <v/>
      </c>
      <c r="C678" s="38"/>
      <c r="D678" s="49"/>
      <c r="E678" s="40"/>
    </row>
    <row r="679" spans="1:5" ht="16.5" thickTop="1" thickBot="1" x14ac:dyDescent="0.3">
      <c r="A679" s="47" t="str">
        <f t="shared" si="16"/>
        <v/>
      </c>
      <c r="B679" s="48" t="str">
        <f>IFERROR(INDEX(AttendanceSheet!$B$7:$B687,MATCH('Mark Leave'!C679,AttendanceSheet!$C$7:$C713,0)),"")</f>
        <v/>
      </c>
      <c r="C679" s="38"/>
      <c r="D679" s="49"/>
      <c r="E679" s="40"/>
    </row>
    <row r="680" spans="1:5" ht="16.5" thickTop="1" thickBot="1" x14ac:dyDescent="0.3">
      <c r="A680" s="47" t="str">
        <f t="shared" si="16"/>
        <v/>
      </c>
      <c r="B680" s="48" t="str">
        <f>IFERROR(INDEX(AttendanceSheet!$B$7:$B688,MATCH('Mark Leave'!C680,AttendanceSheet!$C$7:$C714,0)),"")</f>
        <v/>
      </c>
      <c r="C680" s="38"/>
      <c r="D680" s="49"/>
      <c r="E680" s="40"/>
    </row>
    <row r="681" spans="1:5" ht="16.5" thickTop="1" thickBot="1" x14ac:dyDescent="0.3">
      <c r="A681" s="47" t="str">
        <f t="shared" si="16"/>
        <v/>
      </c>
      <c r="B681" s="48" t="str">
        <f>IFERROR(INDEX(AttendanceSheet!$B$7:$B689,MATCH('Mark Leave'!C681,AttendanceSheet!$C$7:$C715,0)),"")</f>
        <v/>
      </c>
      <c r="C681" s="38"/>
      <c r="D681" s="49"/>
      <c r="E681" s="40"/>
    </row>
    <row r="682" spans="1:5" ht="16.5" thickTop="1" thickBot="1" x14ac:dyDescent="0.3">
      <c r="A682" s="47" t="str">
        <f t="shared" si="16"/>
        <v/>
      </c>
      <c r="B682" s="48" t="str">
        <f>IFERROR(INDEX(AttendanceSheet!$B$7:$B690,MATCH('Mark Leave'!C682,AttendanceSheet!$C$7:$C716,0)),"")</f>
        <v/>
      </c>
      <c r="C682" s="38"/>
      <c r="D682" s="49"/>
      <c r="E682" s="40"/>
    </row>
    <row r="683" spans="1:5" ht="16.5" thickTop="1" thickBot="1" x14ac:dyDescent="0.3">
      <c r="A683" s="47" t="str">
        <f t="shared" si="16"/>
        <v/>
      </c>
      <c r="B683" s="48" t="str">
        <f>IFERROR(INDEX(AttendanceSheet!$B$7:$B691,MATCH('Mark Leave'!C683,AttendanceSheet!$C$7:$C717,0)),"")</f>
        <v/>
      </c>
      <c r="C683" s="38"/>
      <c r="D683" s="49"/>
      <c r="E683" s="40"/>
    </row>
    <row r="684" spans="1:5" ht="16.5" thickTop="1" thickBot="1" x14ac:dyDescent="0.3">
      <c r="A684" s="47" t="str">
        <f t="shared" si="16"/>
        <v/>
      </c>
      <c r="B684" s="48" t="str">
        <f>IFERROR(INDEX(AttendanceSheet!$B$7:$B692,MATCH('Mark Leave'!C684,AttendanceSheet!$C$7:$C718,0)),"")</f>
        <v/>
      </c>
      <c r="C684" s="38"/>
      <c r="D684" s="49"/>
      <c r="E684" s="40"/>
    </row>
    <row r="685" spans="1:5" ht="16.5" thickTop="1" thickBot="1" x14ac:dyDescent="0.3">
      <c r="A685" s="47" t="str">
        <f t="shared" si="16"/>
        <v/>
      </c>
      <c r="B685" s="48" t="str">
        <f>IFERROR(INDEX(AttendanceSheet!$B$7:$B693,MATCH('Mark Leave'!C685,AttendanceSheet!$C$7:$C719,0)),"")</f>
        <v/>
      </c>
      <c r="C685" s="38"/>
      <c r="D685" s="49"/>
      <c r="E685" s="40"/>
    </row>
    <row r="686" spans="1:5" ht="16.5" thickTop="1" thickBot="1" x14ac:dyDescent="0.3">
      <c r="A686" s="47" t="str">
        <f t="shared" si="16"/>
        <v/>
      </c>
      <c r="B686" s="48" t="str">
        <f>IFERROR(INDEX(AttendanceSheet!$B$7:$B694,MATCH('Mark Leave'!C686,AttendanceSheet!$C$7:$C720,0)),"")</f>
        <v/>
      </c>
      <c r="C686" s="38"/>
      <c r="D686" s="49"/>
      <c r="E686" s="40"/>
    </row>
    <row r="687" spans="1:5" ht="16.5" thickTop="1" thickBot="1" x14ac:dyDescent="0.3">
      <c r="A687" s="47" t="str">
        <f t="shared" si="16"/>
        <v/>
      </c>
      <c r="B687" s="48" t="str">
        <f>IFERROR(INDEX(AttendanceSheet!$B$7:$B695,MATCH('Mark Leave'!C687,AttendanceSheet!$C$7:$C721,0)),"")</f>
        <v/>
      </c>
      <c r="C687" s="38"/>
      <c r="D687" s="49"/>
      <c r="E687" s="40"/>
    </row>
    <row r="688" spans="1:5" ht="16.5" thickTop="1" thickBot="1" x14ac:dyDescent="0.3">
      <c r="A688" s="47" t="str">
        <f t="shared" si="16"/>
        <v/>
      </c>
      <c r="B688" s="48" t="str">
        <f>IFERROR(INDEX(AttendanceSheet!$B$7:$B696,MATCH('Mark Leave'!C688,AttendanceSheet!$C$7:$C722,0)),"")</f>
        <v/>
      </c>
      <c r="C688" s="38"/>
      <c r="D688" s="49"/>
      <c r="E688" s="40"/>
    </row>
    <row r="689" spans="1:5" ht="16.5" thickTop="1" thickBot="1" x14ac:dyDescent="0.3">
      <c r="A689" s="47" t="str">
        <f t="shared" si="16"/>
        <v/>
      </c>
      <c r="B689" s="48" t="str">
        <f>IFERROR(INDEX(AttendanceSheet!$B$7:$B697,MATCH('Mark Leave'!C689,AttendanceSheet!$C$7:$C723,0)),"")</f>
        <v/>
      </c>
      <c r="C689" s="38"/>
      <c r="D689" s="49"/>
      <c r="E689" s="40"/>
    </row>
    <row r="690" spans="1:5" ht="16.5" thickTop="1" thickBot="1" x14ac:dyDescent="0.3">
      <c r="A690" s="47" t="str">
        <f t="shared" si="16"/>
        <v/>
      </c>
      <c r="B690" s="48" t="str">
        <f>IFERROR(INDEX(AttendanceSheet!$B$7:$B698,MATCH('Mark Leave'!C690,AttendanceSheet!$C$7:$C724,0)),"")</f>
        <v/>
      </c>
      <c r="C690" s="38"/>
      <c r="D690" s="49"/>
      <c r="E690" s="40"/>
    </row>
    <row r="691" spans="1:5" ht="16.5" thickTop="1" thickBot="1" x14ac:dyDescent="0.3">
      <c r="A691" s="47" t="str">
        <f t="shared" si="16"/>
        <v/>
      </c>
      <c r="B691" s="48" t="str">
        <f>IFERROR(INDEX(AttendanceSheet!$B$7:$B699,MATCH('Mark Leave'!C691,AttendanceSheet!$C$7:$C725,0)),"")</f>
        <v/>
      </c>
      <c r="C691" s="38"/>
      <c r="D691" s="49"/>
      <c r="E691" s="40"/>
    </row>
    <row r="692" spans="1:5" ht="16.5" thickTop="1" thickBot="1" x14ac:dyDescent="0.3">
      <c r="A692" s="47" t="str">
        <f t="shared" si="16"/>
        <v/>
      </c>
      <c r="B692" s="48" t="str">
        <f>IFERROR(INDEX(AttendanceSheet!$B$7:$B700,MATCH('Mark Leave'!C692,AttendanceSheet!$C$7:$C726,0)),"")</f>
        <v/>
      </c>
      <c r="C692" s="38"/>
      <c r="D692" s="49"/>
      <c r="E692" s="40"/>
    </row>
    <row r="693" spans="1:5" ht="16.5" thickTop="1" thickBot="1" x14ac:dyDescent="0.3">
      <c r="A693" s="47" t="str">
        <f t="shared" si="16"/>
        <v/>
      </c>
      <c r="B693" s="48" t="str">
        <f>IFERROR(INDEX(AttendanceSheet!$B$7:$B701,MATCH('Mark Leave'!C693,AttendanceSheet!$C$7:$C727,0)),"")</f>
        <v/>
      </c>
      <c r="C693" s="38"/>
      <c r="D693" s="49"/>
      <c r="E693" s="40"/>
    </row>
    <row r="694" spans="1:5" ht="16.5" thickTop="1" thickBot="1" x14ac:dyDescent="0.3">
      <c r="A694" s="47" t="str">
        <f t="shared" si="16"/>
        <v/>
      </c>
      <c r="B694" s="48" t="str">
        <f>IFERROR(INDEX(AttendanceSheet!$B$7:$B702,MATCH('Mark Leave'!C694,AttendanceSheet!$C$7:$C728,0)),"")</f>
        <v/>
      </c>
      <c r="C694" s="38"/>
      <c r="D694" s="49"/>
      <c r="E694" s="40"/>
    </row>
    <row r="695" spans="1:5" ht="16.5" thickTop="1" thickBot="1" x14ac:dyDescent="0.3">
      <c r="A695" s="47" t="str">
        <f t="shared" si="16"/>
        <v/>
      </c>
      <c r="B695" s="48" t="str">
        <f>IFERROR(INDEX(AttendanceSheet!$B$7:$B703,MATCH('Mark Leave'!C695,AttendanceSheet!$C$7:$C729,0)),"")</f>
        <v/>
      </c>
      <c r="C695" s="38"/>
      <c r="D695" s="49"/>
      <c r="E695" s="40"/>
    </row>
    <row r="696" spans="1:5" ht="16.5" thickTop="1" thickBot="1" x14ac:dyDescent="0.3">
      <c r="A696" s="47" t="str">
        <f t="shared" si="16"/>
        <v/>
      </c>
      <c r="B696" s="48" t="str">
        <f>IFERROR(INDEX(AttendanceSheet!$B$7:$B704,MATCH('Mark Leave'!C696,AttendanceSheet!$C$7:$C730,0)),"")</f>
        <v/>
      </c>
      <c r="C696" s="38"/>
      <c r="D696" s="49"/>
      <c r="E696" s="40"/>
    </row>
    <row r="697" spans="1:5" ht="16.5" thickTop="1" thickBot="1" x14ac:dyDescent="0.3">
      <c r="A697" s="47" t="str">
        <f t="shared" si="16"/>
        <v/>
      </c>
      <c r="B697" s="48" t="str">
        <f>IFERROR(INDEX(AttendanceSheet!$B$7:$B705,MATCH('Mark Leave'!C697,AttendanceSheet!$C$7:$C731,0)),"")</f>
        <v/>
      </c>
      <c r="C697" s="38"/>
      <c r="D697" s="49"/>
      <c r="E697" s="40"/>
    </row>
    <row r="698" spans="1:5" ht="16.5" thickTop="1" thickBot="1" x14ac:dyDescent="0.3">
      <c r="A698" s="47" t="str">
        <f t="shared" si="16"/>
        <v/>
      </c>
      <c r="B698" s="48" t="str">
        <f>IFERROR(INDEX(AttendanceSheet!$B$7:$B706,MATCH('Mark Leave'!C698,AttendanceSheet!$C$7:$C732,0)),"")</f>
        <v/>
      </c>
      <c r="C698" s="38"/>
      <c r="D698" s="49"/>
      <c r="E698" s="40"/>
    </row>
    <row r="699" spans="1:5" ht="16.5" thickTop="1" thickBot="1" x14ac:dyDescent="0.3">
      <c r="A699" s="47" t="str">
        <f t="shared" si="16"/>
        <v/>
      </c>
      <c r="B699" s="48" t="str">
        <f>IFERROR(INDEX(AttendanceSheet!$B$7:$B707,MATCH('Mark Leave'!C699,AttendanceSheet!$C$7:$C733,0)),"")</f>
        <v/>
      </c>
      <c r="C699" s="38"/>
      <c r="D699" s="49"/>
      <c r="E699" s="40"/>
    </row>
    <row r="700" spans="1:5" ht="16.5" thickTop="1" thickBot="1" x14ac:dyDescent="0.3">
      <c r="A700" s="47" t="str">
        <f t="shared" si="16"/>
        <v/>
      </c>
      <c r="B700" s="48" t="str">
        <f>IFERROR(INDEX(AttendanceSheet!$B$7:$B708,MATCH('Mark Leave'!C700,AttendanceSheet!$C$7:$C734,0)),"")</f>
        <v/>
      </c>
      <c r="C700" s="38"/>
      <c r="D700" s="49"/>
      <c r="E700" s="40"/>
    </row>
    <row r="701" spans="1:5" ht="16.5" thickTop="1" thickBot="1" x14ac:dyDescent="0.3">
      <c r="A701" s="47" t="str">
        <f t="shared" si="16"/>
        <v/>
      </c>
      <c r="B701" s="48" t="str">
        <f>IFERROR(INDEX(AttendanceSheet!$B$7:$B709,MATCH('Mark Leave'!C701,AttendanceSheet!$C$7:$C735,0)),"")</f>
        <v/>
      </c>
      <c r="C701" s="38"/>
      <c r="D701" s="49"/>
      <c r="E701" s="40"/>
    </row>
    <row r="702" spans="1:5" ht="16.5" thickTop="1" thickBot="1" x14ac:dyDescent="0.3">
      <c r="A702" s="47" t="str">
        <f t="shared" si="16"/>
        <v/>
      </c>
      <c r="B702" s="48" t="str">
        <f>IFERROR(INDEX(AttendanceSheet!$B$7:$B710,MATCH('Mark Leave'!C702,AttendanceSheet!$C$7:$C736,0)),"")</f>
        <v/>
      </c>
      <c r="C702" s="38"/>
      <c r="D702" s="49"/>
      <c r="E702" s="40"/>
    </row>
    <row r="703" spans="1:5" ht="16.5" thickTop="1" thickBot="1" x14ac:dyDescent="0.3">
      <c r="A703" s="47" t="str">
        <f t="shared" si="16"/>
        <v/>
      </c>
      <c r="B703" s="48" t="str">
        <f>IFERROR(INDEX(AttendanceSheet!$B$7:$B711,MATCH('Mark Leave'!C703,AttendanceSheet!$C$7:$C737,0)),"")</f>
        <v/>
      </c>
      <c r="C703" s="38"/>
      <c r="D703" s="49"/>
      <c r="E703" s="40"/>
    </row>
    <row r="704" spans="1:5" ht="16.5" thickTop="1" thickBot="1" x14ac:dyDescent="0.3">
      <c r="A704" s="47" t="str">
        <f t="shared" si="16"/>
        <v/>
      </c>
      <c r="B704" s="48" t="str">
        <f>IFERROR(INDEX(AttendanceSheet!$B$7:$B712,MATCH('Mark Leave'!C704,AttendanceSheet!$C$7:$C738,0)),"")</f>
        <v/>
      </c>
      <c r="C704" s="38"/>
      <c r="D704" s="49"/>
      <c r="E704" s="40"/>
    </row>
    <row r="705" spans="1:5" ht="16.5" thickTop="1" thickBot="1" x14ac:dyDescent="0.3">
      <c r="A705" s="47" t="str">
        <f t="shared" si="16"/>
        <v/>
      </c>
      <c r="B705" s="48" t="str">
        <f>IFERROR(INDEX(AttendanceSheet!$B$7:$B713,MATCH('Mark Leave'!C705,AttendanceSheet!$C$7:$C739,0)),"")</f>
        <v/>
      </c>
      <c r="C705" s="38"/>
      <c r="D705" s="49"/>
      <c r="E705" s="40"/>
    </row>
    <row r="706" spans="1:5" ht="16.5" thickTop="1" thickBot="1" x14ac:dyDescent="0.3">
      <c r="A706" s="47" t="str">
        <f t="shared" si="16"/>
        <v/>
      </c>
      <c r="B706" s="48" t="str">
        <f>IFERROR(INDEX(AttendanceSheet!$B$7:$B714,MATCH('Mark Leave'!C706,AttendanceSheet!$C$7:$C740,0)),"")</f>
        <v/>
      </c>
      <c r="C706" s="38"/>
      <c r="D706" s="49"/>
      <c r="E706" s="40"/>
    </row>
    <row r="707" spans="1:5" ht="16.5" thickTop="1" thickBot="1" x14ac:dyDescent="0.3">
      <c r="A707" s="47" t="str">
        <f t="shared" si="16"/>
        <v/>
      </c>
      <c r="B707" s="48" t="str">
        <f>IFERROR(INDEX(AttendanceSheet!$B$7:$B715,MATCH('Mark Leave'!C707,AttendanceSheet!$C$7:$C741,0)),"")</f>
        <v/>
      </c>
      <c r="C707" s="38"/>
      <c r="D707" s="49"/>
      <c r="E707" s="40"/>
    </row>
    <row r="708" spans="1:5" ht="16.5" thickTop="1" thickBot="1" x14ac:dyDescent="0.3">
      <c r="A708" s="47" t="str">
        <f t="shared" si="16"/>
        <v/>
      </c>
      <c r="B708" s="48" t="str">
        <f>IFERROR(INDEX(AttendanceSheet!$B$7:$B716,MATCH('Mark Leave'!C708,AttendanceSheet!$C$7:$C742,0)),"")</f>
        <v/>
      </c>
      <c r="C708" s="38"/>
      <c r="D708" s="49"/>
      <c r="E708" s="40"/>
    </row>
    <row r="709" spans="1:5" ht="16.5" thickTop="1" thickBot="1" x14ac:dyDescent="0.3">
      <c r="A709" s="47" t="str">
        <f t="shared" si="16"/>
        <v/>
      </c>
      <c r="B709" s="48" t="str">
        <f>IFERROR(INDEX(AttendanceSheet!$B$7:$B717,MATCH('Mark Leave'!C709,AttendanceSheet!$C$7:$C743,0)),"")</f>
        <v/>
      </c>
      <c r="C709" s="38"/>
      <c r="D709" s="49"/>
      <c r="E709" s="40"/>
    </row>
    <row r="710" spans="1:5" ht="16.5" thickTop="1" thickBot="1" x14ac:dyDescent="0.3">
      <c r="A710" s="47" t="str">
        <f t="shared" si="16"/>
        <v/>
      </c>
      <c r="B710" s="48" t="str">
        <f>IFERROR(INDEX(AttendanceSheet!$B$7:$B718,MATCH('Mark Leave'!C710,AttendanceSheet!$C$7:$C744,0)),"")</f>
        <v/>
      </c>
      <c r="C710" s="38"/>
      <c r="D710" s="49"/>
      <c r="E710" s="40"/>
    </row>
    <row r="711" spans="1:5" ht="16.5" thickTop="1" thickBot="1" x14ac:dyDescent="0.3">
      <c r="A711" s="47" t="str">
        <f t="shared" si="16"/>
        <v/>
      </c>
      <c r="B711" s="48" t="str">
        <f>IFERROR(INDEX(AttendanceSheet!$B$7:$B719,MATCH('Mark Leave'!C711,AttendanceSheet!$C$7:$C745,0)),"")</f>
        <v/>
      </c>
      <c r="C711" s="38"/>
      <c r="D711" s="49"/>
      <c r="E711" s="40"/>
    </row>
    <row r="712" spans="1:5" ht="16.5" thickTop="1" thickBot="1" x14ac:dyDescent="0.3">
      <c r="A712" s="47" t="str">
        <f t="shared" si="16"/>
        <v/>
      </c>
      <c r="B712" s="48" t="str">
        <f>IFERROR(INDEX(AttendanceSheet!$B$7:$B720,MATCH('Mark Leave'!C712,AttendanceSheet!$C$7:$C746,0)),"")</f>
        <v/>
      </c>
      <c r="C712" s="38"/>
      <c r="D712" s="49"/>
      <c r="E712" s="40"/>
    </row>
    <row r="713" spans="1:5" ht="16.5" thickTop="1" thickBot="1" x14ac:dyDescent="0.3">
      <c r="A713" s="47" t="str">
        <f t="shared" si="16"/>
        <v/>
      </c>
      <c r="B713" s="48" t="str">
        <f>IFERROR(INDEX(AttendanceSheet!$B$7:$B721,MATCH('Mark Leave'!C713,AttendanceSheet!$C$7:$C747,0)),"")</f>
        <v/>
      </c>
      <c r="C713" s="38"/>
      <c r="D713" s="49"/>
      <c r="E713" s="40"/>
    </row>
    <row r="714" spans="1:5" ht="16.5" thickTop="1" thickBot="1" x14ac:dyDescent="0.3">
      <c r="A714" s="47" t="str">
        <f t="shared" si="16"/>
        <v/>
      </c>
      <c r="B714" s="48" t="str">
        <f>IFERROR(INDEX(AttendanceSheet!$B$7:$B722,MATCH('Mark Leave'!C714,AttendanceSheet!$C$7:$C748,0)),"")</f>
        <v/>
      </c>
      <c r="C714" s="38"/>
      <c r="D714" s="49"/>
      <c r="E714" s="40"/>
    </row>
    <row r="715" spans="1:5" ht="16.5" thickTop="1" thickBot="1" x14ac:dyDescent="0.3">
      <c r="A715" s="47" t="str">
        <f t="shared" si="16"/>
        <v/>
      </c>
      <c r="B715" s="48" t="str">
        <f>IFERROR(INDEX(AttendanceSheet!$B$7:$B723,MATCH('Mark Leave'!C715,AttendanceSheet!$C$7:$C749,0)),"")</f>
        <v/>
      </c>
      <c r="C715" s="38"/>
      <c r="D715" s="49"/>
      <c r="E715" s="40"/>
    </row>
    <row r="716" spans="1:5" ht="16.5" thickTop="1" thickBot="1" x14ac:dyDescent="0.3">
      <c r="A716" s="47" t="str">
        <f t="shared" si="16"/>
        <v/>
      </c>
      <c r="B716" s="48" t="str">
        <f>IFERROR(INDEX(AttendanceSheet!$B$7:$B724,MATCH('Mark Leave'!C716,AttendanceSheet!$C$7:$C750,0)),"")</f>
        <v/>
      </c>
      <c r="C716" s="38"/>
      <c r="D716" s="49"/>
      <c r="E716" s="40"/>
    </row>
    <row r="717" spans="1:5" ht="16.5" thickTop="1" thickBot="1" x14ac:dyDescent="0.3">
      <c r="A717" s="47" t="str">
        <f t="shared" si="16"/>
        <v/>
      </c>
      <c r="B717" s="48" t="str">
        <f>IFERROR(INDEX(AttendanceSheet!$B$7:$B725,MATCH('Mark Leave'!C717,AttendanceSheet!$C$7:$C751,0)),"")</f>
        <v/>
      </c>
      <c r="C717" s="38"/>
      <c r="D717" s="49"/>
      <c r="E717" s="40"/>
    </row>
    <row r="718" spans="1:5" ht="16.5" thickTop="1" thickBot="1" x14ac:dyDescent="0.3">
      <c r="A718" s="47" t="str">
        <f t="shared" si="16"/>
        <v/>
      </c>
      <c r="B718" s="48" t="str">
        <f>IFERROR(INDEX(AttendanceSheet!$B$7:$B726,MATCH('Mark Leave'!C718,AttendanceSheet!$C$7:$C752,0)),"")</f>
        <v/>
      </c>
      <c r="C718" s="38"/>
      <c r="D718" s="49"/>
      <c r="E718" s="40"/>
    </row>
    <row r="719" spans="1:5" ht="16.5" thickTop="1" thickBot="1" x14ac:dyDescent="0.3">
      <c r="A719" s="47" t="str">
        <f t="shared" si="16"/>
        <v/>
      </c>
      <c r="B719" s="48" t="str">
        <f>IFERROR(INDEX(AttendanceSheet!$B$7:$B727,MATCH('Mark Leave'!C719,AttendanceSheet!$C$7:$C753,0)),"")</f>
        <v/>
      </c>
      <c r="C719" s="38"/>
      <c r="D719" s="49"/>
      <c r="E719" s="40"/>
    </row>
    <row r="720" spans="1:5" ht="16.5" thickTop="1" thickBot="1" x14ac:dyDescent="0.3">
      <c r="A720" s="47" t="str">
        <f t="shared" si="16"/>
        <v/>
      </c>
      <c r="B720" s="48" t="str">
        <f>IFERROR(INDEX(AttendanceSheet!$B$7:$B728,MATCH('Mark Leave'!C720,AttendanceSheet!$C$7:$C754,0)),"")</f>
        <v/>
      </c>
      <c r="C720" s="38"/>
      <c r="D720" s="49"/>
      <c r="E720" s="40"/>
    </row>
    <row r="721" spans="1:5" ht="16.5" thickTop="1" thickBot="1" x14ac:dyDescent="0.3">
      <c r="A721" s="47" t="str">
        <f t="shared" si="16"/>
        <v/>
      </c>
      <c r="B721" s="48" t="str">
        <f>IFERROR(INDEX(AttendanceSheet!$B$7:$B729,MATCH('Mark Leave'!C721,AttendanceSheet!$C$7:$C755,0)),"")</f>
        <v/>
      </c>
      <c r="C721" s="38"/>
      <c r="D721" s="49"/>
      <c r="E721" s="40"/>
    </row>
    <row r="722" spans="1:5" ht="16.5" thickTop="1" thickBot="1" x14ac:dyDescent="0.3">
      <c r="A722" s="47" t="str">
        <f t="shared" si="16"/>
        <v/>
      </c>
      <c r="B722" s="48" t="str">
        <f>IFERROR(INDEX(AttendanceSheet!$B$7:$B730,MATCH('Mark Leave'!C722,AttendanceSheet!$C$7:$C756,0)),"")</f>
        <v/>
      </c>
      <c r="C722" s="38"/>
      <c r="D722" s="49"/>
      <c r="E722" s="40"/>
    </row>
    <row r="723" spans="1:5" ht="16.5" thickTop="1" thickBot="1" x14ac:dyDescent="0.3">
      <c r="A723" s="47" t="str">
        <f t="shared" si="16"/>
        <v/>
      </c>
      <c r="B723" s="48" t="str">
        <f>IFERROR(INDEX(AttendanceSheet!$B$7:$B731,MATCH('Mark Leave'!C723,AttendanceSheet!$C$7:$C757,0)),"")</f>
        <v/>
      </c>
      <c r="C723" s="38"/>
      <c r="D723" s="49"/>
      <c r="E723" s="40"/>
    </row>
    <row r="724" spans="1:5" ht="16.5" thickTop="1" thickBot="1" x14ac:dyDescent="0.3">
      <c r="A724" s="47" t="str">
        <f t="shared" si="16"/>
        <v/>
      </c>
      <c r="B724" s="48" t="str">
        <f>IFERROR(INDEX(AttendanceSheet!$B$7:$B732,MATCH('Mark Leave'!C724,AttendanceSheet!$C$7:$C758,0)),"")</f>
        <v/>
      </c>
      <c r="C724" s="38"/>
      <c r="D724" s="49"/>
      <c r="E724" s="40"/>
    </row>
    <row r="725" spans="1:5" ht="16.5" thickTop="1" thickBot="1" x14ac:dyDescent="0.3">
      <c r="A725" s="47" t="str">
        <f t="shared" si="16"/>
        <v/>
      </c>
      <c r="B725" s="48" t="str">
        <f>IFERROR(INDEX(AttendanceSheet!$B$7:$B733,MATCH('Mark Leave'!C725,AttendanceSheet!$C$7:$C759,0)),"")</f>
        <v/>
      </c>
      <c r="C725" s="38"/>
      <c r="D725" s="49"/>
      <c r="E725" s="40"/>
    </row>
    <row r="726" spans="1:5" ht="16.5" thickTop="1" thickBot="1" x14ac:dyDescent="0.3">
      <c r="A726" s="47" t="str">
        <f t="shared" ref="A726:A789" si="17">B726&amp;D726</f>
        <v/>
      </c>
      <c r="B726" s="48" t="str">
        <f>IFERROR(INDEX(AttendanceSheet!$B$7:$B734,MATCH('Mark Leave'!C726,AttendanceSheet!$C$7:$C760,0)),"")</f>
        <v/>
      </c>
      <c r="C726" s="38"/>
      <c r="D726" s="49"/>
      <c r="E726" s="40"/>
    </row>
    <row r="727" spans="1:5" ht="16.5" thickTop="1" thickBot="1" x14ac:dyDescent="0.3">
      <c r="A727" s="47" t="str">
        <f t="shared" si="17"/>
        <v/>
      </c>
      <c r="B727" s="48" t="str">
        <f>IFERROR(INDEX(AttendanceSheet!$B$7:$B735,MATCH('Mark Leave'!C727,AttendanceSheet!$C$7:$C761,0)),"")</f>
        <v/>
      </c>
      <c r="C727" s="38"/>
      <c r="D727" s="49"/>
      <c r="E727" s="40"/>
    </row>
    <row r="728" spans="1:5" ht="16.5" thickTop="1" thickBot="1" x14ac:dyDescent="0.3">
      <c r="A728" s="47" t="str">
        <f t="shared" si="17"/>
        <v/>
      </c>
      <c r="B728" s="48" t="str">
        <f>IFERROR(INDEX(AttendanceSheet!$B$7:$B736,MATCH('Mark Leave'!C728,AttendanceSheet!$C$7:$C762,0)),"")</f>
        <v/>
      </c>
      <c r="C728" s="38"/>
      <c r="D728" s="49"/>
      <c r="E728" s="40"/>
    </row>
    <row r="729" spans="1:5" ht="16.5" thickTop="1" thickBot="1" x14ac:dyDescent="0.3">
      <c r="A729" s="47" t="str">
        <f t="shared" si="17"/>
        <v/>
      </c>
      <c r="B729" s="48" t="str">
        <f>IFERROR(INDEX(AttendanceSheet!$B$7:$B737,MATCH('Mark Leave'!C729,AttendanceSheet!$C$7:$C763,0)),"")</f>
        <v/>
      </c>
      <c r="C729" s="38"/>
      <c r="D729" s="49"/>
      <c r="E729" s="40"/>
    </row>
    <row r="730" spans="1:5" ht="16.5" thickTop="1" thickBot="1" x14ac:dyDescent="0.3">
      <c r="A730" s="47" t="str">
        <f t="shared" si="17"/>
        <v/>
      </c>
      <c r="B730" s="48" t="str">
        <f>IFERROR(INDEX(AttendanceSheet!$B$7:$B738,MATCH('Mark Leave'!C730,AttendanceSheet!$C$7:$C764,0)),"")</f>
        <v/>
      </c>
      <c r="C730" s="38"/>
      <c r="D730" s="49"/>
      <c r="E730" s="40"/>
    </row>
    <row r="731" spans="1:5" ht="16.5" thickTop="1" thickBot="1" x14ac:dyDescent="0.3">
      <c r="A731" s="47" t="str">
        <f t="shared" si="17"/>
        <v/>
      </c>
      <c r="B731" s="48" t="str">
        <f>IFERROR(INDEX(AttendanceSheet!$B$7:$B739,MATCH('Mark Leave'!C731,AttendanceSheet!$C$7:$C765,0)),"")</f>
        <v/>
      </c>
      <c r="C731" s="38"/>
      <c r="D731" s="49"/>
      <c r="E731" s="40"/>
    </row>
    <row r="732" spans="1:5" ht="16.5" thickTop="1" thickBot="1" x14ac:dyDescent="0.3">
      <c r="A732" s="47" t="str">
        <f t="shared" si="17"/>
        <v/>
      </c>
      <c r="B732" s="48" t="str">
        <f>IFERROR(INDEX(AttendanceSheet!$B$7:$B740,MATCH('Mark Leave'!C732,AttendanceSheet!$C$7:$C766,0)),"")</f>
        <v/>
      </c>
      <c r="C732" s="38"/>
      <c r="D732" s="49"/>
      <c r="E732" s="40"/>
    </row>
    <row r="733" spans="1:5" ht="16.5" thickTop="1" thickBot="1" x14ac:dyDescent="0.3">
      <c r="A733" s="47" t="str">
        <f t="shared" si="17"/>
        <v/>
      </c>
      <c r="B733" s="48" t="str">
        <f>IFERROR(INDEX(AttendanceSheet!$B$7:$B741,MATCH('Mark Leave'!C733,AttendanceSheet!$C$7:$C767,0)),"")</f>
        <v/>
      </c>
      <c r="C733" s="38"/>
      <c r="D733" s="49"/>
      <c r="E733" s="40"/>
    </row>
    <row r="734" spans="1:5" ht="16.5" thickTop="1" thickBot="1" x14ac:dyDescent="0.3">
      <c r="A734" s="47" t="str">
        <f t="shared" si="17"/>
        <v/>
      </c>
      <c r="B734" s="48" t="str">
        <f>IFERROR(INDEX(AttendanceSheet!$B$7:$B742,MATCH('Mark Leave'!C734,AttendanceSheet!$C$7:$C768,0)),"")</f>
        <v/>
      </c>
      <c r="C734" s="38"/>
      <c r="D734" s="49"/>
      <c r="E734" s="40"/>
    </row>
    <row r="735" spans="1:5" ht="16.5" thickTop="1" thickBot="1" x14ac:dyDescent="0.3">
      <c r="A735" s="47" t="str">
        <f t="shared" si="17"/>
        <v/>
      </c>
      <c r="B735" s="48" t="str">
        <f>IFERROR(INDEX(AttendanceSheet!$B$7:$B743,MATCH('Mark Leave'!C735,AttendanceSheet!$C$7:$C769,0)),"")</f>
        <v/>
      </c>
      <c r="C735" s="38"/>
      <c r="D735" s="49"/>
      <c r="E735" s="40"/>
    </row>
    <row r="736" spans="1:5" ht="16.5" thickTop="1" thickBot="1" x14ac:dyDescent="0.3">
      <c r="A736" s="47" t="str">
        <f t="shared" si="17"/>
        <v/>
      </c>
      <c r="B736" s="48" t="str">
        <f>IFERROR(INDEX(AttendanceSheet!$B$7:$B744,MATCH('Mark Leave'!C736,AttendanceSheet!$C$7:$C770,0)),"")</f>
        <v/>
      </c>
      <c r="C736" s="38"/>
      <c r="D736" s="49"/>
      <c r="E736" s="40"/>
    </row>
    <row r="737" spans="1:5" ht="16.5" thickTop="1" thickBot="1" x14ac:dyDescent="0.3">
      <c r="A737" s="47" t="str">
        <f t="shared" si="17"/>
        <v/>
      </c>
      <c r="B737" s="48" t="str">
        <f>IFERROR(INDEX(AttendanceSheet!$B$7:$B745,MATCH('Mark Leave'!C737,AttendanceSheet!$C$7:$C771,0)),"")</f>
        <v/>
      </c>
      <c r="C737" s="38"/>
      <c r="D737" s="49"/>
      <c r="E737" s="40"/>
    </row>
    <row r="738" spans="1:5" ht="16.5" thickTop="1" thickBot="1" x14ac:dyDescent="0.3">
      <c r="A738" s="47" t="str">
        <f t="shared" si="17"/>
        <v/>
      </c>
      <c r="B738" s="48" t="str">
        <f>IFERROR(INDEX(AttendanceSheet!$B$7:$B746,MATCH('Mark Leave'!C738,AttendanceSheet!$C$7:$C772,0)),"")</f>
        <v/>
      </c>
      <c r="C738" s="38"/>
      <c r="D738" s="49"/>
      <c r="E738" s="40"/>
    </row>
    <row r="739" spans="1:5" ht="16.5" thickTop="1" thickBot="1" x14ac:dyDescent="0.3">
      <c r="A739" s="47" t="str">
        <f t="shared" si="17"/>
        <v/>
      </c>
      <c r="B739" s="48" t="str">
        <f>IFERROR(INDEX(AttendanceSheet!$B$7:$B747,MATCH('Mark Leave'!C739,AttendanceSheet!$C$7:$C773,0)),"")</f>
        <v/>
      </c>
      <c r="C739" s="38"/>
      <c r="D739" s="49"/>
      <c r="E739" s="40"/>
    </row>
    <row r="740" spans="1:5" ht="16.5" thickTop="1" thickBot="1" x14ac:dyDescent="0.3">
      <c r="A740" s="47" t="str">
        <f t="shared" si="17"/>
        <v/>
      </c>
      <c r="B740" s="48" t="str">
        <f>IFERROR(INDEX(AttendanceSheet!$B$7:$B748,MATCH('Mark Leave'!C740,AttendanceSheet!$C$7:$C774,0)),"")</f>
        <v/>
      </c>
      <c r="C740" s="38"/>
      <c r="D740" s="49"/>
      <c r="E740" s="40"/>
    </row>
    <row r="741" spans="1:5" ht="16.5" thickTop="1" thickBot="1" x14ac:dyDescent="0.3">
      <c r="A741" s="47" t="str">
        <f t="shared" si="17"/>
        <v/>
      </c>
      <c r="B741" s="48" t="str">
        <f>IFERROR(INDEX(AttendanceSheet!$B$7:$B749,MATCH('Mark Leave'!C741,AttendanceSheet!$C$7:$C775,0)),"")</f>
        <v/>
      </c>
      <c r="C741" s="38"/>
      <c r="D741" s="49"/>
      <c r="E741" s="40"/>
    </row>
    <row r="742" spans="1:5" ht="16.5" thickTop="1" thickBot="1" x14ac:dyDescent="0.3">
      <c r="A742" s="47" t="str">
        <f t="shared" si="17"/>
        <v/>
      </c>
      <c r="B742" s="48" t="str">
        <f>IFERROR(INDEX(AttendanceSheet!$B$7:$B750,MATCH('Mark Leave'!C742,AttendanceSheet!$C$7:$C776,0)),"")</f>
        <v/>
      </c>
      <c r="C742" s="38"/>
      <c r="D742" s="49"/>
      <c r="E742" s="40"/>
    </row>
    <row r="743" spans="1:5" ht="16.5" thickTop="1" thickBot="1" x14ac:dyDescent="0.3">
      <c r="A743" s="47" t="str">
        <f t="shared" si="17"/>
        <v/>
      </c>
      <c r="B743" s="48" t="str">
        <f>IFERROR(INDEX(AttendanceSheet!$B$7:$B751,MATCH('Mark Leave'!C743,AttendanceSheet!$C$7:$C777,0)),"")</f>
        <v/>
      </c>
      <c r="C743" s="38"/>
      <c r="D743" s="49"/>
      <c r="E743" s="40"/>
    </row>
    <row r="744" spans="1:5" ht="16.5" thickTop="1" thickBot="1" x14ac:dyDescent="0.3">
      <c r="A744" s="47" t="str">
        <f t="shared" si="17"/>
        <v/>
      </c>
      <c r="B744" s="48" t="str">
        <f>IFERROR(INDEX(AttendanceSheet!$B$7:$B752,MATCH('Mark Leave'!C744,AttendanceSheet!$C$7:$C778,0)),"")</f>
        <v/>
      </c>
      <c r="C744" s="38"/>
      <c r="D744" s="49"/>
      <c r="E744" s="40"/>
    </row>
    <row r="745" spans="1:5" ht="16.5" thickTop="1" thickBot="1" x14ac:dyDescent="0.3">
      <c r="A745" s="47" t="str">
        <f t="shared" si="17"/>
        <v/>
      </c>
      <c r="B745" s="48" t="str">
        <f>IFERROR(INDEX(AttendanceSheet!$B$7:$B753,MATCH('Mark Leave'!C745,AttendanceSheet!$C$7:$C779,0)),"")</f>
        <v/>
      </c>
      <c r="C745" s="38"/>
      <c r="D745" s="49"/>
      <c r="E745" s="40"/>
    </row>
    <row r="746" spans="1:5" ht="16.5" thickTop="1" thickBot="1" x14ac:dyDescent="0.3">
      <c r="A746" s="47" t="str">
        <f t="shared" si="17"/>
        <v/>
      </c>
      <c r="B746" s="48" t="str">
        <f>IFERROR(INDEX(AttendanceSheet!$B$7:$B754,MATCH('Mark Leave'!C746,AttendanceSheet!$C$7:$C780,0)),"")</f>
        <v/>
      </c>
      <c r="C746" s="38"/>
      <c r="D746" s="49"/>
      <c r="E746" s="40"/>
    </row>
    <row r="747" spans="1:5" ht="16.5" thickTop="1" thickBot="1" x14ac:dyDescent="0.3">
      <c r="A747" s="47" t="str">
        <f t="shared" si="17"/>
        <v/>
      </c>
      <c r="B747" s="48" t="str">
        <f>IFERROR(INDEX(AttendanceSheet!$B$7:$B755,MATCH('Mark Leave'!C747,AttendanceSheet!$C$7:$C781,0)),"")</f>
        <v/>
      </c>
      <c r="C747" s="38"/>
      <c r="D747" s="49"/>
      <c r="E747" s="40"/>
    </row>
    <row r="748" spans="1:5" ht="16.5" thickTop="1" thickBot="1" x14ac:dyDescent="0.3">
      <c r="A748" s="47" t="str">
        <f t="shared" si="17"/>
        <v/>
      </c>
      <c r="B748" s="48" t="str">
        <f>IFERROR(INDEX(AttendanceSheet!$B$7:$B756,MATCH('Mark Leave'!C748,AttendanceSheet!$C$7:$C782,0)),"")</f>
        <v/>
      </c>
      <c r="C748" s="38"/>
      <c r="D748" s="49"/>
      <c r="E748" s="40"/>
    </row>
    <row r="749" spans="1:5" ht="16.5" thickTop="1" thickBot="1" x14ac:dyDescent="0.3">
      <c r="A749" s="47" t="str">
        <f t="shared" si="17"/>
        <v/>
      </c>
      <c r="B749" s="48" t="str">
        <f>IFERROR(INDEX(AttendanceSheet!$B$7:$B757,MATCH('Mark Leave'!C749,AttendanceSheet!$C$7:$C783,0)),"")</f>
        <v/>
      </c>
      <c r="C749" s="38"/>
      <c r="D749" s="49"/>
      <c r="E749" s="40"/>
    </row>
    <row r="750" spans="1:5" ht="16.5" thickTop="1" thickBot="1" x14ac:dyDescent="0.3">
      <c r="A750" s="47" t="str">
        <f t="shared" si="17"/>
        <v/>
      </c>
      <c r="B750" s="48" t="str">
        <f>IFERROR(INDEX(AttendanceSheet!$B$7:$B758,MATCH('Mark Leave'!C750,AttendanceSheet!$C$7:$C784,0)),"")</f>
        <v/>
      </c>
      <c r="C750" s="38"/>
      <c r="D750" s="49"/>
      <c r="E750" s="40"/>
    </row>
    <row r="751" spans="1:5" ht="16.5" thickTop="1" thickBot="1" x14ac:dyDescent="0.3">
      <c r="A751" s="47" t="str">
        <f t="shared" si="17"/>
        <v/>
      </c>
      <c r="B751" s="48" t="str">
        <f>IFERROR(INDEX(AttendanceSheet!$B$7:$B759,MATCH('Mark Leave'!C751,AttendanceSheet!$C$7:$C785,0)),"")</f>
        <v/>
      </c>
      <c r="C751" s="38"/>
      <c r="D751" s="49"/>
      <c r="E751" s="40"/>
    </row>
    <row r="752" spans="1:5" ht="16.5" thickTop="1" thickBot="1" x14ac:dyDescent="0.3">
      <c r="A752" s="47" t="str">
        <f t="shared" si="17"/>
        <v/>
      </c>
      <c r="B752" s="48" t="str">
        <f>IFERROR(INDEX(AttendanceSheet!$B$7:$B760,MATCH('Mark Leave'!C752,AttendanceSheet!$C$7:$C786,0)),"")</f>
        <v/>
      </c>
      <c r="C752" s="38"/>
      <c r="D752" s="49"/>
      <c r="E752" s="40"/>
    </row>
    <row r="753" spans="1:5" ht="16.5" thickTop="1" thickBot="1" x14ac:dyDescent="0.3">
      <c r="A753" s="47" t="str">
        <f t="shared" si="17"/>
        <v/>
      </c>
      <c r="B753" s="48" t="str">
        <f>IFERROR(INDEX(AttendanceSheet!$B$7:$B761,MATCH('Mark Leave'!C753,AttendanceSheet!$C$7:$C787,0)),"")</f>
        <v/>
      </c>
      <c r="C753" s="38"/>
      <c r="D753" s="49"/>
      <c r="E753" s="40"/>
    </row>
    <row r="754" spans="1:5" ht="16.5" thickTop="1" thickBot="1" x14ac:dyDescent="0.3">
      <c r="A754" s="47" t="str">
        <f t="shared" si="17"/>
        <v/>
      </c>
      <c r="B754" s="48" t="str">
        <f>IFERROR(INDEX(AttendanceSheet!$B$7:$B762,MATCH('Mark Leave'!C754,AttendanceSheet!$C$7:$C788,0)),"")</f>
        <v/>
      </c>
      <c r="C754" s="38"/>
      <c r="D754" s="49"/>
      <c r="E754" s="40"/>
    </row>
    <row r="755" spans="1:5" ht="16.5" thickTop="1" thickBot="1" x14ac:dyDescent="0.3">
      <c r="A755" s="47" t="str">
        <f t="shared" si="17"/>
        <v/>
      </c>
      <c r="B755" s="48" t="str">
        <f>IFERROR(INDEX(AttendanceSheet!$B$7:$B763,MATCH('Mark Leave'!C755,AttendanceSheet!$C$7:$C789,0)),"")</f>
        <v/>
      </c>
      <c r="C755" s="38"/>
      <c r="D755" s="49"/>
      <c r="E755" s="40"/>
    </row>
    <row r="756" spans="1:5" ht="16.5" thickTop="1" thickBot="1" x14ac:dyDescent="0.3">
      <c r="A756" s="47" t="str">
        <f t="shared" si="17"/>
        <v/>
      </c>
      <c r="B756" s="48" t="str">
        <f>IFERROR(INDEX(AttendanceSheet!$B$7:$B764,MATCH('Mark Leave'!C756,AttendanceSheet!$C$7:$C790,0)),"")</f>
        <v/>
      </c>
      <c r="C756" s="38"/>
      <c r="D756" s="49"/>
      <c r="E756" s="40"/>
    </row>
    <row r="757" spans="1:5" ht="16.5" thickTop="1" thickBot="1" x14ac:dyDescent="0.3">
      <c r="A757" s="47" t="str">
        <f t="shared" si="17"/>
        <v/>
      </c>
      <c r="B757" s="48" t="str">
        <f>IFERROR(INDEX(AttendanceSheet!$B$7:$B765,MATCH('Mark Leave'!C757,AttendanceSheet!$C$7:$C791,0)),"")</f>
        <v/>
      </c>
      <c r="C757" s="38"/>
      <c r="D757" s="49"/>
      <c r="E757" s="40"/>
    </row>
    <row r="758" spans="1:5" ht="16.5" thickTop="1" thickBot="1" x14ac:dyDescent="0.3">
      <c r="A758" s="47" t="str">
        <f t="shared" si="17"/>
        <v/>
      </c>
      <c r="B758" s="48" t="str">
        <f>IFERROR(INDEX(AttendanceSheet!$B$7:$B766,MATCH('Mark Leave'!C758,AttendanceSheet!$C$7:$C792,0)),"")</f>
        <v/>
      </c>
      <c r="C758" s="38"/>
      <c r="D758" s="49"/>
      <c r="E758" s="40"/>
    </row>
    <row r="759" spans="1:5" ht="16.5" thickTop="1" thickBot="1" x14ac:dyDescent="0.3">
      <c r="A759" s="47" t="str">
        <f t="shared" si="17"/>
        <v/>
      </c>
      <c r="B759" s="48" t="str">
        <f>IFERROR(INDEX(AttendanceSheet!$B$7:$B767,MATCH('Mark Leave'!C759,AttendanceSheet!$C$7:$C793,0)),"")</f>
        <v/>
      </c>
      <c r="C759" s="38"/>
      <c r="D759" s="49"/>
      <c r="E759" s="40"/>
    </row>
    <row r="760" spans="1:5" ht="16.5" thickTop="1" thickBot="1" x14ac:dyDescent="0.3">
      <c r="A760" s="47" t="str">
        <f t="shared" si="17"/>
        <v/>
      </c>
      <c r="B760" s="48" t="str">
        <f>IFERROR(INDEX(AttendanceSheet!$B$7:$B768,MATCH('Mark Leave'!C760,AttendanceSheet!$C$7:$C794,0)),"")</f>
        <v/>
      </c>
      <c r="C760" s="38"/>
      <c r="D760" s="49"/>
      <c r="E760" s="40"/>
    </row>
    <row r="761" spans="1:5" ht="16.5" thickTop="1" thickBot="1" x14ac:dyDescent="0.3">
      <c r="A761" s="47" t="str">
        <f t="shared" si="17"/>
        <v/>
      </c>
      <c r="B761" s="48" t="str">
        <f>IFERROR(INDEX(AttendanceSheet!$B$7:$B769,MATCH('Mark Leave'!C761,AttendanceSheet!$C$7:$C795,0)),"")</f>
        <v/>
      </c>
      <c r="C761" s="38"/>
      <c r="D761" s="49"/>
      <c r="E761" s="40"/>
    </row>
    <row r="762" spans="1:5" ht="16.5" thickTop="1" thickBot="1" x14ac:dyDescent="0.3">
      <c r="A762" s="47" t="str">
        <f t="shared" si="17"/>
        <v/>
      </c>
      <c r="B762" s="48" t="str">
        <f>IFERROR(INDEX(AttendanceSheet!$B$7:$B770,MATCH('Mark Leave'!C762,AttendanceSheet!$C$7:$C796,0)),"")</f>
        <v/>
      </c>
      <c r="C762" s="38"/>
      <c r="D762" s="49"/>
      <c r="E762" s="40"/>
    </row>
    <row r="763" spans="1:5" ht="16.5" thickTop="1" thickBot="1" x14ac:dyDescent="0.3">
      <c r="A763" s="47" t="str">
        <f t="shared" si="17"/>
        <v/>
      </c>
      <c r="B763" s="48" t="str">
        <f>IFERROR(INDEX(AttendanceSheet!$B$7:$B771,MATCH('Mark Leave'!C763,AttendanceSheet!$C$7:$C797,0)),"")</f>
        <v/>
      </c>
      <c r="C763" s="38"/>
      <c r="D763" s="49"/>
      <c r="E763" s="40"/>
    </row>
    <row r="764" spans="1:5" ht="16.5" thickTop="1" thickBot="1" x14ac:dyDescent="0.3">
      <c r="A764" s="47" t="str">
        <f t="shared" si="17"/>
        <v/>
      </c>
      <c r="B764" s="48" t="str">
        <f>IFERROR(INDEX(AttendanceSheet!$B$7:$B772,MATCH('Mark Leave'!C764,AttendanceSheet!$C$7:$C798,0)),"")</f>
        <v/>
      </c>
      <c r="C764" s="38"/>
      <c r="D764" s="49"/>
      <c r="E764" s="40"/>
    </row>
    <row r="765" spans="1:5" ht="16.5" thickTop="1" thickBot="1" x14ac:dyDescent="0.3">
      <c r="A765" s="47" t="str">
        <f t="shared" si="17"/>
        <v/>
      </c>
      <c r="B765" s="48" t="str">
        <f>IFERROR(INDEX(AttendanceSheet!$B$7:$B773,MATCH('Mark Leave'!C765,AttendanceSheet!$C$7:$C799,0)),"")</f>
        <v/>
      </c>
      <c r="C765" s="38"/>
      <c r="D765" s="49"/>
      <c r="E765" s="40"/>
    </row>
    <row r="766" spans="1:5" ht="16.5" thickTop="1" thickBot="1" x14ac:dyDescent="0.3">
      <c r="A766" s="47" t="str">
        <f t="shared" si="17"/>
        <v/>
      </c>
      <c r="B766" s="48" t="str">
        <f>IFERROR(INDEX(AttendanceSheet!$B$7:$B774,MATCH('Mark Leave'!C766,AttendanceSheet!$C$7:$C800,0)),"")</f>
        <v/>
      </c>
      <c r="C766" s="38"/>
      <c r="D766" s="49"/>
      <c r="E766" s="40"/>
    </row>
    <row r="767" spans="1:5" ht="16.5" thickTop="1" thickBot="1" x14ac:dyDescent="0.3">
      <c r="A767" s="47" t="str">
        <f t="shared" si="17"/>
        <v/>
      </c>
      <c r="B767" s="48" t="str">
        <f>IFERROR(INDEX(AttendanceSheet!$B$7:$B775,MATCH('Mark Leave'!C767,AttendanceSheet!$C$7:$C801,0)),"")</f>
        <v/>
      </c>
      <c r="C767" s="38"/>
      <c r="D767" s="49"/>
      <c r="E767" s="40"/>
    </row>
    <row r="768" spans="1:5" ht="16.5" thickTop="1" thickBot="1" x14ac:dyDescent="0.3">
      <c r="A768" s="47" t="str">
        <f t="shared" si="17"/>
        <v/>
      </c>
      <c r="B768" s="48" t="str">
        <f>IFERROR(INDEX(AttendanceSheet!$B$7:$B776,MATCH('Mark Leave'!C768,AttendanceSheet!$C$7:$C802,0)),"")</f>
        <v/>
      </c>
      <c r="C768" s="38"/>
      <c r="D768" s="49"/>
      <c r="E768" s="40"/>
    </row>
    <row r="769" spans="1:5" ht="16.5" thickTop="1" thickBot="1" x14ac:dyDescent="0.3">
      <c r="A769" s="47" t="str">
        <f t="shared" si="17"/>
        <v/>
      </c>
      <c r="B769" s="48" t="str">
        <f>IFERROR(INDEX(AttendanceSheet!$B$7:$B777,MATCH('Mark Leave'!C769,AttendanceSheet!$C$7:$C803,0)),"")</f>
        <v/>
      </c>
      <c r="C769" s="38"/>
      <c r="D769" s="49"/>
      <c r="E769" s="40"/>
    </row>
    <row r="770" spans="1:5" ht="16.5" thickTop="1" thickBot="1" x14ac:dyDescent="0.3">
      <c r="A770" s="47" t="str">
        <f t="shared" si="17"/>
        <v/>
      </c>
      <c r="B770" s="48" t="str">
        <f>IFERROR(INDEX(AttendanceSheet!$B$7:$B778,MATCH('Mark Leave'!C770,AttendanceSheet!$C$7:$C804,0)),"")</f>
        <v/>
      </c>
      <c r="C770" s="38"/>
      <c r="D770" s="49"/>
      <c r="E770" s="40"/>
    </row>
    <row r="771" spans="1:5" ht="16.5" thickTop="1" thickBot="1" x14ac:dyDescent="0.3">
      <c r="A771" s="47" t="str">
        <f t="shared" si="17"/>
        <v/>
      </c>
      <c r="B771" s="48" t="str">
        <f>IFERROR(INDEX(AttendanceSheet!$B$7:$B779,MATCH('Mark Leave'!C771,AttendanceSheet!$C$7:$C805,0)),"")</f>
        <v/>
      </c>
      <c r="C771" s="38"/>
      <c r="D771" s="49"/>
      <c r="E771" s="40"/>
    </row>
    <row r="772" spans="1:5" ht="16.5" thickTop="1" thickBot="1" x14ac:dyDescent="0.3">
      <c r="A772" s="47" t="str">
        <f t="shared" si="17"/>
        <v/>
      </c>
      <c r="B772" s="48" t="str">
        <f>IFERROR(INDEX(AttendanceSheet!$B$7:$B780,MATCH('Mark Leave'!C772,AttendanceSheet!$C$7:$C806,0)),"")</f>
        <v/>
      </c>
      <c r="C772" s="38"/>
      <c r="D772" s="49"/>
      <c r="E772" s="40"/>
    </row>
    <row r="773" spans="1:5" ht="16.5" thickTop="1" thickBot="1" x14ac:dyDescent="0.3">
      <c r="A773" s="47" t="str">
        <f t="shared" si="17"/>
        <v/>
      </c>
      <c r="B773" s="48" t="str">
        <f>IFERROR(INDEX(AttendanceSheet!$B$7:$B781,MATCH('Mark Leave'!C773,AttendanceSheet!$C$7:$C807,0)),"")</f>
        <v/>
      </c>
      <c r="C773" s="38"/>
      <c r="D773" s="49"/>
      <c r="E773" s="40"/>
    </row>
    <row r="774" spans="1:5" ht="16.5" thickTop="1" thickBot="1" x14ac:dyDescent="0.3">
      <c r="A774" s="47" t="str">
        <f t="shared" si="17"/>
        <v/>
      </c>
      <c r="B774" s="48" t="str">
        <f>IFERROR(INDEX(AttendanceSheet!$B$7:$B782,MATCH('Mark Leave'!C774,AttendanceSheet!$C$7:$C808,0)),"")</f>
        <v/>
      </c>
      <c r="C774" s="38"/>
      <c r="D774" s="49"/>
      <c r="E774" s="40"/>
    </row>
    <row r="775" spans="1:5" ht="16.5" thickTop="1" thickBot="1" x14ac:dyDescent="0.3">
      <c r="A775" s="47" t="str">
        <f t="shared" si="17"/>
        <v/>
      </c>
      <c r="B775" s="48" t="str">
        <f>IFERROR(INDEX(AttendanceSheet!$B$7:$B783,MATCH('Mark Leave'!C775,AttendanceSheet!$C$7:$C809,0)),"")</f>
        <v/>
      </c>
      <c r="C775" s="38"/>
      <c r="D775" s="49"/>
      <c r="E775" s="40"/>
    </row>
    <row r="776" spans="1:5" ht="16.5" thickTop="1" thickBot="1" x14ac:dyDescent="0.3">
      <c r="A776" s="47" t="str">
        <f t="shared" si="17"/>
        <v/>
      </c>
      <c r="B776" s="48" t="str">
        <f>IFERROR(INDEX(AttendanceSheet!$B$7:$B784,MATCH('Mark Leave'!C776,AttendanceSheet!$C$7:$C810,0)),"")</f>
        <v/>
      </c>
      <c r="C776" s="38"/>
      <c r="D776" s="49"/>
      <c r="E776" s="40"/>
    </row>
    <row r="777" spans="1:5" ht="16.5" thickTop="1" thickBot="1" x14ac:dyDescent="0.3">
      <c r="A777" s="47" t="str">
        <f t="shared" si="17"/>
        <v/>
      </c>
      <c r="B777" s="48" t="str">
        <f>IFERROR(INDEX(AttendanceSheet!$B$7:$B785,MATCH('Mark Leave'!C777,AttendanceSheet!$C$7:$C811,0)),"")</f>
        <v/>
      </c>
      <c r="C777" s="38"/>
      <c r="D777" s="49"/>
      <c r="E777" s="40"/>
    </row>
    <row r="778" spans="1:5" ht="16.5" thickTop="1" thickBot="1" x14ac:dyDescent="0.3">
      <c r="A778" s="47" t="str">
        <f t="shared" si="17"/>
        <v/>
      </c>
      <c r="B778" s="48" t="str">
        <f>IFERROR(INDEX(AttendanceSheet!$B$7:$B786,MATCH('Mark Leave'!C778,AttendanceSheet!$C$7:$C812,0)),"")</f>
        <v/>
      </c>
      <c r="C778" s="38"/>
      <c r="D778" s="49"/>
      <c r="E778" s="40"/>
    </row>
    <row r="779" spans="1:5" ht="16.5" thickTop="1" thickBot="1" x14ac:dyDescent="0.3">
      <c r="A779" s="47" t="str">
        <f t="shared" si="17"/>
        <v/>
      </c>
      <c r="B779" s="48" t="str">
        <f>IFERROR(INDEX(AttendanceSheet!$B$7:$B787,MATCH('Mark Leave'!C779,AttendanceSheet!$C$7:$C813,0)),"")</f>
        <v/>
      </c>
      <c r="C779" s="38"/>
      <c r="D779" s="49"/>
      <c r="E779" s="40"/>
    </row>
    <row r="780" spans="1:5" ht="16.5" thickTop="1" thickBot="1" x14ac:dyDescent="0.3">
      <c r="A780" s="47" t="str">
        <f t="shared" si="17"/>
        <v/>
      </c>
      <c r="B780" s="48" t="str">
        <f>IFERROR(INDEX(AttendanceSheet!$B$7:$B788,MATCH('Mark Leave'!C780,AttendanceSheet!$C$7:$C814,0)),"")</f>
        <v/>
      </c>
      <c r="C780" s="38"/>
      <c r="D780" s="49"/>
      <c r="E780" s="40"/>
    </row>
    <row r="781" spans="1:5" ht="16.5" thickTop="1" thickBot="1" x14ac:dyDescent="0.3">
      <c r="A781" s="47" t="str">
        <f t="shared" si="17"/>
        <v/>
      </c>
      <c r="B781" s="48" t="str">
        <f>IFERROR(INDEX(AttendanceSheet!$B$7:$B789,MATCH('Mark Leave'!C781,AttendanceSheet!$C$7:$C815,0)),"")</f>
        <v/>
      </c>
      <c r="C781" s="38"/>
      <c r="D781" s="49"/>
      <c r="E781" s="40"/>
    </row>
    <row r="782" spans="1:5" ht="16.5" thickTop="1" thickBot="1" x14ac:dyDescent="0.3">
      <c r="A782" s="47" t="str">
        <f t="shared" si="17"/>
        <v/>
      </c>
      <c r="B782" s="48" t="str">
        <f>IFERROR(INDEX(AttendanceSheet!$B$7:$B790,MATCH('Mark Leave'!C782,AttendanceSheet!$C$7:$C816,0)),"")</f>
        <v/>
      </c>
      <c r="C782" s="38"/>
      <c r="D782" s="49"/>
      <c r="E782" s="40"/>
    </row>
    <row r="783" spans="1:5" ht="16.5" thickTop="1" thickBot="1" x14ac:dyDescent="0.3">
      <c r="A783" s="47" t="str">
        <f t="shared" si="17"/>
        <v/>
      </c>
      <c r="B783" s="48" t="str">
        <f>IFERROR(INDEX(AttendanceSheet!$B$7:$B791,MATCH('Mark Leave'!C783,AttendanceSheet!$C$7:$C817,0)),"")</f>
        <v/>
      </c>
      <c r="C783" s="38"/>
      <c r="D783" s="49"/>
      <c r="E783" s="40"/>
    </row>
    <row r="784" spans="1:5" ht="16.5" thickTop="1" thickBot="1" x14ac:dyDescent="0.3">
      <c r="A784" s="47" t="str">
        <f t="shared" si="17"/>
        <v/>
      </c>
      <c r="B784" s="48" t="str">
        <f>IFERROR(INDEX(AttendanceSheet!$B$7:$B792,MATCH('Mark Leave'!C784,AttendanceSheet!$C$7:$C818,0)),"")</f>
        <v/>
      </c>
      <c r="C784" s="38"/>
      <c r="D784" s="49"/>
      <c r="E784" s="40"/>
    </row>
    <row r="785" spans="1:5" ht="16.5" thickTop="1" thickBot="1" x14ac:dyDescent="0.3">
      <c r="A785" s="47" t="str">
        <f t="shared" si="17"/>
        <v/>
      </c>
      <c r="B785" s="48" t="str">
        <f>IFERROR(INDEX(AttendanceSheet!$B$7:$B793,MATCH('Mark Leave'!C785,AttendanceSheet!$C$7:$C819,0)),"")</f>
        <v/>
      </c>
      <c r="C785" s="38"/>
      <c r="D785" s="49"/>
      <c r="E785" s="40"/>
    </row>
    <row r="786" spans="1:5" ht="16.5" thickTop="1" thickBot="1" x14ac:dyDescent="0.3">
      <c r="A786" s="47" t="str">
        <f t="shared" si="17"/>
        <v/>
      </c>
      <c r="B786" s="48" t="str">
        <f>IFERROR(INDEX(AttendanceSheet!$B$7:$B794,MATCH('Mark Leave'!C786,AttendanceSheet!$C$7:$C820,0)),"")</f>
        <v/>
      </c>
      <c r="C786" s="38"/>
      <c r="D786" s="49"/>
      <c r="E786" s="40"/>
    </row>
    <row r="787" spans="1:5" ht="16.5" thickTop="1" thickBot="1" x14ac:dyDescent="0.3">
      <c r="A787" s="47" t="str">
        <f t="shared" si="17"/>
        <v/>
      </c>
      <c r="B787" s="48" t="str">
        <f>IFERROR(INDEX(AttendanceSheet!$B$7:$B795,MATCH('Mark Leave'!C787,AttendanceSheet!$C$7:$C821,0)),"")</f>
        <v/>
      </c>
      <c r="C787" s="38"/>
      <c r="D787" s="49"/>
      <c r="E787" s="40"/>
    </row>
    <row r="788" spans="1:5" ht="16.5" thickTop="1" thickBot="1" x14ac:dyDescent="0.3">
      <c r="A788" s="47" t="str">
        <f t="shared" si="17"/>
        <v/>
      </c>
      <c r="B788" s="48" t="str">
        <f>IFERROR(INDEX(AttendanceSheet!$B$7:$B796,MATCH('Mark Leave'!C788,AttendanceSheet!$C$7:$C822,0)),"")</f>
        <v/>
      </c>
      <c r="C788" s="38"/>
      <c r="D788" s="49"/>
      <c r="E788" s="40"/>
    </row>
    <row r="789" spans="1:5" ht="16.5" thickTop="1" thickBot="1" x14ac:dyDescent="0.3">
      <c r="A789" s="47" t="str">
        <f t="shared" si="17"/>
        <v/>
      </c>
      <c r="B789" s="48" t="str">
        <f>IFERROR(INDEX(AttendanceSheet!$B$7:$B797,MATCH('Mark Leave'!C789,AttendanceSheet!$C$7:$C823,0)),"")</f>
        <v/>
      </c>
      <c r="C789" s="38"/>
      <c r="D789" s="49"/>
      <c r="E789" s="40"/>
    </row>
    <row r="790" spans="1:5" ht="16.5" thickTop="1" thickBot="1" x14ac:dyDescent="0.3">
      <c r="A790" s="47" t="str">
        <f t="shared" ref="A790:A853" si="18">B790&amp;D790</f>
        <v/>
      </c>
      <c r="B790" s="48" t="str">
        <f>IFERROR(INDEX(AttendanceSheet!$B$7:$B798,MATCH('Mark Leave'!C790,AttendanceSheet!$C$7:$C824,0)),"")</f>
        <v/>
      </c>
      <c r="C790" s="38"/>
      <c r="D790" s="49"/>
      <c r="E790" s="40"/>
    </row>
    <row r="791" spans="1:5" ht="16.5" thickTop="1" thickBot="1" x14ac:dyDescent="0.3">
      <c r="A791" s="47" t="str">
        <f t="shared" si="18"/>
        <v/>
      </c>
      <c r="B791" s="48" t="str">
        <f>IFERROR(INDEX(AttendanceSheet!$B$7:$B799,MATCH('Mark Leave'!C791,AttendanceSheet!$C$7:$C825,0)),"")</f>
        <v/>
      </c>
      <c r="C791" s="38"/>
      <c r="D791" s="49"/>
      <c r="E791" s="40"/>
    </row>
    <row r="792" spans="1:5" ht="16.5" thickTop="1" thickBot="1" x14ac:dyDescent="0.3">
      <c r="A792" s="47" t="str">
        <f t="shared" si="18"/>
        <v/>
      </c>
      <c r="B792" s="48" t="str">
        <f>IFERROR(INDEX(AttendanceSheet!$B$7:$B800,MATCH('Mark Leave'!C792,AttendanceSheet!$C$7:$C826,0)),"")</f>
        <v/>
      </c>
      <c r="C792" s="38"/>
      <c r="D792" s="49"/>
      <c r="E792" s="40"/>
    </row>
    <row r="793" spans="1:5" ht="16.5" thickTop="1" thickBot="1" x14ac:dyDescent="0.3">
      <c r="A793" s="47" t="str">
        <f t="shared" si="18"/>
        <v/>
      </c>
      <c r="B793" s="48" t="str">
        <f>IFERROR(INDEX(AttendanceSheet!$B$7:$B801,MATCH('Mark Leave'!C793,AttendanceSheet!$C$7:$C827,0)),"")</f>
        <v/>
      </c>
      <c r="C793" s="38"/>
      <c r="D793" s="49"/>
      <c r="E793" s="40"/>
    </row>
    <row r="794" spans="1:5" ht="16.5" thickTop="1" thickBot="1" x14ac:dyDescent="0.3">
      <c r="A794" s="47" t="str">
        <f t="shared" si="18"/>
        <v/>
      </c>
      <c r="B794" s="48" t="str">
        <f>IFERROR(INDEX(AttendanceSheet!$B$7:$B802,MATCH('Mark Leave'!C794,AttendanceSheet!$C$7:$C828,0)),"")</f>
        <v/>
      </c>
      <c r="C794" s="38"/>
      <c r="D794" s="49"/>
      <c r="E794" s="40"/>
    </row>
    <row r="795" spans="1:5" ht="16.5" thickTop="1" thickBot="1" x14ac:dyDescent="0.3">
      <c r="A795" s="47" t="str">
        <f t="shared" si="18"/>
        <v/>
      </c>
      <c r="B795" s="48" t="str">
        <f>IFERROR(INDEX(AttendanceSheet!$B$7:$B803,MATCH('Mark Leave'!C795,AttendanceSheet!$C$7:$C829,0)),"")</f>
        <v/>
      </c>
      <c r="C795" s="38"/>
      <c r="D795" s="49"/>
      <c r="E795" s="40"/>
    </row>
    <row r="796" spans="1:5" ht="16.5" thickTop="1" thickBot="1" x14ac:dyDescent="0.3">
      <c r="A796" s="47" t="str">
        <f t="shared" si="18"/>
        <v/>
      </c>
      <c r="B796" s="48" t="str">
        <f>IFERROR(INDEX(AttendanceSheet!$B$7:$B804,MATCH('Mark Leave'!C796,AttendanceSheet!$C$7:$C830,0)),"")</f>
        <v/>
      </c>
      <c r="C796" s="38"/>
      <c r="D796" s="49"/>
      <c r="E796" s="40"/>
    </row>
    <row r="797" spans="1:5" ht="16.5" thickTop="1" thickBot="1" x14ac:dyDescent="0.3">
      <c r="A797" s="47" t="str">
        <f t="shared" si="18"/>
        <v/>
      </c>
      <c r="B797" s="48" t="str">
        <f>IFERROR(INDEX(AttendanceSheet!$B$7:$B805,MATCH('Mark Leave'!C797,AttendanceSheet!$C$7:$C831,0)),"")</f>
        <v/>
      </c>
      <c r="C797" s="38"/>
      <c r="D797" s="49"/>
      <c r="E797" s="40"/>
    </row>
    <row r="798" spans="1:5" ht="16.5" thickTop="1" thickBot="1" x14ac:dyDescent="0.3">
      <c r="A798" s="47" t="str">
        <f t="shared" si="18"/>
        <v/>
      </c>
      <c r="B798" s="48" t="str">
        <f>IFERROR(INDEX(AttendanceSheet!$B$7:$B806,MATCH('Mark Leave'!C798,AttendanceSheet!$C$7:$C832,0)),"")</f>
        <v/>
      </c>
      <c r="C798" s="38"/>
      <c r="D798" s="49"/>
      <c r="E798" s="40"/>
    </row>
    <row r="799" spans="1:5" ht="16.5" thickTop="1" thickBot="1" x14ac:dyDescent="0.3">
      <c r="A799" s="47" t="str">
        <f t="shared" si="18"/>
        <v/>
      </c>
      <c r="B799" s="48" t="str">
        <f>IFERROR(INDEX(AttendanceSheet!$B$7:$B807,MATCH('Mark Leave'!C799,AttendanceSheet!$C$7:$C833,0)),"")</f>
        <v/>
      </c>
      <c r="C799" s="38"/>
      <c r="D799" s="49"/>
      <c r="E799" s="40"/>
    </row>
    <row r="800" spans="1:5" ht="16.5" thickTop="1" thickBot="1" x14ac:dyDescent="0.3">
      <c r="A800" s="47" t="str">
        <f t="shared" si="18"/>
        <v/>
      </c>
      <c r="B800" s="48" t="str">
        <f>IFERROR(INDEX(AttendanceSheet!$B$7:$B808,MATCH('Mark Leave'!C800,AttendanceSheet!$C$7:$C834,0)),"")</f>
        <v/>
      </c>
      <c r="C800" s="38"/>
      <c r="D800" s="49"/>
      <c r="E800" s="40"/>
    </row>
    <row r="801" spans="1:5" ht="16.5" thickTop="1" thickBot="1" x14ac:dyDescent="0.3">
      <c r="A801" s="47" t="str">
        <f t="shared" si="18"/>
        <v/>
      </c>
      <c r="B801" s="48" t="str">
        <f>IFERROR(INDEX(AttendanceSheet!$B$7:$B809,MATCH('Mark Leave'!C801,AttendanceSheet!$C$7:$C835,0)),"")</f>
        <v/>
      </c>
      <c r="C801" s="38"/>
      <c r="D801" s="49"/>
      <c r="E801" s="40"/>
    </row>
    <row r="802" spans="1:5" ht="16.5" thickTop="1" thickBot="1" x14ac:dyDescent="0.3">
      <c r="A802" s="47" t="str">
        <f t="shared" si="18"/>
        <v/>
      </c>
      <c r="B802" s="48" t="str">
        <f>IFERROR(INDEX(AttendanceSheet!$B$7:$B810,MATCH('Mark Leave'!C802,AttendanceSheet!$C$7:$C836,0)),"")</f>
        <v/>
      </c>
      <c r="C802" s="38"/>
      <c r="D802" s="49"/>
      <c r="E802" s="40"/>
    </row>
    <row r="803" spans="1:5" ht="16.5" thickTop="1" thickBot="1" x14ac:dyDescent="0.3">
      <c r="A803" s="47" t="str">
        <f t="shared" si="18"/>
        <v/>
      </c>
      <c r="B803" s="48" t="str">
        <f>IFERROR(INDEX(AttendanceSheet!$B$7:$B811,MATCH('Mark Leave'!C803,AttendanceSheet!$C$7:$C837,0)),"")</f>
        <v/>
      </c>
      <c r="C803" s="38"/>
      <c r="D803" s="49"/>
      <c r="E803" s="40"/>
    </row>
    <row r="804" spans="1:5" ht="16.5" thickTop="1" thickBot="1" x14ac:dyDescent="0.3">
      <c r="A804" s="47" t="str">
        <f t="shared" si="18"/>
        <v/>
      </c>
      <c r="B804" s="48" t="str">
        <f>IFERROR(INDEX(AttendanceSheet!$B$7:$B812,MATCH('Mark Leave'!C804,AttendanceSheet!$C$7:$C838,0)),"")</f>
        <v/>
      </c>
      <c r="C804" s="38"/>
      <c r="D804" s="49"/>
      <c r="E804" s="40"/>
    </row>
    <row r="805" spans="1:5" ht="16.5" thickTop="1" thickBot="1" x14ac:dyDescent="0.3">
      <c r="A805" s="47" t="str">
        <f t="shared" si="18"/>
        <v/>
      </c>
      <c r="B805" s="48" t="str">
        <f>IFERROR(INDEX(AttendanceSheet!$B$7:$B813,MATCH('Mark Leave'!C805,AttendanceSheet!$C$7:$C839,0)),"")</f>
        <v/>
      </c>
      <c r="C805" s="38"/>
      <c r="D805" s="49"/>
      <c r="E805" s="40"/>
    </row>
    <row r="806" spans="1:5" ht="16.5" thickTop="1" thickBot="1" x14ac:dyDescent="0.3">
      <c r="A806" s="47" t="str">
        <f t="shared" si="18"/>
        <v/>
      </c>
      <c r="B806" s="48" t="str">
        <f>IFERROR(INDEX(AttendanceSheet!$B$7:$B814,MATCH('Mark Leave'!C806,AttendanceSheet!$C$7:$C840,0)),"")</f>
        <v/>
      </c>
      <c r="C806" s="38"/>
      <c r="D806" s="49"/>
      <c r="E806" s="40"/>
    </row>
    <row r="807" spans="1:5" ht="16.5" thickTop="1" thickBot="1" x14ac:dyDescent="0.3">
      <c r="A807" s="47" t="str">
        <f t="shared" si="18"/>
        <v/>
      </c>
      <c r="B807" s="48" t="str">
        <f>IFERROR(INDEX(AttendanceSheet!$B$7:$B815,MATCH('Mark Leave'!C807,AttendanceSheet!$C$7:$C841,0)),"")</f>
        <v/>
      </c>
      <c r="C807" s="38"/>
      <c r="D807" s="49"/>
      <c r="E807" s="40"/>
    </row>
    <row r="808" spans="1:5" ht="16.5" thickTop="1" thickBot="1" x14ac:dyDescent="0.3">
      <c r="A808" s="47" t="str">
        <f t="shared" si="18"/>
        <v/>
      </c>
      <c r="B808" s="48" t="str">
        <f>IFERROR(INDEX(AttendanceSheet!$B$7:$B816,MATCH('Mark Leave'!C808,AttendanceSheet!$C$7:$C842,0)),"")</f>
        <v/>
      </c>
      <c r="C808" s="38"/>
      <c r="D808" s="49"/>
      <c r="E808" s="40"/>
    </row>
    <row r="809" spans="1:5" ht="16.5" thickTop="1" thickBot="1" x14ac:dyDescent="0.3">
      <c r="A809" s="47" t="str">
        <f t="shared" si="18"/>
        <v/>
      </c>
      <c r="B809" s="48" t="str">
        <f>IFERROR(INDEX(AttendanceSheet!$B$7:$B817,MATCH('Mark Leave'!C809,AttendanceSheet!$C$7:$C843,0)),"")</f>
        <v/>
      </c>
      <c r="C809" s="38"/>
      <c r="D809" s="49"/>
      <c r="E809" s="40"/>
    </row>
    <row r="810" spans="1:5" ht="16.5" thickTop="1" thickBot="1" x14ac:dyDescent="0.3">
      <c r="A810" s="47" t="str">
        <f t="shared" si="18"/>
        <v/>
      </c>
      <c r="B810" s="48" t="str">
        <f>IFERROR(INDEX(AttendanceSheet!$B$7:$B818,MATCH('Mark Leave'!C810,AttendanceSheet!$C$7:$C844,0)),"")</f>
        <v/>
      </c>
      <c r="C810" s="38"/>
      <c r="D810" s="49"/>
      <c r="E810" s="40"/>
    </row>
    <row r="811" spans="1:5" ht="16.5" thickTop="1" thickBot="1" x14ac:dyDescent="0.3">
      <c r="A811" s="47" t="str">
        <f t="shared" si="18"/>
        <v/>
      </c>
      <c r="B811" s="48" t="str">
        <f>IFERROR(INDEX(AttendanceSheet!$B$7:$B819,MATCH('Mark Leave'!C811,AttendanceSheet!$C$7:$C845,0)),"")</f>
        <v/>
      </c>
      <c r="C811" s="38"/>
      <c r="D811" s="49"/>
      <c r="E811" s="40"/>
    </row>
    <row r="812" spans="1:5" ht="16.5" thickTop="1" thickBot="1" x14ac:dyDescent="0.3">
      <c r="A812" s="47" t="str">
        <f t="shared" si="18"/>
        <v/>
      </c>
      <c r="B812" s="48" t="str">
        <f>IFERROR(INDEX(AttendanceSheet!$B$7:$B820,MATCH('Mark Leave'!C812,AttendanceSheet!$C$7:$C846,0)),"")</f>
        <v/>
      </c>
      <c r="C812" s="38"/>
      <c r="D812" s="49"/>
      <c r="E812" s="40"/>
    </row>
    <row r="813" spans="1:5" ht="16.5" thickTop="1" thickBot="1" x14ac:dyDescent="0.3">
      <c r="A813" s="47" t="str">
        <f t="shared" si="18"/>
        <v/>
      </c>
      <c r="B813" s="48" t="str">
        <f>IFERROR(INDEX(AttendanceSheet!$B$7:$B821,MATCH('Mark Leave'!C813,AttendanceSheet!$C$7:$C847,0)),"")</f>
        <v/>
      </c>
      <c r="C813" s="38"/>
      <c r="D813" s="49"/>
      <c r="E813" s="40"/>
    </row>
    <row r="814" spans="1:5" ht="16.5" thickTop="1" thickBot="1" x14ac:dyDescent="0.3">
      <c r="A814" s="47" t="str">
        <f t="shared" si="18"/>
        <v/>
      </c>
      <c r="B814" s="48" t="str">
        <f>IFERROR(INDEX(AttendanceSheet!$B$7:$B822,MATCH('Mark Leave'!C814,AttendanceSheet!$C$7:$C848,0)),"")</f>
        <v/>
      </c>
      <c r="C814" s="38"/>
      <c r="D814" s="49"/>
      <c r="E814" s="40"/>
    </row>
    <row r="815" spans="1:5" ht="16.5" thickTop="1" thickBot="1" x14ac:dyDescent="0.3">
      <c r="A815" s="47" t="str">
        <f t="shared" si="18"/>
        <v/>
      </c>
      <c r="B815" s="48" t="str">
        <f>IFERROR(INDEX(AttendanceSheet!$B$7:$B823,MATCH('Mark Leave'!C815,AttendanceSheet!$C$7:$C849,0)),"")</f>
        <v/>
      </c>
      <c r="C815" s="38"/>
      <c r="D815" s="49"/>
      <c r="E815" s="40"/>
    </row>
    <row r="816" spans="1:5" ht="16.5" thickTop="1" thickBot="1" x14ac:dyDescent="0.3">
      <c r="A816" s="47" t="str">
        <f t="shared" si="18"/>
        <v/>
      </c>
      <c r="B816" s="48" t="str">
        <f>IFERROR(INDEX(AttendanceSheet!$B$7:$B824,MATCH('Mark Leave'!C816,AttendanceSheet!$C$7:$C850,0)),"")</f>
        <v/>
      </c>
      <c r="C816" s="38"/>
      <c r="D816" s="49"/>
      <c r="E816" s="40"/>
    </row>
    <row r="817" spans="1:5" ht="16.5" thickTop="1" thickBot="1" x14ac:dyDescent="0.3">
      <c r="A817" s="47" t="str">
        <f t="shared" si="18"/>
        <v/>
      </c>
      <c r="B817" s="48" t="str">
        <f>IFERROR(INDEX(AttendanceSheet!$B$7:$B825,MATCH('Mark Leave'!C817,AttendanceSheet!$C$7:$C851,0)),"")</f>
        <v/>
      </c>
      <c r="C817" s="38"/>
      <c r="D817" s="49"/>
      <c r="E817" s="40"/>
    </row>
    <row r="818" spans="1:5" ht="16.5" thickTop="1" thickBot="1" x14ac:dyDescent="0.3">
      <c r="A818" s="47" t="str">
        <f t="shared" si="18"/>
        <v/>
      </c>
      <c r="B818" s="48" t="str">
        <f>IFERROR(INDEX(AttendanceSheet!$B$7:$B826,MATCH('Mark Leave'!C818,AttendanceSheet!$C$7:$C852,0)),"")</f>
        <v/>
      </c>
      <c r="C818" s="38"/>
      <c r="D818" s="49"/>
      <c r="E818" s="40"/>
    </row>
    <row r="819" spans="1:5" ht="16.5" thickTop="1" thickBot="1" x14ac:dyDescent="0.3">
      <c r="A819" s="47" t="str">
        <f t="shared" si="18"/>
        <v/>
      </c>
      <c r="B819" s="48" t="str">
        <f>IFERROR(INDEX(AttendanceSheet!$B$7:$B827,MATCH('Mark Leave'!C819,AttendanceSheet!$C$7:$C853,0)),"")</f>
        <v/>
      </c>
      <c r="C819" s="38"/>
      <c r="D819" s="49"/>
      <c r="E819" s="40"/>
    </row>
    <row r="820" spans="1:5" ht="16.5" thickTop="1" thickBot="1" x14ac:dyDescent="0.3">
      <c r="A820" s="47" t="str">
        <f t="shared" si="18"/>
        <v/>
      </c>
      <c r="B820" s="48" t="str">
        <f>IFERROR(INDEX(AttendanceSheet!$B$7:$B828,MATCH('Mark Leave'!C820,AttendanceSheet!$C$7:$C854,0)),"")</f>
        <v/>
      </c>
      <c r="C820" s="38"/>
      <c r="D820" s="49"/>
      <c r="E820" s="40"/>
    </row>
    <row r="821" spans="1:5" ht="16.5" thickTop="1" thickBot="1" x14ac:dyDescent="0.3">
      <c r="A821" s="47" t="str">
        <f t="shared" si="18"/>
        <v/>
      </c>
      <c r="B821" s="48" t="str">
        <f>IFERROR(INDEX(AttendanceSheet!$B$7:$B829,MATCH('Mark Leave'!C821,AttendanceSheet!$C$7:$C855,0)),"")</f>
        <v/>
      </c>
      <c r="C821" s="38"/>
      <c r="D821" s="49"/>
      <c r="E821" s="40"/>
    </row>
    <row r="822" spans="1:5" ht="16.5" thickTop="1" thickBot="1" x14ac:dyDescent="0.3">
      <c r="A822" s="47" t="str">
        <f t="shared" si="18"/>
        <v/>
      </c>
      <c r="B822" s="48" t="str">
        <f>IFERROR(INDEX(AttendanceSheet!$B$7:$B830,MATCH('Mark Leave'!C822,AttendanceSheet!$C$7:$C856,0)),"")</f>
        <v/>
      </c>
      <c r="C822" s="38"/>
      <c r="D822" s="49"/>
      <c r="E822" s="40"/>
    </row>
    <row r="823" spans="1:5" ht="16.5" thickTop="1" thickBot="1" x14ac:dyDescent="0.3">
      <c r="A823" s="47" t="str">
        <f t="shared" si="18"/>
        <v/>
      </c>
      <c r="B823" s="48" t="str">
        <f>IFERROR(INDEX(AttendanceSheet!$B$7:$B831,MATCH('Mark Leave'!C823,AttendanceSheet!$C$7:$C857,0)),"")</f>
        <v/>
      </c>
      <c r="C823" s="38"/>
      <c r="D823" s="49"/>
      <c r="E823" s="40"/>
    </row>
    <row r="824" spans="1:5" ht="16.5" thickTop="1" thickBot="1" x14ac:dyDescent="0.3">
      <c r="A824" s="47" t="str">
        <f t="shared" si="18"/>
        <v/>
      </c>
      <c r="B824" s="48" t="str">
        <f>IFERROR(INDEX(AttendanceSheet!$B$7:$B832,MATCH('Mark Leave'!C824,AttendanceSheet!$C$7:$C858,0)),"")</f>
        <v/>
      </c>
      <c r="C824" s="38"/>
      <c r="D824" s="49"/>
      <c r="E824" s="40"/>
    </row>
    <row r="825" spans="1:5" ht="16.5" thickTop="1" thickBot="1" x14ac:dyDescent="0.3">
      <c r="A825" s="47" t="str">
        <f t="shared" si="18"/>
        <v/>
      </c>
      <c r="B825" s="48" t="str">
        <f>IFERROR(INDEX(AttendanceSheet!$B$7:$B833,MATCH('Mark Leave'!C825,AttendanceSheet!$C$7:$C859,0)),"")</f>
        <v/>
      </c>
      <c r="C825" s="38"/>
      <c r="D825" s="49"/>
      <c r="E825" s="40"/>
    </row>
    <row r="826" spans="1:5" ht="16.5" thickTop="1" thickBot="1" x14ac:dyDescent="0.3">
      <c r="A826" s="47" t="str">
        <f t="shared" si="18"/>
        <v/>
      </c>
      <c r="B826" s="48" t="str">
        <f>IFERROR(INDEX(AttendanceSheet!$B$7:$B834,MATCH('Mark Leave'!C826,AttendanceSheet!$C$7:$C860,0)),"")</f>
        <v/>
      </c>
      <c r="C826" s="38"/>
      <c r="D826" s="49"/>
      <c r="E826" s="40"/>
    </row>
    <row r="827" spans="1:5" ht="16.5" thickTop="1" thickBot="1" x14ac:dyDescent="0.3">
      <c r="A827" s="47" t="str">
        <f t="shared" si="18"/>
        <v/>
      </c>
      <c r="B827" s="48" t="str">
        <f>IFERROR(INDEX(AttendanceSheet!$B$7:$B835,MATCH('Mark Leave'!C827,AttendanceSheet!$C$7:$C861,0)),"")</f>
        <v/>
      </c>
      <c r="C827" s="38"/>
      <c r="D827" s="49"/>
      <c r="E827" s="40"/>
    </row>
    <row r="828" spans="1:5" ht="16.5" thickTop="1" thickBot="1" x14ac:dyDescent="0.3">
      <c r="A828" s="47" t="str">
        <f t="shared" si="18"/>
        <v/>
      </c>
      <c r="B828" s="48" t="str">
        <f>IFERROR(INDEX(AttendanceSheet!$B$7:$B836,MATCH('Mark Leave'!C828,AttendanceSheet!$C$7:$C862,0)),"")</f>
        <v/>
      </c>
      <c r="C828" s="38"/>
      <c r="D828" s="49"/>
      <c r="E828" s="40"/>
    </row>
    <row r="829" spans="1:5" ht="16.5" thickTop="1" thickBot="1" x14ac:dyDescent="0.3">
      <c r="A829" s="47" t="str">
        <f t="shared" si="18"/>
        <v/>
      </c>
      <c r="B829" s="48" t="str">
        <f>IFERROR(INDEX(AttendanceSheet!$B$7:$B837,MATCH('Mark Leave'!C829,AttendanceSheet!$C$7:$C863,0)),"")</f>
        <v/>
      </c>
      <c r="C829" s="38"/>
      <c r="D829" s="49"/>
      <c r="E829" s="40"/>
    </row>
    <row r="830" spans="1:5" ht="16.5" thickTop="1" thickBot="1" x14ac:dyDescent="0.3">
      <c r="A830" s="47" t="str">
        <f t="shared" si="18"/>
        <v/>
      </c>
      <c r="B830" s="48" t="str">
        <f>IFERROR(INDEX(AttendanceSheet!$B$7:$B838,MATCH('Mark Leave'!C830,AttendanceSheet!$C$7:$C864,0)),"")</f>
        <v/>
      </c>
      <c r="C830" s="38"/>
      <c r="D830" s="49"/>
      <c r="E830" s="40"/>
    </row>
    <row r="831" spans="1:5" ht="16.5" thickTop="1" thickBot="1" x14ac:dyDescent="0.3">
      <c r="A831" s="47" t="str">
        <f t="shared" si="18"/>
        <v/>
      </c>
      <c r="B831" s="48" t="str">
        <f>IFERROR(INDEX(AttendanceSheet!$B$7:$B839,MATCH('Mark Leave'!C831,AttendanceSheet!$C$7:$C865,0)),"")</f>
        <v/>
      </c>
      <c r="C831" s="38"/>
      <c r="D831" s="49"/>
      <c r="E831" s="40"/>
    </row>
    <row r="832" spans="1:5" ht="16.5" thickTop="1" thickBot="1" x14ac:dyDescent="0.3">
      <c r="A832" s="47" t="str">
        <f t="shared" si="18"/>
        <v/>
      </c>
      <c r="B832" s="48" t="str">
        <f>IFERROR(INDEX(AttendanceSheet!$B$7:$B840,MATCH('Mark Leave'!C832,AttendanceSheet!$C$7:$C866,0)),"")</f>
        <v/>
      </c>
      <c r="C832" s="38"/>
      <c r="D832" s="49"/>
      <c r="E832" s="40"/>
    </row>
    <row r="833" spans="1:5" ht="16.5" thickTop="1" thickBot="1" x14ac:dyDescent="0.3">
      <c r="A833" s="47" t="str">
        <f t="shared" si="18"/>
        <v/>
      </c>
      <c r="B833" s="48" t="str">
        <f>IFERROR(INDEX(AttendanceSheet!$B$7:$B841,MATCH('Mark Leave'!C833,AttendanceSheet!$C$7:$C867,0)),"")</f>
        <v/>
      </c>
      <c r="C833" s="38"/>
      <c r="D833" s="49"/>
      <c r="E833" s="40"/>
    </row>
    <row r="834" spans="1:5" ht="16.5" thickTop="1" thickBot="1" x14ac:dyDescent="0.3">
      <c r="A834" s="47" t="str">
        <f t="shared" si="18"/>
        <v/>
      </c>
      <c r="B834" s="48" t="str">
        <f>IFERROR(INDEX(AttendanceSheet!$B$7:$B842,MATCH('Mark Leave'!C834,AttendanceSheet!$C$7:$C868,0)),"")</f>
        <v/>
      </c>
      <c r="C834" s="38"/>
      <c r="D834" s="49"/>
      <c r="E834" s="40"/>
    </row>
    <row r="835" spans="1:5" ht="16.5" thickTop="1" thickBot="1" x14ac:dyDescent="0.3">
      <c r="A835" s="47" t="str">
        <f t="shared" si="18"/>
        <v/>
      </c>
      <c r="B835" s="48" t="str">
        <f>IFERROR(INDEX(AttendanceSheet!$B$7:$B843,MATCH('Mark Leave'!C835,AttendanceSheet!$C$7:$C869,0)),"")</f>
        <v/>
      </c>
      <c r="C835" s="38"/>
      <c r="D835" s="49"/>
      <c r="E835" s="40"/>
    </row>
    <row r="836" spans="1:5" ht="16.5" thickTop="1" thickBot="1" x14ac:dyDescent="0.3">
      <c r="A836" s="47" t="str">
        <f t="shared" si="18"/>
        <v/>
      </c>
      <c r="B836" s="48" t="str">
        <f>IFERROR(INDEX(AttendanceSheet!$B$7:$B844,MATCH('Mark Leave'!C836,AttendanceSheet!$C$7:$C870,0)),"")</f>
        <v/>
      </c>
      <c r="C836" s="38"/>
      <c r="D836" s="49"/>
      <c r="E836" s="40"/>
    </row>
    <row r="837" spans="1:5" ht="16.5" thickTop="1" thickBot="1" x14ac:dyDescent="0.3">
      <c r="A837" s="47" t="str">
        <f t="shared" si="18"/>
        <v/>
      </c>
      <c r="B837" s="48" t="str">
        <f>IFERROR(INDEX(AttendanceSheet!$B$7:$B845,MATCH('Mark Leave'!C837,AttendanceSheet!$C$7:$C871,0)),"")</f>
        <v/>
      </c>
      <c r="C837" s="38"/>
      <c r="D837" s="49"/>
      <c r="E837" s="40"/>
    </row>
    <row r="838" spans="1:5" ht="16.5" thickTop="1" thickBot="1" x14ac:dyDescent="0.3">
      <c r="A838" s="47" t="str">
        <f t="shared" si="18"/>
        <v/>
      </c>
      <c r="B838" s="48" t="str">
        <f>IFERROR(INDEX(AttendanceSheet!$B$7:$B846,MATCH('Mark Leave'!C838,AttendanceSheet!$C$7:$C872,0)),"")</f>
        <v/>
      </c>
      <c r="C838" s="38"/>
      <c r="D838" s="49"/>
      <c r="E838" s="40"/>
    </row>
    <row r="839" spans="1:5" ht="16.5" thickTop="1" thickBot="1" x14ac:dyDescent="0.3">
      <c r="A839" s="47" t="str">
        <f t="shared" si="18"/>
        <v/>
      </c>
      <c r="B839" s="48" t="str">
        <f>IFERROR(INDEX(AttendanceSheet!$B$7:$B847,MATCH('Mark Leave'!C839,AttendanceSheet!$C$7:$C873,0)),"")</f>
        <v/>
      </c>
      <c r="C839" s="38"/>
      <c r="D839" s="49"/>
      <c r="E839" s="40"/>
    </row>
    <row r="840" spans="1:5" ht="16.5" thickTop="1" thickBot="1" x14ac:dyDescent="0.3">
      <c r="A840" s="47" t="str">
        <f t="shared" si="18"/>
        <v/>
      </c>
      <c r="B840" s="48" t="str">
        <f>IFERROR(INDEX(AttendanceSheet!$B$7:$B848,MATCH('Mark Leave'!C840,AttendanceSheet!$C$7:$C874,0)),"")</f>
        <v/>
      </c>
      <c r="C840" s="38"/>
      <c r="D840" s="49"/>
      <c r="E840" s="40"/>
    </row>
    <row r="841" spans="1:5" ht="16.5" thickTop="1" thickBot="1" x14ac:dyDescent="0.3">
      <c r="A841" s="47" t="str">
        <f t="shared" si="18"/>
        <v/>
      </c>
      <c r="B841" s="48" t="str">
        <f>IFERROR(INDEX(AttendanceSheet!$B$7:$B849,MATCH('Mark Leave'!C841,AttendanceSheet!$C$7:$C875,0)),"")</f>
        <v/>
      </c>
      <c r="C841" s="38"/>
      <c r="D841" s="49"/>
      <c r="E841" s="40"/>
    </row>
    <row r="842" spans="1:5" ht="16.5" thickTop="1" thickBot="1" x14ac:dyDescent="0.3">
      <c r="A842" s="47" t="str">
        <f t="shared" si="18"/>
        <v/>
      </c>
      <c r="B842" s="48" t="str">
        <f>IFERROR(INDEX(AttendanceSheet!$B$7:$B850,MATCH('Mark Leave'!C842,AttendanceSheet!$C$7:$C876,0)),"")</f>
        <v/>
      </c>
      <c r="C842" s="38"/>
      <c r="D842" s="49"/>
      <c r="E842" s="40"/>
    </row>
    <row r="843" spans="1:5" ht="16.5" thickTop="1" thickBot="1" x14ac:dyDescent="0.3">
      <c r="A843" s="47" t="str">
        <f t="shared" si="18"/>
        <v/>
      </c>
      <c r="B843" s="48" t="str">
        <f>IFERROR(INDEX(AttendanceSheet!$B$7:$B851,MATCH('Mark Leave'!C843,AttendanceSheet!$C$7:$C877,0)),"")</f>
        <v/>
      </c>
      <c r="C843" s="38"/>
      <c r="D843" s="49"/>
      <c r="E843" s="40"/>
    </row>
    <row r="844" spans="1:5" ht="16.5" thickTop="1" thickBot="1" x14ac:dyDescent="0.3">
      <c r="A844" s="47" t="str">
        <f t="shared" si="18"/>
        <v/>
      </c>
      <c r="B844" s="48" t="str">
        <f>IFERROR(INDEX(AttendanceSheet!$B$7:$B852,MATCH('Mark Leave'!C844,AttendanceSheet!$C$7:$C878,0)),"")</f>
        <v/>
      </c>
      <c r="C844" s="38"/>
      <c r="D844" s="49"/>
      <c r="E844" s="40"/>
    </row>
    <row r="845" spans="1:5" ht="16.5" thickTop="1" thickBot="1" x14ac:dyDescent="0.3">
      <c r="A845" s="47" t="str">
        <f t="shared" si="18"/>
        <v/>
      </c>
      <c r="B845" s="48" t="str">
        <f>IFERROR(INDEX(AttendanceSheet!$B$7:$B853,MATCH('Mark Leave'!C845,AttendanceSheet!$C$7:$C879,0)),"")</f>
        <v/>
      </c>
      <c r="C845" s="38"/>
      <c r="D845" s="49"/>
      <c r="E845" s="40"/>
    </row>
    <row r="846" spans="1:5" ht="16.5" thickTop="1" thickBot="1" x14ac:dyDescent="0.3">
      <c r="A846" s="47" t="str">
        <f t="shared" si="18"/>
        <v/>
      </c>
      <c r="B846" s="48" t="str">
        <f>IFERROR(INDEX(AttendanceSheet!$B$7:$B854,MATCH('Mark Leave'!C846,AttendanceSheet!$C$7:$C880,0)),"")</f>
        <v/>
      </c>
      <c r="C846" s="38"/>
      <c r="D846" s="49"/>
      <c r="E846" s="40"/>
    </row>
    <row r="847" spans="1:5" ht="16.5" thickTop="1" thickBot="1" x14ac:dyDescent="0.3">
      <c r="A847" s="47" t="str">
        <f t="shared" si="18"/>
        <v/>
      </c>
      <c r="B847" s="48" t="str">
        <f>IFERROR(INDEX(AttendanceSheet!$B$7:$B855,MATCH('Mark Leave'!C847,AttendanceSheet!$C$7:$C881,0)),"")</f>
        <v/>
      </c>
      <c r="C847" s="38"/>
      <c r="D847" s="49"/>
      <c r="E847" s="40"/>
    </row>
    <row r="848" spans="1:5" ht="16.5" thickTop="1" thickBot="1" x14ac:dyDescent="0.3">
      <c r="A848" s="47" t="str">
        <f t="shared" si="18"/>
        <v/>
      </c>
      <c r="B848" s="48" t="str">
        <f>IFERROR(INDEX(AttendanceSheet!$B$7:$B856,MATCH('Mark Leave'!C848,AttendanceSheet!$C$7:$C882,0)),"")</f>
        <v/>
      </c>
      <c r="C848" s="38"/>
      <c r="D848" s="49"/>
      <c r="E848" s="40"/>
    </row>
    <row r="849" spans="1:5" ht="16.5" thickTop="1" thickBot="1" x14ac:dyDescent="0.3">
      <c r="A849" s="47" t="str">
        <f t="shared" si="18"/>
        <v/>
      </c>
      <c r="B849" s="48" t="str">
        <f>IFERROR(INDEX(AttendanceSheet!$B$7:$B857,MATCH('Mark Leave'!C849,AttendanceSheet!$C$7:$C883,0)),"")</f>
        <v/>
      </c>
      <c r="C849" s="38"/>
      <c r="D849" s="49"/>
      <c r="E849" s="40"/>
    </row>
    <row r="850" spans="1:5" ht="16.5" thickTop="1" thickBot="1" x14ac:dyDescent="0.3">
      <c r="A850" s="47" t="str">
        <f t="shared" si="18"/>
        <v/>
      </c>
      <c r="B850" s="48" t="str">
        <f>IFERROR(INDEX(AttendanceSheet!$B$7:$B858,MATCH('Mark Leave'!C850,AttendanceSheet!$C$7:$C884,0)),"")</f>
        <v/>
      </c>
      <c r="C850" s="38"/>
      <c r="D850" s="49"/>
      <c r="E850" s="40"/>
    </row>
    <row r="851" spans="1:5" ht="16.5" thickTop="1" thickBot="1" x14ac:dyDescent="0.3">
      <c r="A851" s="47" t="str">
        <f t="shared" si="18"/>
        <v/>
      </c>
      <c r="B851" s="48" t="str">
        <f>IFERROR(INDEX(AttendanceSheet!$B$7:$B859,MATCH('Mark Leave'!C851,AttendanceSheet!$C$7:$C885,0)),"")</f>
        <v/>
      </c>
      <c r="C851" s="38"/>
      <c r="D851" s="49"/>
      <c r="E851" s="40"/>
    </row>
    <row r="852" spans="1:5" ht="16.5" thickTop="1" thickBot="1" x14ac:dyDescent="0.3">
      <c r="A852" s="47" t="str">
        <f t="shared" si="18"/>
        <v/>
      </c>
      <c r="B852" s="48" t="str">
        <f>IFERROR(INDEX(AttendanceSheet!$B$7:$B860,MATCH('Mark Leave'!C852,AttendanceSheet!$C$7:$C886,0)),"")</f>
        <v/>
      </c>
      <c r="C852" s="38"/>
      <c r="D852" s="49"/>
      <c r="E852" s="40"/>
    </row>
    <row r="853" spans="1:5" ht="16.5" thickTop="1" thickBot="1" x14ac:dyDescent="0.3">
      <c r="A853" s="47" t="str">
        <f t="shared" si="18"/>
        <v/>
      </c>
      <c r="B853" s="48" t="str">
        <f>IFERROR(INDEX(AttendanceSheet!$B$7:$B861,MATCH('Mark Leave'!C853,AttendanceSheet!$C$7:$C887,0)),"")</f>
        <v/>
      </c>
      <c r="C853" s="38"/>
      <c r="D853" s="49"/>
      <c r="E853" s="40"/>
    </row>
    <row r="854" spans="1:5" ht="16.5" thickTop="1" thickBot="1" x14ac:dyDescent="0.3">
      <c r="A854" s="47" t="str">
        <f t="shared" ref="A854:A917" si="19">B854&amp;D854</f>
        <v/>
      </c>
      <c r="B854" s="48" t="str">
        <f>IFERROR(INDEX(AttendanceSheet!$B$7:$B862,MATCH('Mark Leave'!C854,AttendanceSheet!$C$7:$C888,0)),"")</f>
        <v/>
      </c>
      <c r="C854" s="38"/>
      <c r="D854" s="49"/>
      <c r="E854" s="40"/>
    </row>
    <row r="855" spans="1:5" ht="16.5" thickTop="1" thickBot="1" x14ac:dyDescent="0.3">
      <c r="A855" s="47" t="str">
        <f t="shared" si="19"/>
        <v/>
      </c>
      <c r="B855" s="48" t="str">
        <f>IFERROR(INDEX(AttendanceSheet!$B$7:$B863,MATCH('Mark Leave'!C855,AttendanceSheet!$C$7:$C889,0)),"")</f>
        <v/>
      </c>
      <c r="C855" s="38"/>
      <c r="D855" s="49"/>
      <c r="E855" s="40"/>
    </row>
    <row r="856" spans="1:5" ht="16.5" thickTop="1" thickBot="1" x14ac:dyDescent="0.3">
      <c r="A856" s="47" t="str">
        <f t="shared" si="19"/>
        <v/>
      </c>
      <c r="B856" s="48" t="str">
        <f>IFERROR(INDEX(AttendanceSheet!$B$7:$B864,MATCH('Mark Leave'!C856,AttendanceSheet!$C$7:$C890,0)),"")</f>
        <v/>
      </c>
      <c r="C856" s="38"/>
      <c r="D856" s="49"/>
      <c r="E856" s="40"/>
    </row>
    <row r="857" spans="1:5" ht="16.5" thickTop="1" thickBot="1" x14ac:dyDescent="0.3">
      <c r="A857" s="47" t="str">
        <f t="shared" si="19"/>
        <v/>
      </c>
      <c r="B857" s="48" t="str">
        <f>IFERROR(INDEX(AttendanceSheet!$B$7:$B865,MATCH('Mark Leave'!C857,AttendanceSheet!$C$7:$C891,0)),"")</f>
        <v/>
      </c>
      <c r="C857" s="38"/>
      <c r="D857" s="49"/>
      <c r="E857" s="40"/>
    </row>
    <row r="858" spans="1:5" ht="16.5" thickTop="1" thickBot="1" x14ac:dyDescent="0.3">
      <c r="A858" s="47" t="str">
        <f t="shared" si="19"/>
        <v/>
      </c>
      <c r="B858" s="48" t="str">
        <f>IFERROR(INDEX(AttendanceSheet!$B$7:$B866,MATCH('Mark Leave'!C858,AttendanceSheet!$C$7:$C892,0)),"")</f>
        <v/>
      </c>
      <c r="C858" s="38"/>
      <c r="D858" s="49"/>
      <c r="E858" s="40"/>
    </row>
    <row r="859" spans="1:5" ht="16.5" thickTop="1" thickBot="1" x14ac:dyDescent="0.3">
      <c r="A859" s="47" t="str">
        <f t="shared" si="19"/>
        <v/>
      </c>
      <c r="B859" s="48" t="str">
        <f>IFERROR(INDEX(AttendanceSheet!$B$7:$B867,MATCH('Mark Leave'!C859,AttendanceSheet!$C$7:$C893,0)),"")</f>
        <v/>
      </c>
      <c r="C859" s="38"/>
      <c r="D859" s="49"/>
      <c r="E859" s="40"/>
    </row>
    <row r="860" spans="1:5" ht="16.5" thickTop="1" thickBot="1" x14ac:dyDescent="0.3">
      <c r="A860" s="47" t="str">
        <f t="shared" si="19"/>
        <v/>
      </c>
      <c r="B860" s="48" t="str">
        <f>IFERROR(INDEX(AttendanceSheet!$B$7:$B868,MATCH('Mark Leave'!C860,AttendanceSheet!$C$7:$C894,0)),"")</f>
        <v/>
      </c>
      <c r="C860" s="38"/>
      <c r="D860" s="49"/>
      <c r="E860" s="40"/>
    </row>
    <row r="861" spans="1:5" ht="16.5" thickTop="1" thickBot="1" x14ac:dyDescent="0.3">
      <c r="A861" s="47" t="str">
        <f t="shared" si="19"/>
        <v/>
      </c>
      <c r="B861" s="48" t="str">
        <f>IFERROR(INDEX(AttendanceSheet!$B$7:$B869,MATCH('Mark Leave'!C861,AttendanceSheet!$C$7:$C895,0)),"")</f>
        <v/>
      </c>
      <c r="C861" s="38"/>
      <c r="D861" s="49"/>
      <c r="E861" s="40"/>
    </row>
    <row r="862" spans="1:5" ht="16.5" thickTop="1" thickBot="1" x14ac:dyDescent="0.3">
      <c r="A862" s="47" t="str">
        <f t="shared" si="19"/>
        <v/>
      </c>
      <c r="B862" s="48" t="str">
        <f>IFERROR(INDEX(AttendanceSheet!$B$7:$B870,MATCH('Mark Leave'!C862,AttendanceSheet!$C$7:$C896,0)),"")</f>
        <v/>
      </c>
      <c r="C862" s="38"/>
      <c r="D862" s="49"/>
      <c r="E862" s="40"/>
    </row>
    <row r="863" spans="1:5" ht="16.5" thickTop="1" thickBot="1" x14ac:dyDescent="0.3">
      <c r="A863" s="47" t="str">
        <f t="shared" si="19"/>
        <v/>
      </c>
      <c r="B863" s="48" t="str">
        <f>IFERROR(INDEX(AttendanceSheet!$B$7:$B871,MATCH('Mark Leave'!C863,AttendanceSheet!$C$7:$C897,0)),"")</f>
        <v/>
      </c>
      <c r="C863" s="38"/>
      <c r="D863" s="49"/>
      <c r="E863" s="40"/>
    </row>
    <row r="864" spans="1:5" ht="16.5" thickTop="1" thickBot="1" x14ac:dyDescent="0.3">
      <c r="A864" s="47" t="str">
        <f t="shared" si="19"/>
        <v/>
      </c>
      <c r="B864" s="48" t="str">
        <f>IFERROR(INDEX(AttendanceSheet!$B$7:$B872,MATCH('Mark Leave'!C864,AttendanceSheet!$C$7:$C898,0)),"")</f>
        <v/>
      </c>
      <c r="C864" s="38"/>
      <c r="D864" s="49"/>
      <c r="E864" s="40"/>
    </row>
    <row r="865" spans="1:5" ht="16.5" thickTop="1" thickBot="1" x14ac:dyDescent="0.3">
      <c r="A865" s="47" t="str">
        <f t="shared" si="19"/>
        <v/>
      </c>
      <c r="B865" s="48" t="str">
        <f>IFERROR(INDEX(AttendanceSheet!$B$7:$B873,MATCH('Mark Leave'!C865,AttendanceSheet!$C$7:$C899,0)),"")</f>
        <v/>
      </c>
      <c r="C865" s="38"/>
      <c r="D865" s="49"/>
      <c r="E865" s="40"/>
    </row>
    <row r="866" spans="1:5" ht="16.5" thickTop="1" thickBot="1" x14ac:dyDescent="0.3">
      <c r="A866" s="47" t="str">
        <f t="shared" si="19"/>
        <v/>
      </c>
      <c r="B866" s="48" t="str">
        <f>IFERROR(INDEX(AttendanceSheet!$B$7:$B874,MATCH('Mark Leave'!C866,AttendanceSheet!$C$7:$C900,0)),"")</f>
        <v/>
      </c>
      <c r="C866" s="38"/>
      <c r="D866" s="49"/>
      <c r="E866" s="40"/>
    </row>
    <row r="867" spans="1:5" ht="16.5" thickTop="1" thickBot="1" x14ac:dyDescent="0.3">
      <c r="A867" s="47" t="str">
        <f t="shared" si="19"/>
        <v/>
      </c>
      <c r="B867" s="48" t="str">
        <f>IFERROR(INDEX(AttendanceSheet!$B$7:$B875,MATCH('Mark Leave'!C867,AttendanceSheet!$C$7:$C901,0)),"")</f>
        <v/>
      </c>
      <c r="C867" s="38"/>
      <c r="D867" s="49"/>
      <c r="E867" s="40"/>
    </row>
    <row r="868" spans="1:5" ht="16.5" thickTop="1" thickBot="1" x14ac:dyDescent="0.3">
      <c r="A868" s="47" t="str">
        <f t="shared" si="19"/>
        <v/>
      </c>
      <c r="B868" s="48" t="str">
        <f>IFERROR(INDEX(AttendanceSheet!$B$7:$B876,MATCH('Mark Leave'!C868,AttendanceSheet!$C$7:$C902,0)),"")</f>
        <v/>
      </c>
      <c r="C868" s="38"/>
      <c r="D868" s="49"/>
      <c r="E868" s="40"/>
    </row>
    <row r="869" spans="1:5" ht="16.5" thickTop="1" thickBot="1" x14ac:dyDescent="0.3">
      <c r="A869" s="47" t="str">
        <f t="shared" si="19"/>
        <v/>
      </c>
      <c r="B869" s="48" t="str">
        <f>IFERROR(INDEX(AttendanceSheet!$B$7:$B877,MATCH('Mark Leave'!C869,AttendanceSheet!$C$7:$C903,0)),"")</f>
        <v/>
      </c>
      <c r="C869" s="38"/>
      <c r="D869" s="49"/>
      <c r="E869" s="40"/>
    </row>
    <row r="870" spans="1:5" ht="16.5" thickTop="1" thickBot="1" x14ac:dyDescent="0.3">
      <c r="A870" s="47" t="str">
        <f t="shared" si="19"/>
        <v/>
      </c>
      <c r="B870" s="48" t="str">
        <f>IFERROR(INDEX(AttendanceSheet!$B$7:$B878,MATCH('Mark Leave'!C870,AttendanceSheet!$C$7:$C904,0)),"")</f>
        <v/>
      </c>
      <c r="C870" s="38"/>
      <c r="D870" s="49"/>
      <c r="E870" s="40"/>
    </row>
    <row r="871" spans="1:5" ht="16.5" thickTop="1" thickBot="1" x14ac:dyDescent="0.3">
      <c r="A871" s="47" t="str">
        <f t="shared" si="19"/>
        <v/>
      </c>
      <c r="B871" s="48" t="str">
        <f>IFERROR(INDEX(AttendanceSheet!$B$7:$B879,MATCH('Mark Leave'!C871,AttendanceSheet!$C$7:$C905,0)),"")</f>
        <v/>
      </c>
      <c r="C871" s="38"/>
      <c r="D871" s="49"/>
      <c r="E871" s="40"/>
    </row>
    <row r="872" spans="1:5" ht="16.5" thickTop="1" thickBot="1" x14ac:dyDescent="0.3">
      <c r="A872" s="47" t="str">
        <f t="shared" si="19"/>
        <v/>
      </c>
      <c r="B872" s="48" t="str">
        <f>IFERROR(INDEX(AttendanceSheet!$B$7:$B880,MATCH('Mark Leave'!C872,AttendanceSheet!$C$7:$C906,0)),"")</f>
        <v/>
      </c>
      <c r="C872" s="38"/>
      <c r="D872" s="49"/>
      <c r="E872" s="40"/>
    </row>
    <row r="873" spans="1:5" ht="16.5" thickTop="1" thickBot="1" x14ac:dyDescent="0.3">
      <c r="A873" s="47" t="str">
        <f t="shared" si="19"/>
        <v/>
      </c>
      <c r="B873" s="48" t="str">
        <f>IFERROR(INDEX(AttendanceSheet!$B$7:$B881,MATCH('Mark Leave'!C873,AttendanceSheet!$C$7:$C907,0)),"")</f>
        <v/>
      </c>
      <c r="C873" s="38"/>
      <c r="D873" s="49"/>
      <c r="E873" s="40"/>
    </row>
    <row r="874" spans="1:5" ht="16.5" thickTop="1" thickBot="1" x14ac:dyDescent="0.3">
      <c r="A874" s="47" t="str">
        <f t="shared" si="19"/>
        <v/>
      </c>
      <c r="B874" s="48" t="str">
        <f>IFERROR(INDEX(AttendanceSheet!$B$7:$B882,MATCH('Mark Leave'!C874,AttendanceSheet!$C$7:$C908,0)),"")</f>
        <v/>
      </c>
      <c r="C874" s="38"/>
      <c r="D874" s="49"/>
      <c r="E874" s="40"/>
    </row>
    <row r="875" spans="1:5" ht="16.5" thickTop="1" thickBot="1" x14ac:dyDescent="0.3">
      <c r="A875" s="47" t="str">
        <f t="shared" si="19"/>
        <v/>
      </c>
      <c r="B875" s="48" t="str">
        <f>IFERROR(INDEX(AttendanceSheet!$B$7:$B883,MATCH('Mark Leave'!C875,AttendanceSheet!$C$7:$C909,0)),"")</f>
        <v/>
      </c>
      <c r="C875" s="38"/>
      <c r="D875" s="49"/>
      <c r="E875" s="40"/>
    </row>
    <row r="876" spans="1:5" ht="16.5" thickTop="1" thickBot="1" x14ac:dyDescent="0.3">
      <c r="A876" s="47" t="str">
        <f t="shared" si="19"/>
        <v/>
      </c>
      <c r="B876" s="48" t="str">
        <f>IFERROR(INDEX(AttendanceSheet!$B$7:$B884,MATCH('Mark Leave'!C876,AttendanceSheet!$C$7:$C910,0)),"")</f>
        <v/>
      </c>
      <c r="C876" s="38"/>
      <c r="D876" s="49"/>
      <c r="E876" s="40"/>
    </row>
    <row r="877" spans="1:5" ht="16.5" thickTop="1" thickBot="1" x14ac:dyDescent="0.3">
      <c r="A877" s="47" t="str">
        <f t="shared" si="19"/>
        <v/>
      </c>
      <c r="B877" s="48" t="str">
        <f>IFERROR(INDEX(AttendanceSheet!$B$7:$B885,MATCH('Mark Leave'!C877,AttendanceSheet!$C$7:$C911,0)),"")</f>
        <v/>
      </c>
      <c r="C877" s="38"/>
      <c r="D877" s="49"/>
      <c r="E877" s="40"/>
    </row>
    <row r="878" spans="1:5" ht="16.5" thickTop="1" thickBot="1" x14ac:dyDescent="0.3">
      <c r="A878" s="47" t="str">
        <f t="shared" si="19"/>
        <v/>
      </c>
      <c r="B878" s="48" t="str">
        <f>IFERROR(INDEX(AttendanceSheet!$B$7:$B886,MATCH('Mark Leave'!C878,AttendanceSheet!$C$7:$C912,0)),"")</f>
        <v/>
      </c>
      <c r="C878" s="38"/>
      <c r="D878" s="49"/>
      <c r="E878" s="40"/>
    </row>
    <row r="879" spans="1:5" ht="16.5" thickTop="1" thickBot="1" x14ac:dyDescent="0.3">
      <c r="A879" s="47" t="str">
        <f t="shared" si="19"/>
        <v/>
      </c>
      <c r="B879" s="48" t="str">
        <f>IFERROR(INDEX(AttendanceSheet!$B$7:$B887,MATCH('Mark Leave'!C879,AttendanceSheet!$C$7:$C913,0)),"")</f>
        <v/>
      </c>
      <c r="C879" s="38"/>
      <c r="D879" s="49"/>
      <c r="E879" s="40"/>
    </row>
    <row r="880" spans="1:5" ht="16.5" thickTop="1" thickBot="1" x14ac:dyDescent="0.3">
      <c r="A880" s="47" t="str">
        <f t="shared" si="19"/>
        <v/>
      </c>
      <c r="B880" s="48" t="str">
        <f>IFERROR(INDEX(AttendanceSheet!$B$7:$B888,MATCH('Mark Leave'!C880,AttendanceSheet!$C$7:$C914,0)),"")</f>
        <v/>
      </c>
      <c r="C880" s="38"/>
      <c r="D880" s="49"/>
      <c r="E880" s="40"/>
    </row>
    <row r="881" spans="1:5" ht="16.5" thickTop="1" thickBot="1" x14ac:dyDescent="0.3">
      <c r="A881" s="47" t="str">
        <f t="shared" si="19"/>
        <v/>
      </c>
      <c r="B881" s="48" t="str">
        <f>IFERROR(INDEX(AttendanceSheet!$B$7:$B889,MATCH('Mark Leave'!C881,AttendanceSheet!$C$7:$C915,0)),"")</f>
        <v/>
      </c>
      <c r="C881" s="38"/>
      <c r="D881" s="49"/>
      <c r="E881" s="40"/>
    </row>
    <row r="882" spans="1:5" ht="16.5" thickTop="1" thickBot="1" x14ac:dyDescent="0.3">
      <c r="A882" s="47" t="str">
        <f t="shared" si="19"/>
        <v/>
      </c>
      <c r="B882" s="48" t="str">
        <f>IFERROR(INDEX(AttendanceSheet!$B$7:$B890,MATCH('Mark Leave'!C882,AttendanceSheet!$C$7:$C916,0)),"")</f>
        <v/>
      </c>
      <c r="C882" s="38"/>
      <c r="D882" s="49"/>
      <c r="E882" s="40"/>
    </row>
    <row r="883" spans="1:5" ht="16.5" thickTop="1" thickBot="1" x14ac:dyDescent="0.3">
      <c r="A883" s="47" t="str">
        <f t="shared" si="19"/>
        <v/>
      </c>
      <c r="B883" s="48" t="str">
        <f>IFERROR(INDEX(AttendanceSheet!$B$7:$B891,MATCH('Mark Leave'!C883,AttendanceSheet!$C$7:$C917,0)),"")</f>
        <v/>
      </c>
      <c r="C883" s="38"/>
      <c r="D883" s="49"/>
      <c r="E883" s="40"/>
    </row>
    <row r="884" spans="1:5" ht="16.5" thickTop="1" thickBot="1" x14ac:dyDescent="0.3">
      <c r="A884" s="47" t="str">
        <f t="shared" si="19"/>
        <v/>
      </c>
      <c r="B884" s="48" t="str">
        <f>IFERROR(INDEX(AttendanceSheet!$B$7:$B892,MATCH('Mark Leave'!C884,AttendanceSheet!$C$7:$C918,0)),"")</f>
        <v/>
      </c>
      <c r="C884" s="38"/>
      <c r="D884" s="49"/>
      <c r="E884" s="40"/>
    </row>
    <row r="885" spans="1:5" ht="16.5" thickTop="1" thickBot="1" x14ac:dyDescent="0.3">
      <c r="A885" s="47" t="str">
        <f t="shared" si="19"/>
        <v/>
      </c>
      <c r="B885" s="48" t="str">
        <f>IFERROR(INDEX(AttendanceSheet!$B$7:$B893,MATCH('Mark Leave'!C885,AttendanceSheet!$C$7:$C919,0)),"")</f>
        <v/>
      </c>
      <c r="C885" s="38"/>
      <c r="D885" s="49"/>
      <c r="E885" s="40"/>
    </row>
    <row r="886" spans="1:5" ht="16.5" thickTop="1" thickBot="1" x14ac:dyDescent="0.3">
      <c r="A886" s="47" t="str">
        <f t="shared" si="19"/>
        <v/>
      </c>
      <c r="B886" s="48" t="str">
        <f>IFERROR(INDEX(AttendanceSheet!$B$7:$B894,MATCH('Mark Leave'!C886,AttendanceSheet!$C$7:$C920,0)),"")</f>
        <v/>
      </c>
      <c r="C886" s="38"/>
      <c r="D886" s="49"/>
      <c r="E886" s="40"/>
    </row>
    <row r="887" spans="1:5" ht="16.5" thickTop="1" thickBot="1" x14ac:dyDescent="0.3">
      <c r="A887" s="47" t="str">
        <f t="shared" si="19"/>
        <v/>
      </c>
      <c r="B887" s="48" t="str">
        <f>IFERROR(INDEX(AttendanceSheet!$B$7:$B895,MATCH('Mark Leave'!C887,AttendanceSheet!$C$7:$C921,0)),"")</f>
        <v/>
      </c>
      <c r="C887" s="38"/>
      <c r="D887" s="49"/>
      <c r="E887" s="40"/>
    </row>
    <row r="888" spans="1:5" ht="16.5" thickTop="1" thickBot="1" x14ac:dyDescent="0.3">
      <c r="A888" s="47" t="str">
        <f t="shared" si="19"/>
        <v/>
      </c>
      <c r="B888" s="48" t="str">
        <f>IFERROR(INDEX(AttendanceSheet!$B$7:$B896,MATCH('Mark Leave'!C888,AttendanceSheet!$C$7:$C922,0)),"")</f>
        <v/>
      </c>
      <c r="C888" s="38"/>
      <c r="D888" s="49"/>
      <c r="E888" s="40"/>
    </row>
    <row r="889" spans="1:5" ht="16.5" thickTop="1" thickBot="1" x14ac:dyDescent="0.3">
      <c r="A889" s="47" t="str">
        <f t="shared" si="19"/>
        <v/>
      </c>
      <c r="B889" s="48" t="str">
        <f>IFERROR(INDEX(AttendanceSheet!$B$7:$B897,MATCH('Mark Leave'!C889,AttendanceSheet!$C$7:$C923,0)),"")</f>
        <v/>
      </c>
      <c r="C889" s="38"/>
      <c r="D889" s="49"/>
      <c r="E889" s="40"/>
    </row>
    <row r="890" spans="1:5" ht="16.5" thickTop="1" thickBot="1" x14ac:dyDescent="0.3">
      <c r="A890" s="47" t="str">
        <f t="shared" si="19"/>
        <v/>
      </c>
      <c r="B890" s="48" t="str">
        <f>IFERROR(INDEX(AttendanceSheet!$B$7:$B898,MATCH('Mark Leave'!C890,AttendanceSheet!$C$7:$C924,0)),"")</f>
        <v/>
      </c>
      <c r="C890" s="38"/>
      <c r="D890" s="49"/>
      <c r="E890" s="40"/>
    </row>
    <row r="891" spans="1:5" ht="16.5" thickTop="1" thickBot="1" x14ac:dyDescent="0.3">
      <c r="A891" s="47" t="str">
        <f t="shared" si="19"/>
        <v/>
      </c>
      <c r="B891" s="48" t="str">
        <f>IFERROR(INDEX(AttendanceSheet!$B$7:$B899,MATCH('Mark Leave'!C891,AttendanceSheet!$C$7:$C925,0)),"")</f>
        <v/>
      </c>
      <c r="C891" s="38"/>
      <c r="D891" s="49"/>
      <c r="E891" s="40"/>
    </row>
    <row r="892" spans="1:5" ht="16.5" thickTop="1" thickBot="1" x14ac:dyDescent="0.3">
      <c r="A892" s="47" t="str">
        <f t="shared" si="19"/>
        <v/>
      </c>
      <c r="B892" s="48" t="str">
        <f>IFERROR(INDEX(AttendanceSheet!$B$7:$B900,MATCH('Mark Leave'!C892,AttendanceSheet!$C$7:$C926,0)),"")</f>
        <v/>
      </c>
      <c r="C892" s="38"/>
      <c r="D892" s="49"/>
      <c r="E892" s="40"/>
    </row>
    <row r="893" spans="1:5" ht="16.5" thickTop="1" thickBot="1" x14ac:dyDescent="0.3">
      <c r="A893" s="47" t="str">
        <f t="shared" si="19"/>
        <v/>
      </c>
      <c r="B893" s="48" t="str">
        <f>IFERROR(INDEX(AttendanceSheet!$B$7:$B901,MATCH('Mark Leave'!C893,AttendanceSheet!$C$7:$C927,0)),"")</f>
        <v/>
      </c>
      <c r="C893" s="38"/>
      <c r="D893" s="49"/>
      <c r="E893" s="40"/>
    </row>
    <row r="894" spans="1:5" ht="16.5" thickTop="1" thickBot="1" x14ac:dyDescent="0.3">
      <c r="A894" s="47" t="str">
        <f t="shared" si="19"/>
        <v/>
      </c>
      <c r="B894" s="48" t="str">
        <f>IFERROR(INDEX(AttendanceSheet!$B$7:$B902,MATCH('Mark Leave'!C894,AttendanceSheet!$C$7:$C928,0)),"")</f>
        <v/>
      </c>
      <c r="C894" s="38"/>
      <c r="D894" s="49"/>
      <c r="E894" s="40"/>
    </row>
    <row r="895" spans="1:5" ht="16.5" thickTop="1" thickBot="1" x14ac:dyDescent="0.3">
      <c r="A895" s="47" t="str">
        <f t="shared" si="19"/>
        <v/>
      </c>
      <c r="B895" s="48" t="str">
        <f>IFERROR(INDEX(AttendanceSheet!$B$7:$B903,MATCH('Mark Leave'!C895,AttendanceSheet!$C$7:$C929,0)),"")</f>
        <v/>
      </c>
      <c r="C895" s="38"/>
      <c r="D895" s="49"/>
      <c r="E895" s="40"/>
    </row>
    <row r="896" spans="1:5" ht="16.5" thickTop="1" thickBot="1" x14ac:dyDescent="0.3">
      <c r="A896" s="47" t="str">
        <f t="shared" si="19"/>
        <v/>
      </c>
      <c r="B896" s="48" t="str">
        <f>IFERROR(INDEX(AttendanceSheet!$B$7:$B904,MATCH('Mark Leave'!C896,AttendanceSheet!$C$7:$C930,0)),"")</f>
        <v/>
      </c>
      <c r="C896" s="38"/>
      <c r="D896" s="49"/>
      <c r="E896" s="40"/>
    </row>
    <row r="897" spans="1:5" ht="16.5" thickTop="1" thickBot="1" x14ac:dyDescent="0.3">
      <c r="A897" s="47" t="str">
        <f t="shared" si="19"/>
        <v/>
      </c>
      <c r="B897" s="48" t="str">
        <f>IFERROR(INDEX(AttendanceSheet!$B$7:$B905,MATCH('Mark Leave'!C897,AttendanceSheet!$C$7:$C931,0)),"")</f>
        <v/>
      </c>
      <c r="C897" s="38"/>
      <c r="D897" s="49"/>
      <c r="E897" s="40"/>
    </row>
    <row r="898" spans="1:5" ht="16.5" thickTop="1" thickBot="1" x14ac:dyDescent="0.3">
      <c r="A898" s="47" t="str">
        <f t="shared" si="19"/>
        <v/>
      </c>
      <c r="B898" s="48" t="str">
        <f>IFERROR(INDEX(AttendanceSheet!$B$7:$B906,MATCH('Mark Leave'!C898,AttendanceSheet!$C$7:$C932,0)),"")</f>
        <v/>
      </c>
      <c r="C898" s="38"/>
      <c r="D898" s="49"/>
      <c r="E898" s="40"/>
    </row>
    <row r="899" spans="1:5" ht="16.5" thickTop="1" thickBot="1" x14ac:dyDescent="0.3">
      <c r="A899" s="47" t="str">
        <f t="shared" si="19"/>
        <v/>
      </c>
      <c r="B899" s="48" t="str">
        <f>IFERROR(INDEX(AttendanceSheet!$B$7:$B907,MATCH('Mark Leave'!C899,AttendanceSheet!$C$7:$C933,0)),"")</f>
        <v/>
      </c>
      <c r="C899" s="38"/>
      <c r="D899" s="49"/>
      <c r="E899" s="40"/>
    </row>
    <row r="900" spans="1:5" ht="16.5" thickTop="1" thickBot="1" x14ac:dyDescent="0.3">
      <c r="A900" s="47" t="str">
        <f t="shared" si="19"/>
        <v/>
      </c>
      <c r="B900" s="48" t="str">
        <f>IFERROR(INDEX(AttendanceSheet!$B$7:$B908,MATCH('Mark Leave'!C900,AttendanceSheet!$C$7:$C934,0)),"")</f>
        <v/>
      </c>
      <c r="C900" s="38"/>
      <c r="D900" s="49"/>
      <c r="E900" s="40"/>
    </row>
    <row r="901" spans="1:5" ht="16.5" thickTop="1" thickBot="1" x14ac:dyDescent="0.3">
      <c r="A901" s="47" t="str">
        <f t="shared" si="19"/>
        <v/>
      </c>
      <c r="B901" s="48" t="str">
        <f>IFERROR(INDEX(AttendanceSheet!$B$7:$B909,MATCH('Mark Leave'!C901,AttendanceSheet!$C$7:$C935,0)),"")</f>
        <v/>
      </c>
      <c r="C901" s="38"/>
      <c r="D901" s="49"/>
      <c r="E901" s="40"/>
    </row>
    <row r="902" spans="1:5" ht="16.5" thickTop="1" thickBot="1" x14ac:dyDescent="0.3">
      <c r="A902" s="47" t="str">
        <f t="shared" si="19"/>
        <v/>
      </c>
      <c r="B902" s="48" t="str">
        <f>IFERROR(INDEX(AttendanceSheet!$B$7:$B910,MATCH('Mark Leave'!C902,AttendanceSheet!$C$7:$C936,0)),"")</f>
        <v/>
      </c>
      <c r="C902" s="38"/>
      <c r="D902" s="49"/>
      <c r="E902" s="40"/>
    </row>
    <row r="903" spans="1:5" ht="16.5" thickTop="1" thickBot="1" x14ac:dyDescent="0.3">
      <c r="A903" s="47" t="str">
        <f t="shared" si="19"/>
        <v/>
      </c>
      <c r="B903" s="48" t="str">
        <f>IFERROR(INDEX(AttendanceSheet!$B$7:$B911,MATCH('Mark Leave'!C903,AttendanceSheet!$C$7:$C937,0)),"")</f>
        <v/>
      </c>
      <c r="C903" s="38"/>
      <c r="D903" s="49"/>
      <c r="E903" s="40"/>
    </row>
    <row r="904" spans="1:5" ht="16.5" thickTop="1" thickBot="1" x14ac:dyDescent="0.3">
      <c r="A904" s="47" t="str">
        <f t="shared" si="19"/>
        <v/>
      </c>
      <c r="B904" s="48" t="str">
        <f>IFERROR(INDEX(AttendanceSheet!$B$7:$B912,MATCH('Mark Leave'!C904,AttendanceSheet!$C$7:$C938,0)),"")</f>
        <v/>
      </c>
      <c r="C904" s="38"/>
      <c r="D904" s="49"/>
      <c r="E904" s="40"/>
    </row>
    <row r="905" spans="1:5" ht="16.5" thickTop="1" thickBot="1" x14ac:dyDescent="0.3">
      <c r="A905" s="47" t="str">
        <f t="shared" si="19"/>
        <v/>
      </c>
      <c r="B905" s="48" t="str">
        <f>IFERROR(INDEX(AttendanceSheet!$B$7:$B913,MATCH('Mark Leave'!C905,AttendanceSheet!$C$7:$C939,0)),"")</f>
        <v/>
      </c>
      <c r="C905" s="38"/>
      <c r="D905" s="49"/>
      <c r="E905" s="40"/>
    </row>
    <row r="906" spans="1:5" ht="16.5" thickTop="1" thickBot="1" x14ac:dyDescent="0.3">
      <c r="A906" s="47" t="str">
        <f t="shared" si="19"/>
        <v/>
      </c>
      <c r="B906" s="48" t="str">
        <f>IFERROR(INDEX(AttendanceSheet!$B$7:$B914,MATCH('Mark Leave'!C906,AttendanceSheet!$C$7:$C940,0)),"")</f>
        <v/>
      </c>
      <c r="C906" s="38"/>
      <c r="D906" s="49"/>
      <c r="E906" s="40"/>
    </row>
    <row r="907" spans="1:5" ht="16.5" thickTop="1" thickBot="1" x14ac:dyDescent="0.3">
      <c r="A907" s="47" t="str">
        <f t="shared" si="19"/>
        <v/>
      </c>
      <c r="B907" s="48" t="str">
        <f>IFERROR(INDEX(AttendanceSheet!$B$7:$B915,MATCH('Mark Leave'!C907,AttendanceSheet!$C$7:$C941,0)),"")</f>
        <v/>
      </c>
      <c r="C907" s="38"/>
      <c r="D907" s="49"/>
      <c r="E907" s="40"/>
    </row>
    <row r="908" spans="1:5" ht="16.5" thickTop="1" thickBot="1" x14ac:dyDescent="0.3">
      <c r="A908" s="47" t="str">
        <f t="shared" si="19"/>
        <v/>
      </c>
      <c r="B908" s="48" t="str">
        <f>IFERROR(INDEX(AttendanceSheet!$B$7:$B916,MATCH('Mark Leave'!C908,AttendanceSheet!$C$7:$C942,0)),"")</f>
        <v/>
      </c>
      <c r="C908" s="38"/>
      <c r="D908" s="49"/>
      <c r="E908" s="40"/>
    </row>
    <row r="909" spans="1:5" ht="16.5" thickTop="1" thickBot="1" x14ac:dyDescent="0.3">
      <c r="A909" s="47" t="str">
        <f t="shared" si="19"/>
        <v/>
      </c>
      <c r="B909" s="48" t="str">
        <f>IFERROR(INDEX(AttendanceSheet!$B$7:$B917,MATCH('Mark Leave'!C909,AttendanceSheet!$C$7:$C943,0)),"")</f>
        <v/>
      </c>
      <c r="C909" s="38"/>
      <c r="D909" s="49"/>
      <c r="E909" s="40"/>
    </row>
    <row r="910" spans="1:5" ht="16.5" thickTop="1" thickBot="1" x14ac:dyDescent="0.3">
      <c r="A910" s="47" t="str">
        <f t="shared" si="19"/>
        <v/>
      </c>
      <c r="B910" s="48" t="str">
        <f>IFERROR(INDEX(AttendanceSheet!$B$7:$B918,MATCH('Mark Leave'!C910,AttendanceSheet!$C$7:$C944,0)),"")</f>
        <v/>
      </c>
      <c r="C910" s="38"/>
      <c r="D910" s="49"/>
      <c r="E910" s="40"/>
    </row>
    <row r="911" spans="1:5" ht="16.5" thickTop="1" thickBot="1" x14ac:dyDescent="0.3">
      <c r="A911" s="47" t="str">
        <f t="shared" si="19"/>
        <v/>
      </c>
      <c r="B911" s="48" t="str">
        <f>IFERROR(INDEX(AttendanceSheet!$B$7:$B919,MATCH('Mark Leave'!C911,AttendanceSheet!$C$7:$C945,0)),"")</f>
        <v/>
      </c>
      <c r="C911" s="38"/>
      <c r="D911" s="49"/>
      <c r="E911" s="40"/>
    </row>
    <row r="912" spans="1:5" ht="16.5" thickTop="1" thickBot="1" x14ac:dyDescent="0.3">
      <c r="A912" s="47" t="str">
        <f t="shared" si="19"/>
        <v/>
      </c>
      <c r="B912" s="48" t="str">
        <f>IFERROR(INDEX(AttendanceSheet!$B$7:$B920,MATCH('Mark Leave'!C912,AttendanceSheet!$C$7:$C946,0)),"")</f>
        <v/>
      </c>
      <c r="C912" s="38"/>
      <c r="D912" s="49"/>
      <c r="E912" s="40"/>
    </row>
    <row r="913" spans="1:5" ht="16.5" thickTop="1" thickBot="1" x14ac:dyDescent="0.3">
      <c r="A913" s="47" t="str">
        <f t="shared" si="19"/>
        <v/>
      </c>
      <c r="B913" s="48" t="str">
        <f>IFERROR(INDEX(AttendanceSheet!$B$7:$B921,MATCH('Mark Leave'!C913,AttendanceSheet!$C$7:$C947,0)),"")</f>
        <v/>
      </c>
      <c r="C913" s="38"/>
      <c r="D913" s="49"/>
      <c r="E913" s="40"/>
    </row>
    <row r="914" spans="1:5" ht="16.5" thickTop="1" thickBot="1" x14ac:dyDescent="0.3">
      <c r="A914" s="47" t="str">
        <f t="shared" si="19"/>
        <v/>
      </c>
      <c r="B914" s="48" t="str">
        <f>IFERROR(INDEX(AttendanceSheet!$B$7:$B922,MATCH('Mark Leave'!C914,AttendanceSheet!$C$7:$C948,0)),"")</f>
        <v/>
      </c>
      <c r="C914" s="38"/>
      <c r="D914" s="49"/>
      <c r="E914" s="40"/>
    </row>
    <row r="915" spans="1:5" ht="16.5" thickTop="1" thickBot="1" x14ac:dyDescent="0.3">
      <c r="A915" s="47" t="str">
        <f t="shared" si="19"/>
        <v/>
      </c>
      <c r="B915" s="48" t="str">
        <f>IFERROR(INDEX(AttendanceSheet!$B$7:$B923,MATCH('Mark Leave'!C915,AttendanceSheet!$C$7:$C949,0)),"")</f>
        <v/>
      </c>
      <c r="C915" s="38"/>
      <c r="D915" s="49"/>
      <c r="E915" s="40"/>
    </row>
    <row r="916" spans="1:5" ht="16.5" thickTop="1" thickBot="1" x14ac:dyDescent="0.3">
      <c r="A916" s="47" t="str">
        <f t="shared" si="19"/>
        <v/>
      </c>
      <c r="B916" s="48" t="str">
        <f>IFERROR(INDEX(AttendanceSheet!$B$7:$B924,MATCH('Mark Leave'!C916,AttendanceSheet!$C$7:$C950,0)),"")</f>
        <v/>
      </c>
      <c r="C916" s="38"/>
      <c r="D916" s="49"/>
      <c r="E916" s="40"/>
    </row>
    <row r="917" spans="1:5" ht="16.5" thickTop="1" thickBot="1" x14ac:dyDescent="0.3">
      <c r="A917" s="47" t="str">
        <f t="shared" si="19"/>
        <v/>
      </c>
      <c r="B917" s="48" t="str">
        <f>IFERROR(INDEX(AttendanceSheet!$B$7:$B925,MATCH('Mark Leave'!C917,AttendanceSheet!$C$7:$C951,0)),"")</f>
        <v/>
      </c>
      <c r="C917" s="38"/>
      <c r="D917" s="49"/>
      <c r="E917" s="40"/>
    </row>
    <row r="918" spans="1:5" ht="16.5" thickTop="1" thickBot="1" x14ac:dyDescent="0.3">
      <c r="A918" s="47" t="str">
        <f t="shared" ref="A918:A981" si="20">B918&amp;D918</f>
        <v/>
      </c>
      <c r="B918" s="48" t="str">
        <f>IFERROR(INDEX(AttendanceSheet!$B$7:$B926,MATCH('Mark Leave'!C918,AttendanceSheet!$C$7:$C952,0)),"")</f>
        <v/>
      </c>
      <c r="C918" s="38"/>
      <c r="D918" s="49"/>
      <c r="E918" s="40"/>
    </row>
    <row r="919" spans="1:5" ht="16.5" thickTop="1" thickBot="1" x14ac:dyDescent="0.3">
      <c r="A919" s="47" t="str">
        <f t="shared" si="20"/>
        <v/>
      </c>
      <c r="B919" s="48" t="str">
        <f>IFERROR(INDEX(AttendanceSheet!$B$7:$B927,MATCH('Mark Leave'!C919,AttendanceSheet!$C$7:$C953,0)),"")</f>
        <v/>
      </c>
      <c r="C919" s="38"/>
      <c r="D919" s="49"/>
      <c r="E919" s="40"/>
    </row>
    <row r="920" spans="1:5" ht="16.5" thickTop="1" thickBot="1" x14ac:dyDescent="0.3">
      <c r="A920" s="47" t="str">
        <f t="shared" si="20"/>
        <v/>
      </c>
      <c r="B920" s="48" t="str">
        <f>IFERROR(INDEX(AttendanceSheet!$B$7:$B928,MATCH('Mark Leave'!C920,AttendanceSheet!$C$7:$C954,0)),"")</f>
        <v/>
      </c>
      <c r="C920" s="38"/>
      <c r="D920" s="49"/>
      <c r="E920" s="40"/>
    </row>
    <row r="921" spans="1:5" ht="16.5" thickTop="1" thickBot="1" x14ac:dyDescent="0.3">
      <c r="A921" s="47" t="str">
        <f t="shared" si="20"/>
        <v/>
      </c>
      <c r="B921" s="48" t="str">
        <f>IFERROR(INDEX(AttendanceSheet!$B$7:$B929,MATCH('Mark Leave'!C921,AttendanceSheet!$C$7:$C955,0)),"")</f>
        <v/>
      </c>
      <c r="C921" s="38"/>
      <c r="D921" s="49"/>
      <c r="E921" s="40"/>
    </row>
    <row r="922" spans="1:5" ht="16.5" thickTop="1" thickBot="1" x14ac:dyDescent="0.3">
      <c r="A922" s="47" t="str">
        <f t="shared" si="20"/>
        <v/>
      </c>
      <c r="B922" s="48" t="str">
        <f>IFERROR(INDEX(AttendanceSheet!$B$7:$B930,MATCH('Mark Leave'!C922,AttendanceSheet!$C$7:$C956,0)),"")</f>
        <v/>
      </c>
      <c r="C922" s="38"/>
      <c r="D922" s="49"/>
      <c r="E922" s="40"/>
    </row>
    <row r="923" spans="1:5" ht="16.5" thickTop="1" thickBot="1" x14ac:dyDescent="0.3">
      <c r="A923" s="47" t="str">
        <f t="shared" si="20"/>
        <v/>
      </c>
      <c r="B923" s="48" t="str">
        <f>IFERROR(INDEX(AttendanceSheet!$B$7:$B931,MATCH('Mark Leave'!C923,AttendanceSheet!$C$7:$C957,0)),"")</f>
        <v/>
      </c>
      <c r="C923" s="38"/>
      <c r="D923" s="49"/>
      <c r="E923" s="40"/>
    </row>
    <row r="924" spans="1:5" ht="16.5" thickTop="1" thickBot="1" x14ac:dyDescent="0.3">
      <c r="A924" s="47" t="str">
        <f t="shared" si="20"/>
        <v/>
      </c>
      <c r="B924" s="48" t="str">
        <f>IFERROR(INDEX(AttendanceSheet!$B$7:$B932,MATCH('Mark Leave'!C924,AttendanceSheet!$C$7:$C958,0)),"")</f>
        <v/>
      </c>
      <c r="C924" s="38"/>
      <c r="D924" s="49"/>
      <c r="E924" s="40"/>
    </row>
    <row r="925" spans="1:5" ht="16.5" thickTop="1" thickBot="1" x14ac:dyDescent="0.3">
      <c r="A925" s="47" t="str">
        <f t="shared" si="20"/>
        <v/>
      </c>
      <c r="B925" s="48" t="str">
        <f>IFERROR(INDEX(AttendanceSheet!$B$7:$B933,MATCH('Mark Leave'!C925,AttendanceSheet!$C$7:$C959,0)),"")</f>
        <v/>
      </c>
      <c r="C925" s="38"/>
      <c r="D925" s="49"/>
      <c r="E925" s="40"/>
    </row>
    <row r="926" spans="1:5" ht="16.5" thickTop="1" thickBot="1" x14ac:dyDescent="0.3">
      <c r="A926" s="47" t="str">
        <f t="shared" si="20"/>
        <v/>
      </c>
      <c r="B926" s="48" t="str">
        <f>IFERROR(INDEX(AttendanceSheet!$B$7:$B934,MATCH('Mark Leave'!C926,AttendanceSheet!$C$7:$C960,0)),"")</f>
        <v/>
      </c>
      <c r="C926" s="38"/>
      <c r="D926" s="49"/>
      <c r="E926" s="40"/>
    </row>
    <row r="927" spans="1:5" ht="16.5" thickTop="1" thickBot="1" x14ac:dyDescent="0.3">
      <c r="A927" s="47" t="str">
        <f t="shared" si="20"/>
        <v/>
      </c>
      <c r="B927" s="48" t="str">
        <f>IFERROR(INDEX(AttendanceSheet!$B$7:$B935,MATCH('Mark Leave'!C927,AttendanceSheet!$C$7:$C961,0)),"")</f>
        <v/>
      </c>
      <c r="C927" s="38"/>
      <c r="D927" s="49"/>
      <c r="E927" s="40"/>
    </row>
    <row r="928" spans="1:5" ht="16.5" thickTop="1" thickBot="1" x14ac:dyDescent="0.3">
      <c r="A928" s="47" t="str">
        <f t="shared" si="20"/>
        <v/>
      </c>
      <c r="B928" s="48" t="str">
        <f>IFERROR(INDEX(AttendanceSheet!$B$7:$B936,MATCH('Mark Leave'!C928,AttendanceSheet!$C$7:$C962,0)),"")</f>
        <v/>
      </c>
      <c r="C928" s="38"/>
      <c r="D928" s="49"/>
      <c r="E928" s="40"/>
    </row>
    <row r="929" spans="1:5" ht="16.5" thickTop="1" thickBot="1" x14ac:dyDescent="0.3">
      <c r="A929" s="47" t="str">
        <f t="shared" si="20"/>
        <v/>
      </c>
      <c r="B929" s="48" t="str">
        <f>IFERROR(INDEX(AttendanceSheet!$B$7:$B937,MATCH('Mark Leave'!C929,AttendanceSheet!$C$7:$C963,0)),"")</f>
        <v/>
      </c>
      <c r="C929" s="38"/>
      <c r="D929" s="49"/>
      <c r="E929" s="40"/>
    </row>
    <row r="930" spans="1:5" ht="16.5" thickTop="1" thickBot="1" x14ac:dyDescent="0.3">
      <c r="A930" s="47" t="str">
        <f t="shared" si="20"/>
        <v/>
      </c>
      <c r="B930" s="48" t="str">
        <f>IFERROR(INDEX(AttendanceSheet!$B$7:$B938,MATCH('Mark Leave'!C930,AttendanceSheet!$C$7:$C964,0)),"")</f>
        <v/>
      </c>
      <c r="C930" s="38"/>
      <c r="D930" s="49"/>
      <c r="E930" s="40"/>
    </row>
    <row r="931" spans="1:5" ht="16.5" thickTop="1" thickBot="1" x14ac:dyDescent="0.3">
      <c r="A931" s="47" t="str">
        <f t="shared" si="20"/>
        <v/>
      </c>
      <c r="B931" s="48" t="str">
        <f>IFERROR(INDEX(AttendanceSheet!$B$7:$B939,MATCH('Mark Leave'!C931,AttendanceSheet!$C$7:$C965,0)),"")</f>
        <v/>
      </c>
      <c r="C931" s="38"/>
      <c r="D931" s="49"/>
      <c r="E931" s="40"/>
    </row>
    <row r="932" spans="1:5" ht="16.5" thickTop="1" thickBot="1" x14ac:dyDescent="0.3">
      <c r="A932" s="47" t="str">
        <f t="shared" si="20"/>
        <v/>
      </c>
      <c r="B932" s="48" t="str">
        <f>IFERROR(INDEX(AttendanceSheet!$B$7:$B940,MATCH('Mark Leave'!C932,AttendanceSheet!$C$7:$C966,0)),"")</f>
        <v/>
      </c>
      <c r="C932" s="38"/>
      <c r="D932" s="49"/>
      <c r="E932" s="40"/>
    </row>
    <row r="933" spans="1:5" ht="16.5" thickTop="1" thickBot="1" x14ac:dyDescent="0.3">
      <c r="A933" s="47" t="str">
        <f t="shared" si="20"/>
        <v/>
      </c>
      <c r="B933" s="48" t="str">
        <f>IFERROR(INDEX(AttendanceSheet!$B$7:$B941,MATCH('Mark Leave'!C933,AttendanceSheet!$C$7:$C967,0)),"")</f>
        <v/>
      </c>
      <c r="C933" s="38"/>
      <c r="D933" s="49"/>
      <c r="E933" s="40"/>
    </row>
    <row r="934" spans="1:5" ht="16.5" thickTop="1" thickBot="1" x14ac:dyDescent="0.3">
      <c r="A934" s="47" t="str">
        <f t="shared" si="20"/>
        <v/>
      </c>
      <c r="B934" s="48" t="str">
        <f>IFERROR(INDEX(AttendanceSheet!$B$7:$B942,MATCH('Mark Leave'!C934,AttendanceSheet!$C$7:$C968,0)),"")</f>
        <v/>
      </c>
      <c r="C934" s="38"/>
      <c r="D934" s="49"/>
      <c r="E934" s="40"/>
    </row>
    <row r="935" spans="1:5" ht="16.5" thickTop="1" thickBot="1" x14ac:dyDescent="0.3">
      <c r="A935" s="47" t="str">
        <f t="shared" si="20"/>
        <v/>
      </c>
      <c r="B935" s="48" t="str">
        <f>IFERROR(INDEX(AttendanceSheet!$B$7:$B943,MATCH('Mark Leave'!C935,AttendanceSheet!$C$7:$C969,0)),"")</f>
        <v/>
      </c>
      <c r="C935" s="38"/>
      <c r="D935" s="49"/>
      <c r="E935" s="40"/>
    </row>
    <row r="936" spans="1:5" ht="16.5" thickTop="1" thickBot="1" x14ac:dyDescent="0.3">
      <c r="A936" s="47" t="str">
        <f t="shared" si="20"/>
        <v/>
      </c>
      <c r="B936" s="48" t="str">
        <f>IFERROR(INDEX(AttendanceSheet!$B$7:$B944,MATCH('Mark Leave'!C936,AttendanceSheet!$C$7:$C970,0)),"")</f>
        <v/>
      </c>
      <c r="C936" s="38"/>
      <c r="D936" s="49"/>
      <c r="E936" s="40"/>
    </row>
    <row r="937" spans="1:5" ht="16.5" thickTop="1" thickBot="1" x14ac:dyDescent="0.3">
      <c r="A937" s="47" t="str">
        <f t="shared" si="20"/>
        <v/>
      </c>
      <c r="B937" s="48" t="str">
        <f>IFERROR(INDEX(AttendanceSheet!$B$7:$B945,MATCH('Mark Leave'!C937,AttendanceSheet!$C$7:$C971,0)),"")</f>
        <v/>
      </c>
      <c r="C937" s="38"/>
      <c r="D937" s="49"/>
      <c r="E937" s="40"/>
    </row>
    <row r="938" spans="1:5" ht="16.5" thickTop="1" thickBot="1" x14ac:dyDescent="0.3">
      <c r="A938" s="47" t="str">
        <f t="shared" si="20"/>
        <v/>
      </c>
      <c r="B938" s="48" t="str">
        <f>IFERROR(INDEX(AttendanceSheet!$B$7:$B946,MATCH('Mark Leave'!C938,AttendanceSheet!$C$7:$C972,0)),"")</f>
        <v/>
      </c>
      <c r="C938" s="38"/>
      <c r="D938" s="49"/>
      <c r="E938" s="40"/>
    </row>
    <row r="939" spans="1:5" ht="16.5" thickTop="1" thickBot="1" x14ac:dyDescent="0.3">
      <c r="A939" s="47" t="str">
        <f t="shared" si="20"/>
        <v/>
      </c>
      <c r="B939" s="48" t="str">
        <f>IFERROR(INDEX(AttendanceSheet!$B$7:$B947,MATCH('Mark Leave'!C939,AttendanceSheet!$C$7:$C973,0)),"")</f>
        <v/>
      </c>
      <c r="C939" s="38"/>
      <c r="D939" s="49"/>
      <c r="E939" s="40"/>
    </row>
    <row r="940" spans="1:5" ht="16.5" thickTop="1" thickBot="1" x14ac:dyDescent="0.3">
      <c r="A940" s="47" t="str">
        <f t="shared" si="20"/>
        <v/>
      </c>
      <c r="B940" s="48" t="str">
        <f>IFERROR(INDEX(AttendanceSheet!$B$7:$B948,MATCH('Mark Leave'!C940,AttendanceSheet!$C$7:$C974,0)),"")</f>
        <v/>
      </c>
      <c r="C940" s="38"/>
      <c r="D940" s="49"/>
      <c r="E940" s="40"/>
    </row>
    <row r="941" spans="1:5" ht="16.5" thickTop="1" thickBot="1" x14ac:dyDescent="0.3">
      <c r="A941" s="47" t="str">
        <f t="shared" si="20"/>
        <v/>
      </c>
      <c r="B941" s="48" t="str">
        <f>IFERROR(INDEX(AttendanceSheet!$B$7:$B949,MATCH('Mark Leave'!C941,AttendanceSheet!$C$7:$C975,0)),"")</f>
        <v/>
      </c>
      <c r="C941" s="38"/>
      <c r="D941" s="49"/>
      <c r="E941" s="40"/>
    </row>
    <row r="942" spans="1:5" ht="16.5" thickTop="1" thickBot="1" x14ac:dyDescent="0.3">
      <c r="A942" s="47" t="str">
        <f t="shared" si="20"/>
        <v/>
      </c>
      <c r="B942" s="48" t="str">
        <f>IFERROR(INDEX(AttendanceSheet!$B$7:$B950,MATCH('Mark Leave'!C942,AttendanceSheet!$C$7:$C976,0)),"")</f>
        <v/>
      </c>
      <c r="C942" s="38"/>
      <c r="D942" s="49"/>
      <c r="E942" s="40"/>
    </row>
    <row r="943" spans="1:5" ht="16.5" thickTop="1" thickBot="1" x14ac:dyDescent="0.3">
      <c r="A943" s="47" t="str">
        <f t="shared" si="20"/>
        <v/>
      </c>
      <c r="B943" s="48" t="str">
        <f>IFERROR(INDEX(AttendanceSheet!$B$7:$B951,MATCH('Mark Leave'!C943,AttendanceSheet!$C$7:$C977,0)),"")</f>
        <v/>
      </c>
      <c r="C943" s="38"/>
      <c r="D943" s="49"/>
      <c r="E943" s="40"/>
    </row>
    <row r="944" spans="1:5" ht="16.5" thickTop="1" thickBot="1" x14ac:dyDescent="0.3">
      <c r="A944" s="47" t="str">
        <f t="shared" si="20"/>
        <v/>
      </c>
      <c r="B944" s="48" t="str">
        <f>IFERROR(INDEX(AttendanceSheet!$B$7:$B952,MATCH('Mark Leave'!C944,AttendanceSheet!$C$7:$C978,0)),"")</f>
        <v/>
      </c>
      <c r="C944" s="38"/>
      <c r="D944" s="49"/>
      <c r="E944" s="40"/>
    </row>
    <row r="945" spans="1:5" ht="16.5" thickTop="1" thickBot="1" x14ac:dyDescent="0.3">
      <c r="A945" s="47" t="str">
        <f t="shared" si="20"/>
        <v/>
      </c>
      <c r="B945" s="48" t="str">
        <f>IFERROR(INDEX(AttendanceSheet!$B$7:$B953,MATCH('Mark Leave'!C945,AttendanceSheet!$C$7:$C979,0)),"")</f>
        <v/>
      </c>
      <c r="C945" s="38"/>
      <c r="D945" s="49"/>
      <c r="E945" s="40"/>
    </row>
    <row r="946" spans="1:5" ht="16.5" thickTop="1" thickBot="1" x14ac:dyDescent="0.3">
      <c r="A946" s="47" t="str">
        <f t="shared" si="20"/>
        <v/>
      </c>
      <c r="B946" s="48" t="str">
        <f>IFERROR(INDEX(AttendanceSheet!$B$7:$B954,MATCH('Mark Leave'!C946,AttendanceSheet!$C$7:$C980,0)),"")</f>
        <v/>
      </c>
      <c r="C946" s="38"/>
      <c r="D946" s="49"/>
      <c r="E946" s="40"/>
    </row>
    <row r="947" spans="1:5" ht="16.5" thickTop="1" thickBot="1" x14ac:dyDescent="0.3">
      <c r="A947" s="47" t="str">
        <f t="shared" si="20"/>
        <v/>
      </c>
      <c r="B947" s="48" t="str">
        <f>IFERROR(INDEX(AttendanceSheet!$B$7:$B955,MATCH('Mark Leave'!C947,AttendanceSheet!$C$7:$C981,0)),"")</f>
        <v/>
      </c>
      <c r="C947" s="38"/>
      <c r="D947" s="49"/>
      <c r="E947" s="40"/>
    </row>
    <row r="948" spans="1:5" ht="16.5" thickTop="1" thickBot="1" x14ac:dyDescent="0.3">
      <c r="A948" s="47" t="str">
        <f t="shared" si="20"/>
        <v/>
      </c>
      <c r="B948" s="48" t="str">
        <f>IFERROR(INDEX(AttendanceSheet!$B$7:$B956,MATCH('Mark Leave'!C948,AttendanceSheet!$C$7:$C982,0)),"")</f>
        <v/>
      </c>
      <c r="C948" s="38"/>
      <c r="D948" s="49"/>
      <c r="E948" s="40"/>
    </row>
    <row r="949" spans="1:5" ht="16.5" thickTop="1" thickBot="1" x14ac:dyDescent="0.3">
      <c r="A949" s="47" t="str">
        <f t="shared" si="20"/>
        <v/>
      </c>
      <c r="B949" s="48" t="str">
        <f>IFERROR(INDEX(AttendanceSheet!$B$7:$B957,MATCH('Mark Leave'!C949,AttendanceSheet!$C$7:$C983,0)),"")</f>
        <v/>
      </c>
      <c r="C949" s="38"/>
      <c r="D949" s="49"/>
      <c r="E949" s="40"/>
    </row>
    <row r="950" spans="1:5" ht="16.5" thickTop="1" thickBot="1" x14ac:dyDescent="0.3">
      <c r="A950" s="47" t="str">
        <f t="shared" si="20"/>
        <v/>
      </c>
      <c r="B950" s="48" t="str">
        <f>IFERROR(INDEX(AttendanceSheet!$B$7:$B958,MATCH('Mark Leave'!C950,AttendanceSheet!$C$7:$C984,0)),"")</f>
        <v/>
      </c>
      <c r="C950" s="38"/>
      <c r="D950" s="49"/>
      <c r="E950" s="40"/>
    </row>
    <row r="951" spans="1:5" ht="16.5" thickTop="1" thickBot="1" x14ac:dyDescent="0.3">
      <c r="A951" s="47" t="str">
        <f t="shared" si="20"/>
        <v/>
      </c>
      <c r="B951" s="48" t="str">
        <f>IFERROR(INDEX(AttendanceSheet!$B$7:$B959,MATCH('Mark Leave'!C951,AttendanceSheet!$C$7:$C985,0)),"")</f>
        <v/>
      </c>
      <c r="C951" s="38"/>
      <c r="D951" s="49"/>
      <c r="E951" s="40"/>
    </row>
    <row r="952" spans="1:5" ht="16.5" thickTop="1" thickBot="1" x14ac:dyDescent="0.3">
      <c r="A952" s="47" t="str">
        <f t="shared" si="20"/>
        <v/>
      </c>
      <c r="B952" s="48" t="str">
        <f>IFERROR(INDEX(AttendanceSheet!$B$7:$B960,MATCH('Mark Leave'!C952,AttendanceSheet!$C$7:$C986,0)),"")</f>
        <v/>
      </c>
      <c r="C952" s="38"/>
      <c r="D952" s="49"/>
      <c r="E952" s="40"/>
    </row>
    <row r="953" spans="1:5" ht="16.5" thickTop="1" thickBot="1" x14ac:dyDescent="0.3">
      <c r="A953" s="47" t="str">
        <f t="shared" si="20"/>
        <v/>
      </c>
      <c r="B953" s="48" t="str">
        <f>IFERROR(INDEX(AttendanceSheet!$B$7:$B961,MATCH('Mark Leave'!C953,AttendanceSheet!$C$7:$C987,0)),"")</f>
        <v/>
      </c>
      <c r="C953" s="38"/>
      <c r="D953" s="49"/>
      <c r="E953" s="40"/>
    </row>
    <row r="954" spans="1:5" ht="16.5" thickTop="1" thickBot="1" x14ac:dyDescent="0.3">
      <c r="A954" s="47" t="str">
        <f t="shared" si="20"/>
        <v/>
      </c>
      <c r="B954" s="48" t="str">
        <f>IFERROR(INDEX(AttendanceSheet!$B$7:$B962,MATCH('Mark Leave'!C954,AttendanceSheet!$C$7:$C988,0)),"")</f>
        <v/>
      </c>
      <c r="C954" s="38"/>
      <c r="D954" s="49"/>
      <c r="E954" s="40"/>
    </row>
    <row r="955" spans="1:5" ht="16.5" thickTop="1" thickBot="1" x14ac:dyDescent="0.3">
      <c r="A955" s="47" t="str">
        <f t="shared" si="20"/>
        <v/>
      </c>
      <c r="B955" s="48" t="str">
        <f>IFERROR(INDEX(AttendanceSheet!$B$7:$B963,MATCH('Mark Leave'!C955,AttendanceSheet!$C$7:$C989,0)),"")</f>
        <v/>
      </c>
      <c r="C955" s="38"/>
      <c r="D955" s="49"/>
      <c r="E955" s="40"/>
    </row>
    <row r="956" spans="1:5" ht="16.5" thickTop="1" thickBot="1" x14ac:dyDescent="0.3">
      <c r="A956" s="47" t="str">
        <f t="shared" si="20"/>
        <v/>
      </c>
      <c r="B956" s="48" t="str">
        <f>IFERROR(INDEX(AttendanceSheet!$B$7:$B964,MATCH('Mark Leave'!C956,AttendanceSheet!$C$7:$C990,0)),"")</f>
        <v/>
      </c>
      <c r="C956" s="38"/>
      <c r="D956" s="49"/>
      <c r="E956" s="40"/>
    </row>
    <row r="957" spans="1:5" ht="16.5" thickTop="1" thickBot="1" x14ac:dyDescent="0.3">
      <c r="A957" s="47" t="str">
        <f t="shared" si="20"/>
        <v/>
      </c>
      <c r="B957" s="48" t="str">
        <f>IFERROR(INDEX(AttendanceSheet!$B$7:$B965,MATCH('Mark Leave'!C957,AttendanceSheet!$C$7:$C991,0)),"")</f>
        <v/>
      </c>
      <c r="C957" s="38"/>
      <c r="D957" s="49"/>
      <c r="E957" s="40"/>
    </row>
    <row r="958" spans="1:5" ht="16.5" thickTop="1" thickBot="1" x14ac:dyDescent="0.3">
      <c r="A958" s="47" t="str">
        <f t="shared" si="20"/>
        <v/>
      </c>
      <c r="B958" s="48" t="str">
        <f>IFERROR(INDEX(AttendanceSheet!$B$7:$B966,MATCH('Mark Leave'!C958,AttendanceSheet!$C$7:$C992,0)),"")</f>
        <v/>
      </c>
      <c r="C958" s="38"/>
      <c r="D958" s="49"/>
      <c r="E958" s="40"/>
    </row>
    <row r="959" spans="1:5" ht="16.5" thickTop="1" thickBot="1" x14ac:dyDescent="0.3">
      <c r="A959" s="47" t="str">
        <f t="shared" si="20"/>
        <v/>
      </c>
      <c r="B959" s="48" t="str">
        <f>IFERROR(INDEX(AttendanceSheet!$B$7:$B967,MATCH('Mark Leave'!C959,AttendanceSheet!$C$7:$C993,0)),"")</f>
        <v/>
      </c>
      <c r="C959" s="38"/>
      <c r="D959" s="49"/>
      <c r="E959" s="40"/>
    </row>
    <row r="960" spans="1:5" ht="16.5" thickTop="1" thickBot="1" x14ac:dyDescent="0.3">
      <c r="A960" s="47" t="str">
        <f t="shared" si="20"/>
        <v/>
      </c>
      <c r="B960" s="48" t="str">
        <f>IFERROR(INDEX(AttendanceSheet!$B$7:$B968,MATCH('Mark Leave'!C960,AttendanceSheet!$C$7:$C994,0)),"")</f>
        <v/>
      </c>
      <c r="C960" s="38"/>
      <c r="D960" s="49"/>
      <c r="E960" s="40"/>
    </row>
    <row r="961" spans="1:5" ht="16.5" thickTop="1" thickBot="1" x14ac:dyDescent="0.3">
      <c r="A961" s="47" t="str">
        <f t="shared" si="20"/>
        <v/>
      </c>
      <c r="B961" s="48" t="str">
        <f>IFERROR(INDEX(AttendanceSheet!$B$7:$B969,MATCH('Mark Leave'!C961,AttendanceSheet!$C$7:$C995,0)),"")</f>
        <v/>
      </c>
      <c r="C961" s="38"/>
      <c r="D961" s="49"/>
      <c r="E961" s="40"/>
    </row>
    <row r="962" spans="1:5" ht="16.5" thickTop="1" thickBot="1" x14ac:dyDescent="0.3">
      <c r="A962" s="47" t="str">
        <f t="shared" si="20"/>
        <v/>
      </c>
      <c r="B962" s="48" t="str">
        <f>IFERROR(INDEX(AttendanceSheet!$B$7:$B970,MATCH('Mark Leave'!C962,AttendanceSheet!$C$7:$C996,0)),"")</f>
        <v/>
      </c>
      <c r="C962" s="38"/>
      <c r="D962" s="49"/>
      <c r="E962" s="40"/>
    </row>
    <row r="963" spans="1:5" ht="16.5" thickTop="1" thickBot="1" x14ac:dyDescent="0.3">
      <c r="A963" s="47" t="str">
        <f t="shared" si="20"/>
        <v/>
      </c>
      <c r="B963" s="48" t="str">
        <f>IFERROR(INDEX(AttendanceSheet!$B$7:$B971,MATCH('Mark Leave'!C963,AttendanceSheet!$C$7:$C997,0)),"")</f>
        <v/>
      </c>
      <c r="C963" s="38"/>
      <c r="D963" s="49"/>
      <c r="E963" s="40"/>
    </row>
    <row r="964" spans="1:5" ht="16.5" thickTop="1" thickBot="1" x14ac:dyDescent="0.3">
      <c r="A964" s="47" t="str">
        <f t="shared" si="20"/>
        <v/>
      </c>
      <c r="B964" s="48" t="str">
        <f>IFERROR(INDEX(AttendanceSheet!$B$7:$B972,MATCH('Mark Leave'!C964,AttendanceSheet!$C$7:$C998,0)),"")</f>
        <v/>
      </c>
      <c r="C964" s="38"/>
      <c r="D964" s="49"/>
      <c r="E964" s="40"/>
    </row>
    <row r="965" spans="1:5" ht="16.5" thickTop="1" thickBot="1" x14ac:dyDescent="0.3">
      <c r="A965" s="47" t="str">
        <f t="shared" si="20"/>
        <v/>
      </c>
      <c r="B965" s="48" t="str">
        <f>IFERROR(INDEX(AttendanceSheet!$B$7:$B973,MATCH('Mark Leave'!C965,AttendanceSheet!$C$7:$C999,0)),"")</f>
        <v/>
      </c>
      <c r="C965" s="38"/>
      <c r="D965" s="49"/>
      <c r="E965" s="40"/>
    </row>
    <row r="966" spans="1:5" ht="16.5" thickTop="1" thickBot="1" x14ac:dyDescent="0.3">
      <c r="A966" s="47" t="str">
        <f t="shared" si="20"/>
        <v/>
      </c>
      <c r="B966" s="48" t="str">
        <f>IFERROR(INDEX(AttendanceSheet!$B$7:$B974,MATCH('Mark Leave'!C966,AttendanceSheet!$C$7:$C1000,0)),"")</f>
        <v/>
      </c>
      <c r="C966" s="38"/>
      <c r="D966" s="49"/>
      <c r="E966" s="40"/>
    </row>
    <row r="967" spans="1:5" ht="16.5" thickTop="1" thickBot="1" x14ac:dyDescent="0.3">
      <c r="A967" s="47" t="str">
        <f t="shared" si="20"/>
        <v/>
      </c>
      <c r="B967" s="48" t="str">
        <f>IFERROR(INDEX(AttendanceSheet!$B$7:$B975,MATCH('Mark Leave'!C967,AttendanceSheet!$C$7:$C1001,0)),"")</f>
        <v/>
      </c>
      <c r="C967" s="38"/>
      <c r="D967" s="49"/>
      <c r="E967" s="40"/>
    </row>
    <row r="968" spans="1:5" ht="16.5" thickTop="1" thickBot="1" x14ac:dyDescent="0.3">
      <c r="A968" s="47" t="str">
        <f t="shared" si="20"/>
        <v/>
      </c>
      <c r="B968" s="48" t="str">
        <f>IFERROR(INDEX(AttendanceSheet!$B$7:$B976,MATCH('Mark Leave'!C968,AttendanceSheet!$C$7:$C1002,0)),"")</f>
        <v/>
      </c>
      <c r="C968" s="38"/>
      <c r="D968" s="49"/>
      <c r="E968" s="40"/>
    </row>
    <row r="969" spans="1:5" ht="16.5" thickTop="1" thickBot="1" x14ac:dyDescent="0.3">
      <c r="A969" s="47" t="str">
        <f t="shared" si="20"/>
        <v/>
      </c>
      <c r="B969" s="48" t="str">
        <f>IFERROR(INDEX(AttendanceSheet!$B$7:$B977,MATCH('Mark Leave'!C969,AttendanceSheet!$C$7:$C1003,0)),"")</f>
        <v/>
      </c>
      <c r="C969" s="38"/>
      <c r="D969" s="49"/>
      <c r="E969" s="40"/>
    </row>
    <row r="970" spans="1:5" ht="16.5" thickTop="1" thickBot="1" x14ac:dyDescent="0.3">
      <c r="A970" s="47" t="str">
        <f t="shared" si="20"/>
        <v/>
      </c>
      <c r="B970" s="48" t="str">
        <f>IFERROR(INDEX(AttendanceSheet!$B$7:$B978,MATCH('Mark Leave'!C970,AttendanceSheet!$C$7:$C1004,0)),"")</f>
        <v/>
      </c>
      <c r="C970" s="38"/>
      <c r="D970" s="49"/>
      <c r="E970" s="40"/>
    </row>
    <row r="971" spans="1:5" ht="16.5" thickTop="1" thickBot="1" x14ac:dyDescent="0.3">
      <c r="A971" s="47" t="str">
        <f t="shared" si="20"/>
        <v/>
      </c>
      <c r="B971" s="48" t="str">
        <f>IFERROR(INDEX(AttendanceSheet!$B$7:$B979,MATCH('Mark Leave'!C971,AttendanceSheet!$C$7:$C1005,0)),"")</f>
        <v/>
      </c>
      <c r="C971" s="38"/>
      <c r="D971" s="49"/>
      <c r="E971" s="40"/>
    </row>
    <row r="972" spans="1:5" ht="16.5" thickTop="1" thickBot="1" x14ac:dyDescent="0.3">
      <c r="A972" s="47" t="str">
        <f t="shared" si="20"/>
        <v/>
      </c>
      <c r="B972" s="48" t="str">
        <f>IFERROR(INDEX(AttendanceSheet!$B$7:$B980,MATCH('Mark Leave'!C972,AttendanceSheet!$C$7:$C1006,0)),"")</f>
        <v/>
      </c>
      <c r="C972" s="38"/>
      <c r="D972" s="49"/>
      <c r="E972" s="40"/>
    </row>
    <row r="973" spans="1:5" ht="16.5" thickTop="1" thickBot="1" x14ac:dyDescent="0.3">
      <c r="A973" s="47" t="str">
        <f t="shared" si="20"/>
        <v/>
      </c>
      <c r="B973" s="48" t="str">
        <f>IFERROR(INDEX(AttendanceSheet!$B$7:$B981,MATCH('Mark Leave'!C973,AttendanceSheet!$C$7:$C1007,0)),"")</f>
        <v/>
      </c>
      <c r="C973" s="38"/>
      <c r="D973" s="49"/>
      <c r="E973" s="40"/>
    </row>
    <row r="974" spans="1:5" ht="16.5" thickTop="1" thickBot="1" x14ac:dyDescent="0.3">
      <c r="A974" s="47" t="str">
        <f t="shared" si="20"/>
        <v/>
      </c>
      <c r="B974" s="48" t="str">
        <f>IFERROR(INDEX(AttendanceSheet!$B$7:$B982,MATCH('Mark Leave'!C974,AttendanceSheet!$C$7:$C1008,0)),"")</f>
        <v/>
      </c>
      <c r="C974" s="38"/>
      <c r="D974" s="49"/>
      <c r="E974" s="40"/>
    </row>
    <row r="975" spans="1:5" ht="16.5" thickTop="1" thickBot="1" x14ac:dyDescent="0.3">
      <c r="A975" s="47" t="str">
        <f t="shared" si="20"/>
        <v/>
      </c>
      <c r="B975" s="48" t="str">
        <f>IFERROR(INDEX(AttendanceSheet!$B$7:$B983,MATCH('Mark Leave'!C975,AttendanceSheet!$C$7:$C1009,0)),"")</f>
        <v/>
      </c>
      <c r="C975" s="38"/>
      <c r="D975" s="49"/>
      <c r="E975" s="40"/>
    </row>
    <row r="976" spans="1:5" ht="16.5" thickTop="1" thickBot="1" x14ac:dyDescent="0.3">
      <c r="A976" s="47" t="str">
        <f t="shared" si="20"/>
        <v/>
      </c>
      <c r="B976" s="48" t="str">
        <f>IFERROR(INDEX(AttendanceSheet!$B$7:$B984,MATCH('Mark Leave'!C976,AttendanceSheet!$C$7:$C1010,0)),"")</f>
        <v/>
      </c>
      <c r="C976" s="38"/>
      <c r="D976" s="49"/>
      <c r="E976" s="40"/>
    </row>
    <row r="977" spans="1:5" ht="16.5" thickTop="1" thickBot="1" x14ac:dyDescent="0.3">
      <c r="A977" s="47" t="str">
        <f t="shared" si="20"/>
        <v/>
      </c>
      <c r="B977" s="48" t="str">
        <f>IFERROR(INDEX(AttendanceSheet!$B$7:$B985,MATCH('Mark Leave'!C977,AttendanceSheet!$C$7:$C1011,0)),"")</f>
        <v/>
      </c>
      <c r="C977" s="38"/>
      <c r="D977" s="49"/>
      <c r="E977" s="40"/>
    </row>
    <row r="978" spans="1:5" ht="16.5" thickTop="1" thickBot="1" x14ac:dyDescent="0.3">
      <c r="A978" s="47" t="str">
        <f t="shared" si="20"/>
        <v/>
      </c>
      <c r="B978" s="48" t="str">
        <f>IFERROR(INDEX(AttendanceSheet!$B$7:$B986,MATCH('Mark Leave'!C978,AttendanceSheet!$C$7:$C1012,0)),"")</f>
        <v/>
      </c>
      <c r="C978" s="38"/>
      <c r="D978" s="49"/>
      <c r="E978" s="40"/>
    </row>
    <row r="979" spans="1:5" ht="16.5" thickTop="1" thickBot="1" x14ac:dyDescent="0.3">
      <c r="A979" s="47" t="str">
        <f t="shared" si="20"/>
        <v/>
      </c>
      <c r="B979" s="48" t="str">
        <f>IFERROR(INDEX(AttendanceSheet!$B$7:$B987,MATCH('Mark Leave'!C979,AttendanceSheet!$C$7:$C1013,0)),"")</f>
        <v/>
      </c>
      <c r="C979" s="38"/>
      <c r="D979" s="49"/>
      <c r="E979" s="40"/>
    </row>
    <row r="980" spans="1:5" ht="16.5" thickTop="1" thickBot="1" x14ac:dyDescent="0.3">
      <c r="A980" s="47" t="str">
        <f t="shared" si="20"/>
        <v/>
      </c>
      <c r="B980" s="48" t="str">
        <f>IFERROR(INDEX(AttendanceSheet!$B$7:$B988,MATCH('Mark Leave'!C980,AttendanceSheet!$C$7:$C1014,0)),"")</f>
        <v/>
      </c>
      <c r="C980" s="38"/>
      <c r="D980" s="49"/>
      <c r="E980" s="40"/>
    </row>
    <row r="981" spans="1:5" ht="16.5" thickTop="1" thickBot="1" x14ac:dyDescent="0.3">
      <c r="A981" s="47" t="str">
        <f t="shared" si="20"/>
        <v/>
      </c>
      <c r="B981" s="48" t="str">
        <f>IFERROR(INDEX(AttendanceSheet!$B$7:$B989,MATCH('Mark Leave'!C981,AttendanceSheet!$C$7:$C1015,0)),"")</f>
        <v/>
      </c>
      <c r="C981" s="38"/>
      <c r="D981" s="49"/>
      <c r="E981" s="40"/>
    </row>
    <row r="982" spans="1:5" ht="16.5" thickTop="1" thickBot="1" x14ac:dyDescent="0.3">
      <c r="A982" s="47" t="str">
        <f t="shared" ref="A982:A1000" si="21">B982&amp;D982</f>
        <v/>
      </c>
      <c r="B982" s="48" t="str">
        <f>IFERROR(INDEX(AttendanceSheet!$B$7:$B990,MATCH('Mark Leave'!C982,AttendanceSheet!$C$7:$C1016,0)),"")</f>
        <v/>
      </c>
      <c r="C982" s="38"/>
      <c r="D982" s="49"/>
      <c r="E982" s="40"/>
    </row>
    <row r="983" spans="1:5" ht="16.5" thickTop="1" thickBot="1" x14ac:dyDescent="0.3">
      <c r="A983" s="47" t="str">
        <f t="shared" si="21"/>
        <v/>
      </c>
      <c r="B983" s="48" t="str">
        <f>IFERROR(INDEX(AttendanceSheet!$B$7:$B991,MATCH('Mark Leave'!C983,AttendanceSheet!$C$7:$C1017,0)),"")</f>
        <v/>
      </c>
      <c r="C983" s="38"/>
      <c r="D983" s="49"/>
      <c r="E983" s="40"/>
    </row>
    <row r="984" spans="1:5" ht="16.5" thickTop="1" thickBot="1" x14ac:dyDescent="0.3">
      <c r="A984" s="47" t="str">
        <f t="shared" si="21"/>
        <v/>
      </c>
      <c r="B984" s="48" t="str">
        <f>IFERROR(INDEX(AttendanceSheet!$B$7:$B992,MATCH('Mark Leave'!C984,AttendanceSheet!$C$7:$C1018,0)),"")</f>
        <v/>
      </c>
      <c r="C984" s="38"/>
      <c r="D984" s="49"/>
      <c r="E984" s="40"/>
    </row>
    <row r="985" spans="1:5" ht="16.5" thickTop="1" thickBot="1" x14ac:dyDescent="0.3">
      <c r="A985" s="47" t="str">
        <f t="shared" si="21"/>
        <v/>
      </c>
      <c r="B985" s="48" t="str">
        <f>IFERROR(INDEX(AttendanceSheet!$B$7:$B993,MATCH('Mark Leave'!C985,AttendanceSheet!$C$7:$C1019,0)),"")</f>
        <v/>
      </c>
      <c r="C985" s="38"/>
      <c r="D985" s="49"/>
      <c r="E985" s="40"/>
    </row>
    <row r="986" spans="1:5" ht="16.5" thickTop="1" thickBot="1" x14ac:dyDescent="0.3">
      <c r="A986" s="47" t="str">
        <f t="shared" si="21"/>
        <v/>
      </c>
      <c r="B986" s="48" t="str">
        <f>IFERROR(INDEX(AttendanceSheet!$B$7:$B994,MATCH('Mark Leave'!C986,AttendanceSheet!$C$7:$C1020,0)),"")</f>
        <v/>
      </c>
      <c r="C986" s="38"/>
      <c r="D986" s="49"/>
      <c r="E986" s="40"/>
    </row>
    <row r="987" spans="1:5" ht="16.5" thickTop="1" thickBot="1" x14ac:dyDescent="0.3">
      <c r="A987" s="47" t="str">
        <f t="shared" si="21"/>
        <v/>
      </c>
      <c r="B987" s="48" t="str">
        <f>IFERROR(INDEX(AttendanceSheet!$B$7:$B995,MATCH('Mark Leave'!C987,AttendanceSheet!$C$7:$C1021,0)),"")</f>
        <v/>
      </c>
      <c r="C987" s="38"/>
      <c r="D987" s="49"/>
      <c r="E987" s="40"/>
    </row>
    <row r="988" spans="1:5" ht="16.5" thickTop="1" thickBot="1" x14ac:dyDescent="0.3">
      <c r="A988" s="47" t="str">
        <f t="shared" si="21"/>
        <v/>
      </c>
      <c r="B988" s="48" t="str">
        <f>IFERROR(INDEX(AttendanceSheet!$B$7:$B996,MATCH('Mark Leave'!C988,AttendanceSheet!$C$7:$C1022,0)),"")</f>
        <v/>
      </c>
      <c r="C988" s="38"/>
      <c r="D988" s="49"/>
      <c r="E988" s="40"/>
    </row>
    <row r="989" spans="1:5" ht="16.5" thickTop="1" thickBot="1" x14ac:dyDescent="0.3">
      <c r="A989" s="47" t="str">
        <f t="shared" si="21"/>
        <v/>
      </c>
      <c r="B989" s="48" t="str">
        <f>IFERROR(INDEX(AttendanceSheet!$B$7:$B997,MATCH('Mark Leave'!C989,AttendanceSheet!$C$7:$C1023,0)),"")</f>
        <v/>
      </c>
      <c r="C989" s="38"/>
      <c r="D989" s="49"/>
      <c r="E989" s="40"/>
    </row>
    <row r="990" spans="1:5" ht="16.5" thickTop="1" thickBot="1" x14ac:dyDescent="0.3">
      <c r="A990" s="47" t="str">
        <f t="shared" si="21"/>
        <v/>
      </c>
      <c r="B990" s="48" t="str">
        <f>IFERROR(INDEX(AttendanceSheet!$B$7:$B998,MATCH('Mark Leave'!C990,AttendanceSheet!$C$7:$C1024,0)),"")</f>
        <v/>
      </c>
      <c r="C990" s="38"/>
      <c r="D990" s="49"/>
      <c r="E990" s="40"/>
    </row>
    <row r="991" spans="1:5" ht="16.5" thickTop="1" thickBot="1" x14ac:dyDescent="0.3">
      <c r="A991" s="47" t="str">
        <f t="shared" si="21"/>
        <v/>
      </c>
      <c r="B991" s="48" t="str">
        <f>IFERROR(INDEX(AttendanceSheet!$B$7:$B999,MATCH('Mark Leave'!C991,AttendanceSheet!$C$7:$C1025,0)),"")</f>
        <v/>
      </c>
      <c r="C991" s="38"/>
      <c r="D991" s="49"/>
      <c r="E991" s="40"/>
    </row>
    <row r="992" spans="1:5" ht="16.5" thickTop="1" thickBot="1" x14ac:dyDescent="0.3">
      <c r="A992" s="47" t="str">
        <f t="shared" si="21"/>
        <v/>
      </c>
      <c r="B992" s="48" t="str">
        <f>IFERROR(INDEX(AttendanceSheet!$B$7:$B1000,MATCH('Mark Leave'!C992,AttendanceSheet!$C$7:$C1026,0)),"")</f>
        <v/>
      </c>
      <c r="C992" s="38"/>
      <c r="D992" s="49"/>
      <c r="E992" s="40"/>
    </row>
    <row r="993" spans="1:5" ht="16.5" thickTop="1" thickBot="1" x14ac:dyDescent="0.3">
      <c r="A993" s="47" t="str">
        <f t="shared" si="21"/>
        <v/>
      </c>
      <c r="B993" s="48" t="str">
        <f>IFERROR(INDEX(AttendanceSheet!$B$7:$B1001,MATCH('Mark Leave'!C993,AttendanceSheet!$C$7:$C1027,0)),"")</f>
        <v/>
      </c>
      <c r="C993" s="38"/>
      <c r="D993" s="49"/>
      <c r="E993" s="40"/>
    </row>
    <row r="994" spans="1:5" ht="16.5" thickTop="1" thickBot="1" x14ac:dyDescent="0.3">
      <c r="A994" s="47" t="str">
        <f t="shared" si="21"/>
        <v/>
      </c>
      <c r="B994" s="48" t="str">
        <f>IFERROR(INDEX(AttendanceSheet!$B$7:$B1002,MATCH('Mark Leave'!C994,AttendanceSheet!$C$7:$C1028,0)),"")</f>
        <v/>
      </c>
      <c r="C994" s="38"/>
      <c r="D994" s="49"/>
      <c r="E994" s="40"/>
    </row>
    <row r="995" spans="1:5" ht="16.5" thickTop="1" thickBot="1" x14ac:dyDescent="0.3">
      <c r="A995" s="47" t="str">
        <f t="shared" si="21"/>
        <v/>
      </c>
      <c r="B995" s="48" t="str">
        <f>IFERROR(INDEX(AttendanceSheet!$B$7:$B1003,MATCH('Mark Leave'!C995,AttendanceSheet!$C$7:$C1029,0)),"")</f>
        <v/>
      </c>
      <c r="C995" s="38"/>
      <c r="D995" s="49"/>
      <c r="E995" s="40"/>
    </row>
    <row r="996" spans="1:5" ht="16.5" thickTop="1" thickBot="1" x14ac:dyDescent="0.3">
      <c r="A996" s="47" t="str">
        <f t="shared" si="21"/>
        <v/>
      </c>
      <c r="B996" s="48" t="str">
        <f>IFERROR(INDEX(AttendanceSheet!$B$7:$B1004,MATCH('Mark Leave'!C996,AttendanceSheet!$C$7:$C1030,0)),"")</f>
        <v/>
      </c>
      <c r="C996" s="38"/>
      <c r="D996" s="49"/>
      <c r="E996" s="40"/>
    </row>
    <row r="997" spans="1:5" ht="16.5" thickTop="1" thickBot="1" x14ac:dyDescent="0.3">
      <c r="A997" s="47" t="str">
        <f t="shared" si="21"/>
        <v/>
      </c>
      <c r="B997" s="48" t="str">
        <f>IFERROR(INDEX(AttendanceSheet!$B$7:$B1005,MATCH('Mark Leave'!C997,AttendanceSheet!$C$7:$C1031,0)),"")</f>
        <v/>
      </c>
      <c r="C997" s="38"/>
      <c r="D997" s="49"/>
      <c r="E997" s="40"/>
    </row>
    <row r="998" spans="1:5" ht="16.5" thickTop="1" thickBot="1" x14ac:dyDescent="0.3">
      <c r="A998" s="47" t="str">
        <f t="shared" si="21"/>
        <v/>
      </c>
      <c r="B998" s="48" t="str">
        <f>IFERROR(INDEX(AttendanceSheet!$B$7:$B1006,MATCH('Mark Leave'!C998,AttendanceSheet!$C$7:$C1032,0)),"")</f>
        <v/>
      </c>
      <c r="C998" s="38"/>
      <c r="D998" s="49"/>
      <c r="E998" s="40"/>
    </row>
    <row r="999" spans="1:5" ht="16.5" thickTop="1" thickBot="1" x14ac:dyDescent="0.3">
      <c r="A999" s="47" t="str">
        <f t="shared" si="21"/>
        <v/>
      </c>
      <c r="B999" s="48" t="str">
        <f>IFERROR(INDEX(AttendanceSheet!$B$7:$B1007,MATCH('Mark Leave'!C999,AttendanceSheet!$C$7:$C1033,0)),"")</f>
        <v/>
      </c>
      <c r="C999" s="38"/>
      <c r="D999" s="49"/>
      <c r="E999" s="40"/>
    </row>
    <row r="1000" spans="1:5" ht="16.5" thickTop="1" thickBot="1" x14ac:dyDescent="0.3">
      <c r="A1000" s="47" t="str">
        <f t="shared" si="21"/>
        <v/>
      </c>
      <c r="B1000" s="48" t="str">
        <f>IFERROR(INDEX(AttendanceSheet!$B$7:$B1008,MATCH('Mark Leave'!C1000,AttendanceSheet!$C$7:$C1034,0)),"")</f>
        <v/>
      </c>
      <c r="C1000" s="38"/>
      <c r="D1000" s="49"/>
      <c r="E1000" s="40"/>
    </row>
    <row r="1001" spans="1:5" ht="16.5" thickTop="1" thickBot="1" x14ac:dyDescent="0.3">
      <c r="A1001" s="38"/>
      <c r="B1001" s="38"/>
      <c r="C1001" s="38"/>
      <c r="D1001" s="38"/>
      <c r="E1001" s="40"/>
    </row>
    <row r="1002" spans="1:5" ht="16.5" thickTop="1" thickBot="1" x14ac:dyDescent="0.3">
      <c r="A1002" s="38"/>
      <c r="B1002" s="38"/>
      <c r="C1002" s="38"/>
      <c r="D1002" s="38"/>
      <c r="E1002" s="40"/>
    </row>
    <row r="1003" spans="1:5" ht="16.5" thickTop="1" thickBot="1" x14ac:dyDescent="0.3">
      <c r="A1003" s="38"/>
      <c r="B1003" s="38"/>
      <c r="C1003" s="38"/>
      <c r="D1003" s="38"/>
      <c r="E1003" s="40"/>
    </row>
    <row r="1004" spans="1:5" ht="16.5" thickTop="1" thickBot="1" x14ac:dyDescent="0.3">
      <c r="A1004" s="38"/>
      <c r="B1004" s="38"/>
      <c r="C1004" s="38"/>
      <c r="D1004" s="38"/>
      <c r="E1004" s="40"/>
    </row>
    <row r="1005" spans="1:5" ht="16.5" thickTop="1" thickBot="1" x14ac:dyDescent="0.3">
      <c r="A1005" s="38"/>
      <c r="B1005" s="38"/>
      <c r="C1005" s="38"/>
      <c r="D1005" s="38"/>
      <c r="E1005" s="40"/>
    </row>
    <row r="1006" spans="1:5" ht="16.5" thickTop="1" thickBot="1" x14ac:dyDescent="0.3">
      <c r="A1006" s="38"/>
      <c r="B1006" s="38"/>
      <c r="C1006" s="38"/>
      <c r="D1006" s="38"/>
      <c r="E1006" s="40"/>
    </row>
    <row r="1007" spans="1:5" ht="16.5" thickTop="1" thickBot="1" x14ac:dyDescent="0.3">
      <c r="A1007" s="38"/>
      <c r="B1007" s="38"/>
      <c r="C1007" s="38"/>
      <c r="D1007" s="38"/>
      <c r="E1007" s="40"/>
    </row>
    <row r="1008" spans="1:5" ht="16.5" thickTop="1" thickBot="1" x14ac:dyDescent="0.3">
      <c r="A1008" s="38"/>
      <c r="B1008" s="38"/>
      <c r="C1008" s="38"/>
      <c r="D1008" s="38"/>
      <c r="E1008" s="40"/>
    </row>
    <row r="1009" spans="1:5" ht="16.5" thickTop="1" thickBot="1" x14ac:dyDescent="0.3">
      <c r="A1009" s="38"/>
      <c r="B1009" s="38"/>
      <c r="C1009" s="38"/>
      <c r="D1009" s="38"/>
      <c r="E1009" s="40"/>
    </row>
    <row r="1010" spans="1:5" ht="16.5" thickTop="1" thickBot="1" x14ac:dyDescent="0.3">
      <c r="A1010" s="38"/>
      <c r="B1010" s="38"/>
      <c r="C1010" s="38"/>
      <c r="D1010" s="38"/>
      <c r="E1010" s="40"/>
    </row>
    <row r="1011" spans="1:5" ht="16.5" thickTop="1" thickBot="1" x14ac:dyDescent="0.3">
      <c r="A1011" s="38"/>
      <c r="B1011" s="38"/>
      <c r="C1011" s="38"/>
      <c r="D1011" s="38"/>
      <c r="E1011" s="40"/>
    </row>
    <row r="1012" spans="1:5" ht="16.5" thickTop="1" thickBot="1" x14ac:dyDescent="0.3">
      <c r="A1012" s="38"/>
      <c r="B1012" s="38"/>
      <c r="C1012" s="38"/>
      <c r="D1012" s="38"/>
      <c r="E1012" s="40"/>
    </row>
    <row r="1013" spans="1:5" ht="16.5" thickTop="1" thickBot="1" x14ac:dyDescent="0.3">
      <c r="A1013" s="38"/>
      <c r="B1013" s="38"/>
      <c r="C1013" s="38"/>
      <c r="D1013" s="38"/>
      <c r="E1013" s="40"/>
    </row>
    <row r="1014" spans="1:5" ht="16.5" thickTop="1" thickBot="1" x14ac:dyDescent="0.3">
      <c r="A1014" s="38"/>
      <c r="B1014" s="38"/>
      <c r="C1014" s="38"/>
      <c r="D1014" s="38"/>
      <c r="E1014" s="40"/>
    </row>
    <row r="1015" spans="1:5" ht="16.5" thickTop="1" thickBot="1" x14ac:dyDescent="0.3">
      <c r="A1015" s="38"/>
      <c r="B1015" s="38"/>
      <c r="C1015" s="38"/>
      <c r="D1015" s="38"/>
      <c r="E1015" s="40"/>
    </row>
    <row r="1016" spans="1:5" ht="16.5" thickTop="1" thickBot="1" x14ac:dyDescent="0.3">
      <c r="A1016" s="38"/>
      <c r="B1016" s="38"/>
      <c r="C1016" s="38"/>
      <c r="D1016" s="38"/>
      <c r="E1016" s="40"/>
    </row>
    <row r="1017" spans="1:5" ht="16.5" thickTop="1" thickBot="1" x14ac:dyDescent="0.3">
      <c r="A1017" s="38"/>
      <c r="B1017" s="38"/>
      <c r="C1017" s="38"/>
      <c r="D1017" s="38"/>
      <c r="E1017" s="40"/>
    </row>
    <row r="1018" spans="1:5" ht="16.5" thickTop="1" thickBot="1" x14ac:dyDescent="0.3">
      <c r="A1018" s="38"/>
      <c r="B1018" s="38"/>
      <c r="C1018" s="38"/>
      <c r="D1018" s="38"/>
      <c r="E1018" s="40"/>
    </row>
    <row r="1019" spans="1:5" ht="16.5" thickTop="1" thickBot="1" x14ac:dyDescent="0.3">
      <c r="A1019" s="38"/>
      <c r="B1019" s="38"/>
      <c r="C1019" s="38"/>
      <c r="D1019" s="38"/>
      <c r="E1019" s="40"/>
    </row>
    <row r="1020" spans="1:5" ht="16.5" thickTop="1" thickBot="1" x14ac:dyDescent="0.3">
      <c r="A1020" s="38"/>
      <c r="B1020" s="38"/>
      <c r="C1020" s="38"/>
      <c r="D1020" s="38"/>
      <c r="E1020" s="40"/>
    </row>
    <row r="1021" spans="1:5" ht="16.5" thickTop="1" thickBot="1" x14ac:dyDescent="0.3">
      <c r="A1021" s="38"/>
      <c r="B1021" s="38"/>
      <c r="C1021" s="38"/>
      <c r="D1021" s="38"/>
      <c r="E1021" s="40"/>
    </row>
    <row r="1022" spans="1:5" ht="16.5" thickTop="1" thickBot="1" x14ac:dyDescent="0.3">
      <c r="A1022" s="38"/>
      <c r="B1022" s="38"/>
      <c r="C1022" s="38"/>
      <c r="D1022" s="38"/>
      <c r="E1022" s="40"/>
    </row>
    <row r="1023" spans="1:5" ht="16.5" thickTop="1" thickBot="1" x14ac:dyDescent="0.3">
      <c r="A1023" s="38"/>
      <c r="B1023" s="38"/>
      <c r="C1023" s="38"/>
      <c r="D1023" s="38"/>
      <c r="E1023" s="40"/>
    </row>
    <row r="1024" spans="1:5" ht="16.5" thickTop="1" thickBot="1" x14ac:dyDescent="0.3">
      <c r="A1024" s="38"/>
      <c r="B1024" s="38"/>
      <c r="C1024" s="38"/>
      <c r="D1024" s="38"/>
      <c r="E1024" s="40"/>
    </row>
    <row r="1025" spans="1:5" ht="16.5" thickTop="1" thickBot="1" x14ac:dyDescent="0.3">
      <c r="A1025" s="38"/>
      <c r="B1025" s="38"/>
      <c r="C1025" s="38"/>
      <c r="D1025" s="38"/>
      <c r="E1025" s="40"/>
    </row>
    <row r="1026" spans="1:5" ht="16.5" thickTop="1" thickBot="1" x14ac:dyDescent="0.3">
      <c r="A1026" s="38"/>
      <c r="B1026" s="38"/>
      <c r="C1026" s="38"/>
      <c r="D1026" s="38"/>
      <c r="E1026" s="40"/>
    </row>
    <row r="1027" spans="1:5" ht="16.5" thickTop="1" thickBot="1" x14ac:dyDescent="0.3">
      <c r="A1027" s="38"/>
      <c r="B1027" s="38"/>
      <c r="C1027" s="38"/>
      <c r="D1027" s="38"/>
      <c r="E1027" s="40"/>
    </row>
    <row r="1028" spans="1:5" ht="16.5" thickTop="1" thickBot="1" x14ac:dyDescent="0.3">
      <c r="A1028" s="38"/>
      <c r="B1028" s="38"/>
      <c r="C1028" s="38"/>
      <c r="D1028" s="38"/>
      <c r="E1028" s="40"/>
    </row>
    <row r="1029" spans="1:5" ht="16.5" thickTop="1" thickBot="1" x14ac:dyDescent="0.3">
      <c r="A1029" s="38"/>
      <c r="B1029" s="38"/>
      <c r="C1029" s="38"/>
      <c r="D1029" s="38"/>
      <c r="E1029" s="40"/>
    </row>
    <row r="1030" spans="1:5" ht="16.5" thickTop="1" thickBot="1" x14ac:dyDescent="0.3">
      <c r="A1030" s="38"/>
      <c r="B1030" s="38"/>
      <c r="C1030" s="38"/>
      <c r="D1030" s="38"/>
      <c r="E1030" s="40"/>
    </row>
    <row r="1031" spans="1:5" ht="16.5" thickTop="1" thickBot="1" x14ac:dyDescent="0.3">
      <c r="A1031" s="38"/>
      <c r="B1031" s="38"/>
      <c r="C1031" s="38"/>
      <c r="D1031" s="38"/>
      <c r="E1031" s="40"/>
    </row>
    <row r="1032" spans="1:5" ht="16.5" thickTop="1" thickBot="1" x14ac:dyDescent="0.3">
      <c r="A1032" s="38"/>
      <c r="B1032" s="38"/>
      <c r="C1032" s="38"/>
      <c r="D1032" s="38"/>
      <c r="E1032" s="40"/>
    </row>
    <row r="1033" spans="1:5" ht="16.5" thickTop="1" thickBot="1" x14ac:dyDescent="0.3">
      <c r="A1033" s="38"/>
      <c r="B1033" s="38"/>
      <c r="C1033" s="38"/>
      <c r="D1033" s="38"/>
      <c r="E1033" s="40"/>
    </row>
    <row r="1034" spans="1:5" ht="16.5" thickTop="1" thickBot="1" x14ac:dyDescent="0.3">
      <c r="A1034" s="38"/>
      <c r="B1034" s="38"/>
      <c r="C1034" s="38"/>
      <c r="D1034" s="38"/>
      <c r="E1034" s="40"/>
    </row>
    <row r="1035" spans="1:5" ht="16.5" thickTop="1" thickBot="1" x14ac:dyDescent="0.3">
      <c r="A1035" s="38"/>
      <c r="B1035" s="38"/>
      <c r="C1035" s="38"/>
      <c r="D1035" s="38"/>
      <c r="E1035" s="40"/>
    </row>
    <row r="1036" spans="1:5" ht="16.5" thickTop="1" thickBot="1" x14ac:dyDescent="0.3">
      <c r="A1036" s="38"/>
      <c r="B1036" s="38"/>
      <c r="C1036" s="38"/>
      <c r="D1036" s="38"/>
      <c r="E1036" s="40"/>
    </row>
    <row r="1037" spans="1:5" ht="16.5" thickTop="1" thickBot="1" x14ac:dyDescent="0.3">
      <c r="A1037" s="38"/>
      <c r="B1037" s="38"/>
      <c r="C1037" s="38"/>
      <c r="D1037" s="38"/>
      <c r="E1037" s="40"/>
    </row>
    <row r="1038" spans="1:5" ht="16.5" thickTop="1" thickBot="1" x14ac:dyDescent="0.3">
      <c r="A1038" s="38"/>
      <c r="B1038" s="38"/>
      <c r="C1038" s="38"/>
      <c r="D1038" s="38"/>
      <c r="E1038" s="40"/>
    </row>
    <row r="1039" spans="1:5" ht="16.5" thickTop="1" thickBot="1" x14ac:dyDescent="0.3">
      <c r="A1039" s="38"/>
      <c r="B1039" s="38"/>
      <c r="C1039" s="38"/>
      <c r="D1039" s="38"/>
      <c r="E1039" s="40"/>
    </row>
    <row r="1040" spans="1:5" ht="16.5" thickTop="1" thickBot="1" x14ac:dyDescent="0.3">
      <c r="A1040" s="38"/>
      <c r="B1040" s="38"/>
      <c r="C1040" s="38"/>
      <c r="D1040" s="38"/>
      <c r="E1040" s="40"/>
    </row>
    <row r="1041" spans="1:5" ht="16.5" thickTop="1" thickBot="1" x14ac:dyDescent="0.3">
      <c r="A1041" s="38"/>
      <c r="B1041" s="38"/>
      <c r="C1041" s="38"/>
      <c r="D1041" s="38"/>
      <c r="E1041" s="40"/>
    </row>
    <row r="1042" spans="1:5" ht="16.5" thickTop="1" thickBot="1" x14ac:dyDescent="0.3">
      <c r="A1042" s="38"/>
      <c r="B1042" s="38"/>
      <c r="C1042" s="38"/>
      <c r="D1042" s="38"/>
      <c r="E1042" s="40"/>
    </row>
    <row r="1043" spans="1:5" ht="16.5" thickTop="1" thickBot="1" x14ac:dyDescent="0.3">
      <c r="A1043" s="38"/>
      <c r="B1043" s="38"/>
      <c r="C1043" s="38"/>
      <c r="D1043" s="38"/>
      <c r="E1043" s="40"/>
    </row>
    <row r="1044" spans="1:5" ht="16.5" thickTop="1" thickBot="1" x14ac:dyDescent="0.3">
      <c r="A1044" s="38"/>
      <c r="B1044" s="38"/>
      <c r="C1044" s="38"/>
      <c r="D1044" s="38"/>
      <c r="E1044" s="40"/>
    </row>
    <row r="1045" spans="1:5" ht="16.5" thickTop="1" thickBot="1" x14ac:dyDescent="0.3">
      <c r="A1045" s="38"/>
      <c r="B1045" s="38"/>
      <c r="C1045" s="38"/>
      <c r="D1045" s="38"/>
      <c r="E1045" s="40"/>
    </row>
    <row r="1046" spans="1:5" ht="16.5" thickTop="1" thickBot="1" x14ac:dyDescent="0.3">
      <c r="A1046" s="38"/>
      <c r="B1046" s="38"/>
      <c r="C1046" s="38"/>
      <c r="D1046" s="38"/>
      <c r="E1046" s="40"/>
    </row>
    <row r="1047" spans="1:5" ht="16.5" thickTop="1" thickBot="1" x14ac:dyDescent="0.3">
      <c r="A1047" s="38"/>
      <c r="B1047" s="38"/>
      <c r="C1047" s="38"/>
      <c r="D1047" s="38"/>
      <c r="E1047" s="40"/>
    </row>
    <row r="1048" spans="1:5" ht="16.5" thickTop="1" thickBot="1" x14ac:dyDescent="0.3">
      <c r="A1048" s="38"/>
      <c r="B1048" s="38"/>
      <c r="C1048" s="38"/>
      <c r="D1048" s="38"/>
      <c r="E1048" s="40"/>
    </row>
    <row r="1049" spans="1:5" ht="16.5" thickTop="1" thickBot="1" x14ac:dyDescent="0.3">
      <c r="A1049" s="38"/>
      <c r="B1049" s="38"/>
      <c r="C1049" s="38"/>
      <c r="D1049" s="38"/>
      <c r="E1049" s="40"/>
    </row>
    <row r="1050" spans="1:5" ht="16.5" thickTop="1" thickBot="1" x14ac:dyDescent="0.3">
      <c r="A1050" s="38"/>
      <c r="B1050" s="38"/>
      <c r="C1050" s="38"/>
      <c r="D1050" s="38"/>
      <c r="E1050" s="40"/>
    </row>
    <row r="1051" spans="1:5" ht="16.5" thickTop="1" thickBot="1" x14ac:dyDescent="0.3">
      <c r="A1051" s="38"/>
      <c r="B1051" s="38"/>
      <c r="C1051" s="38"/>
      <c r="D1051" s="38"/>
      <c r="E1051" s="40"/>
    </row>
    <row r="1052" spans="1:5" ht="16.5" thickTop="1" thickBot="1" x14ac:dyDescent="0.3">
      <c r="A1052" s="38"/>
      <c r="B1052" s="38"/>
      <c r="C1052" s="38"/>
      <c r="D1052" s="38"/>
      <c r="E1052" s="40"/>
    </row>
    <row r="1053" spans="1:5" ht="16.5" thickTop="1" thickBot="1" x14ac:dyDescent="0.3">
      <c r="A1053" s="38"/>
      <c r="B1053" s="38"/>
      <c r="C1053" s="38"/>
      <c r="D1053" s="38"/>
      <c r="E1053" s="40"/>
    </row>
    <row r="1054" spans="1:5" ht="16.5" thickTop="1" thickBot="1" x14ac:dyDescent="0.3">
      <c r="A1054" s="38"/>
      <c r="B1054" s="38"/>
      <c r="C1054" s="38"/>
      <c r="D1054" s="38"/>
      <c r="E1054" s="40"/>
    </row>
    <row r="1055" spans="1:5" ht="16.5" thickTop="1" thickBot="1" x14ac:dyDescent="0.3">
      <c r="A1055" s="38"/>
      <c r="B1055" s="38"/>
      <c r="C1055" s="38"/>
      <c r="D1055" s="38"/>
      <c r="E1055" s="40"/>
    </row>
    <row r="1056" spans="1:5" ht="16.5" thickTop="1" thickBot="1" x14ac:dyDescent="0.3">
      <c r="A1056" s="38"/>
      <c r="B1056" s="38"/>
      <c r="C1056" s="38"/>
      <c r="D1056" s="38"/>
      <c r="E1056" s="40"/>
    </row>
    <row r="1057" spans="1:5" ht="16.5" thickTop="1" thickBot="1" x14ac:dyDescent="0.3">
      <c r="A1057" s="38"/>
      <c r="B1057" s="38"/>
      <c r="C1057" s="38"/>
      <c r="D1057" s="38"/>
      <c r="E1057" s="40"/>
    </row>
    <row r="1058" spans="1:5" ht="16.5" thickTop="1" thickBot="1" x14ac:dyDescent="0.3">
      <c r="A1058" s="38"/>
      <c r="B1058" s="38"/>
      <c r="C1058" s="38"/>
      <c r="D1058" s="38"/>
      <c r="E1058" s="40"/>
    </row>
    <row r="1059" spans="1:5" ht="16.5" thickTop="1" thickBot="1" x14ac:dyDescent="0.3">
      <c r="A1059" s="38"/>
      <c r="B1059" s="38"/>
      <c r="C1059" s="38"/>
      <c r="D1059" s="38"/>
      <c r="E1059" s="40"/>
    </row>
    <row r="1060" spans="1:5" ht="16.5" thickTop="1" thickBot="1" x14ac:dyDescent="0.3">
      <c r="A1060" s="38"/>
      <c r="B1060" s="38"/>
      <c r="C1060" s="38"/>
      <c r="D1060" s="38"/>
      <c r="E1060" s="40"/>
    </row>
    <row r="1061" spans="1:5" ht="16.5" thickTop="1" thickBot="1" x14ac:dyDescent="0.3">
      <c r="A1061" s="38"/>
      <c r="B1061" s="38"/>
      <c r="C1061" s="38"/>
      <c r="D1061" s="38"/>
      <c r="E1061" s="40"/>
    </row>
    <row r="1062" spans="1:5" ht="16.5" thickTop="1" thickBot="1" x14ac:dyDescent="0.3">
      <c r="A1062" s="38"/>
      <c r="B1062" s="38"/>
      <c r="C1062" s="38"/>
      <c r="D1062" s="38"/>
      <c r="E1062" s="40"/>
    </row>
    <row r="1063" spans="1:5" ht="16.5" thickTop="1" thickBot="1" x14ac:dyDescent="0.3">
      <c r="A1063" s="38"/>
      <c r="B1063" s="38"/>
      <c r="C1063" s="38"/>
      <c r="D1063" s="38"/>
      <c r="E1063" s="40"/>
    </row>
    <row r="1064" spans="1:5" ht="16.5" thickTop="1" thickBot="1" x14ac:dyDescent="0.3">
      <c r="A1064" s="38"/>
      <c r="B1064" s="38"/>
      <c r="C1064" s="38"/>
      <c r="D1064" s="38"/>
      <c r="E1064" s="40"/>
    </row>
    <row r="1065" spans="1:5" ht="16.5" thickTop="1" thickBot="1" x14ac:dyDescent="0.3">
      <c r="A1065" s="38"/>
      <c r="B1065" s="38"/>
      <c r="C1065" s="38"/>
      <c r="D1065" s="38"/>
      <c r="E1065" s="40"/>
    </row>
    <row r="1066" spans="1:5" ht="16.5" thickTop="1" thickBot="1" x14ac:dyDescent="0.3">
      <c r="A1066" s="38"/>
      <c r="B1066" s="38"/>
      <c r="C1066" s="38"/>
      <c r="D1066" s="38"/>
      <c r="E1066" s="40"/>
    </row>
    <row r="1067" spans="1:5" ht="16.5" thickTop="1" thickBot="1" x14ac:dyDescent="0.3">
      <c r="A1067" s="38"/>
      <c r="B1067" s="38"/>
      <c r="C1067" s="38"/>
      <c r="D1067" s="38"/>
      <c r="E1067" s="40"/>
    </row>
    <row r="1068" spans="1:5" ht="16.5" thickTop="1" thickBot="1" x14ac:dyDescent="0.3">
      <c r="A1068" s="38"/>
      <c r="B1068" s="38"/>
      <c r="C1068" s="38"/>
      <c r="D1068" s="38"/>
      <c r="E1068" s="40"/>
    </row>
    <row r="1069" spans="1:5" ht="16.5" thickTop="1" thickBot="1" x14ac:dyDescent="0.3">
      <c r="A1069" s="38"/>
      <c r="B1069" s="38"/>
      <c r="C1069" s="38"/>
      <c r="D1069" s="38"/>
      <c r="E1069" s="40"/>
    </row>
    <row r="1070" spans="1:5" ht="16.5" thickTop="1" thickBot="1" x14ac:dyDescent="0.3">
      <c r="A1070" s="38"/>
      <c r="B1070" s="38"/>
      <c r="C1070" s="38"/>
      <c r="D1070" s="38"/>
      <c r="E1070" s="40"/>
    </row>
    <row r="1071" spans="1:5" ht="16.5" thickTop="1" thickBot="1" x14ac:dyDescent="0.3">
      <c r="A1071" s="38"/>
      <c r="B1071" s="38"/>
      <c r="C1071" s="38"/>
      <c r="D1071" s="38"/>
      <c r="E1071" s="40"/>
    </row>
    <row r="1072" spans="1:5" ht="16.5" thickTop="1" thickBot="1" x14ac:dyDescent="0.3">
      <c r="A1072" s="38"/>
      <c r="B1072" s="38"/>
      <c r="C1072" s="38"/>
      <c r="D1072" s="38"/>
      <c r="E1072" s="40"/>
    </row>
    <row r="1073" spans="1:5" ht="16.5" thickTop="1" thickBot="1" x14ac:dyDescent="0.3">
      <c r="A1073" s="38"/>
      <c r="B1073" s="38"/>
      <c r="C1073" s="38"/>
      <c r="D1073" s="38"/>
      <c r="E1073" s="40"/>
    </row>
    <row r="1074" spans="1:5" ht="16.5" thickTop="1" thickBot="1" x14ac:dyDescent="0.3">
      <c r="A1074" s="38"/>
      <c r="B1074" s="38"/>
      <c r="C1074" s="38"/>
      <c r="D1074" s="38"/>
      <c r="E1074" s="40"/>
    </row>
    <row r="1075" spans="1:5" ht="16.5" thickTop="1" thickBot="1" x14ac:dyDescent="0.3">
      <c r="A1075" s="38"/>
      <c r="B1075" s="38"/>
      <c r="C1075" s="38"/>
      <c r="D1075" s="38"/>
      <c r="E1075" s="40"/>
    </row>
    <row r="1076" spans="1:5" ht="16.5" thickTop="1" thickBot="1" x14ac:dyDescent="0.3">
      <c r="A1076" s="38"/>
      <c r="B1076" s="38"/>
      <c r="C1076" s="38"/>
      <c r="D1076" s="38"/>
      <c r="E1076" s="40"/>
    </row>
    <row r="1077" spans="1:5" ht="16.5" thickTop="1" thickBot="1" x14ac:dyDescent="0.3">
      <c r="A1077" s="38"/>
      <c r="B1077" s="38"/>
      <c r="C1077" s="38"/>
      <c r="D1077" s="38"/>
      <c r="E1077" s="40"/>
    </row>
    <row r="1078" spans="1:5" ht="16.5" thickTop="1" thickBot="1" x14ac:dyDescent="0.3">
      <c r="A1078" s="38"/>
      <c r="B1078" s="38"/>
      <c r="C1078" s="38"/>
      <c r="D1078" s="38"/>
      <c r="E1078" s="40"/>
    </row>
    <row r="1079" spans="1:5" ht="16.5" thickTop="1" thickBot="1" x14ac:dyDescent="0.3">
      <c r="A1079" s="38"/>
      <c r="B1079" s="38"/>
      <c r="C1079" s="38"/>
      <c r="D1079" s="38"/>
      <c r="E1079" s="40"/>
    </row>
    <row r="1080" spans="1:5" ht="16.5" thickTop="1" thickBot="1" x14ac:dyDescent="0.3">
      <c r="A1080" s="38"/>
      <c r="B1080" s="38"/>
      <c r="C1080" s="38"/>
      <c r="D1080" s="38"/>
      <c r="E1080" s="40"/>
    </row>
    <row r="1081" spans="1:5" ht="16.5" thickTop="1" thickBot="1" x14ac:dyDescent="0.3">
      <c r="A1081" s="38"/>
      <c r="B1081" s="38"/>
      <c r="C1081" s="38"/>
      <c r="D1081" s="38"/>
      <c r="E1081" s="40"/>
    </row>
    <row r="1082" spans="1:5" ht="16.5" thickTop="1" thickBot="1" x14ac:dyDescent="0.3">
      <c r="A1082" s="38"/>
      <c r="B1082" s="38"/>
      <c r="C1082" s="38"/>
      <c r="D1082" s="38"/>
      <c r="E1082" s="40"/>
    </row>
    <row r="1083" spans="1:5" ht="16.5" thickTop="1" thickBot="1" x14ac:dyDescent="0.3">
      <c r="A1083" s="38"/>
      <c r="B1083" s="38"/>
      <c r="C1083" s="38"/>
      <c r="D1083" s="38"/>
      <c r="E1083" s="40"/>
    </row>
    <row r="1084" spans="1:5" ht="16.5" thickTop="1" thickBot="1" x14ac:dyDescent="0.3">
      <c r="A1084" s="38"/>
      <c r="B1084" s="38"/>
      <c r="C1084" s="38"/>
      <c r="D1084" s="38"/>
      <c r="E1084" s="40"/>
    </row>
    <row r="1085" spans="1:5" ht="16.5" thickTop="1" thickBot="1" x14ac:dyDescent="0.3">
      <c r="A1085" s="38"/>
      <c r="B1085" s="38"/>
      <c r="C1085" s="38"/>
      <c r="D1085" s="38"/>
      <c r="E1085" s="40"/>
    </row>
    <row r="1086" spans="1:5" ht="16.5" thickTop="1" thickBot="1" x14ac:dyDescent="0.3">
      <c r="A1086" s="38"/>
      <c r="B1086" s="38"/>
      <c r="C1086" s="38"/>
      <c r="D1086" s="38"/>
      <c r="E1086" s="40"/>
    </row>
    <row r="1087" spans="1:5" ht="16.5" thickTop="1" thickBot="1" x14ac:dyDescent="0.3">
      <c r="A1087" s="38"/>
      <c r="B1087" s="38"/>
      <c r="C1087" s="38"/>
      <c r="D1087" s="38"/>
      <c r="E1087" s="40"/>
    </row>
    <row r="1088" spans="1:5" ht="16.5" thickTop="1" thickBot="1" x14ac:dyDescent="0.3">
      <c r="A1088" s="38"/>
      <c r="B1088" s="38"/>
      <c r="C1088" s="38"/>
      <c r="D1088" s="38"/>
      <c r="E1088" s="40"/>
    </row>
    <row r="1089" spans="1:5" ht="16.5" thickTop="1" thickBot="1" x14ac:dyDescent="0.3">
      <c r="A1089" s="38"/>
      <c r="B1089" s="38"/>
      <c r="C1089" s="38"/>
      <c r="D1089" s="38"/>
      <c r="E1089" s="40"/>
    </row>
    <row r="1090" spans="1:5" ht="16.5" thickTop="1" thickBot="1" x14ac:dyDescent="0.3">
      <c r="A1090" s="38"/>
      <c r="B1090" s="38"/>
      <c r="C1090" s="38"/>
      <c r="D1090" s="38"/>
      <c r="E1090" s="40"/>
    </row>
    <row r="1091" spans="1:5" ht="16.5" thickTop="1" thickBot="1" x14ac:dyDescent="0.3">
      <c r="A1091" s="38"/>
      <c r="B1091" s="38"/>
      <c r="C1091" s="38"/>
      <c r="D1091" s="38"/>
      <c r="E1091" s="40"/>
    </row>
    <row r="1092" spans="1:5" ht="16.5" thickTop="1" thickBot="1" x14ac:dyDescent="0.3">
      <c r="A1092" s="38"/>
      <c r="B1092" s="38"/>
      <c r="C1092" s="38"/>
      <c r="D1092" s="38"/>
      <c r="E1092" s="40"/>
    </row>
    <row r="1093" spans="1:5" ht="16.5" thickTop="1" thickBot="1" x14ac:dyDescent="0.3">
      <c r="A1093" s="38"/>
      <c r="B1093" s="38"/>
      <c r="C1093" s="38"/>
      <c r="D1093" s="38"/>
      <c r="E1093" s="40"/>
    </row>
    <row r="1094" spans="1:5" ht="16.5" thickTop="1" thickBot="1" x14ac:dyDescent="0.3">
      <c r="A1094" s="38"/>
      <c r="B1094" s="38"/>
      <c r="C1094" s="38"/>
      <c r="D1094" s="38"/>
      <c r="E1094" s="40"/>
    </row>
    <row r="1095" spans="1:5" ht="16.5" thickTop="1" thickBot="1" x14ac:dyDescent="0.3">
      <c r="A1095" s="38"/>
      <c r="B1095" s="38"/>
      <c r="C1095" s="38"/>
      <c r="D1095" s="38"/>
      <c r="E1095" s="40"/>
    </row>
    <row r="1096" spans="1:5" ht="16.5" thickTop="1" thickBot="1" x14ac:dyDescent="0.3">
      <c r="A1096" s="38"/>
      <c r="B1096" s="38"/>
      <c r="C1096" s="38"/>
      <c r="D1096" s="38"/>
      <c r="E1096" s="40"/>
    </row>
    <row r="1097" spans="1:5" ht="16.5" thickTop="1" thickBot="1" x14ac:dyDescent="0.3">
      <c r="A1097" s="38"/>
      <c r="B1097" s="38"/>
      <c r="C1097" s="38"/>
      <c r="D1097" s="38"/>
      <c r="E1097" s="40"/>
    </row>
    <row r="1098" spans="1:5" ht="16.5" thickTop="1" thickBot="1" x14ac:dyDescent="0.3">
      <c r="A1098" s="38"/>
      <c r="B1098" s="38"/>
      <c r="C1098" s="38"/>
      <c r="D1098" s="38"/>
      <c r="E1098" s="40"/>
    </row>
    <row r="1099" spans="1:5" ht="16.5" thickTop="1" thickBot="1" x14ac:dyDescent="0.3">
      <c r="A1099" s="38"/>
      <c r="B1099" s="38"/>
      <c r="C1099" s="38"/>
      <c r="D1099" s="38"/>
      <c r="E1099" s="40"/>
    </row>
    <row r="1100" spans="1:5" ht="16.5" thickTop="1" thickBot="1" x14ac:dyDescent="0.3">
      <c r="A1100" s="38"/>
      <c r="B1100" s="38"/>
      <c r="C1100" s="38"/>
      <c r="D1100" s="38"/>
      <c r="E1100" s="40"/>
    </row>
    <row r="1101" spans="1:5" ht="16.5" thickTop="1" thickBot="1" x14ac:dyDescent="0.3">
      <c r="A1101" s="38"/>
      <c r="B1101" s="38"/>
      <c r="C1101" s="38"/>
      <c r="D1101" s="38"/>
      <c r="E1101" s="40"/>
    </row>
    <row r="1102" spans="1:5" ht="16.5" thickTop="1" thickBot="1" x14ac:dyDescent="0.3">
      <c r="A1102" s="38"/>
      <c r="B1102" s="38"/>
      <c r="C1102" s="38"/>
      <c r="D1102" s="38"/>
      <c r="E1102" s="40"/>
    </row>
    <row r="1103" spans="1:5" ht="16.5" thickTop="1" thickBot="1" x14ac:dyDescent="0.3">
      <c r="A1103" s="38"/>
      <c r="B1103" s="38"/>
      <c r="C1103" s="38"/>
      <c r="D1103" s="38"/>
      <c r="E1103" s="40"/>
    </row>
    <row r="1104" spans="1:5" ht="16.5" thickTop="1" thickBot="1" x14ac:dyDescent="0.3">
      <c r="A1104" s="38"/>
      <c r="B1104" s="38"/>
      <c r="C1104" s="38"/>
      <c r="D1104" s="38"/>
      <c r="E1104" s="40"/>
    </row>
    <row r="1105" spans="1:5" ht="16.5" thickTop="1" thickBot="1" x14ac:dyDescent="0.3">
      <c r="A1105" s="38"/>
      <c r="B1105" s="38"/>
      <c r="C1105" s="38"/>
      <c r="D1105" s="38"/>
      <c r="E1105" s="40"/>
    </row>
    <row r="1106" spans="1:5" ht="16.5" thickTop="1" thickBot="1" x14ac:dyDescent="0.3">
      <c r="A1106" s="38"/>
      <c r="B1106" s="38"/>
      <c r="C1106" s="38"/>
      <c r="D1106" s="38"/>
      <c r="E1106" s="40"/>
    </row>
    <row r="1107" spans="1:5" ht="16.5" thickTop="1" thickBot="1" x14ac:dyDescent="0.3">
      <c r="A1107" s="38"/>
      <c r="B1107" s="38"/>
      <c r="C1107" s="38"/>
      <c r="D1107" s="38"/>
      <c r="E1107" s="40"/>
    </row>
    <row r="1108" spans="1:5" ht="16.5" thickTop="1" thickBot="1" x14ac:dyDescent="0.3">
      <c r="A1108" s="38"/>
      <c r="B1108" s="38"/>
      <c r="C1108" s="38"/>
      <c r="D1108" s="38"/>
      <c r="E1108" s="40"/>
    </row>
    <row r="1109" spans="1:5" ht="16.5" thickTop="1" thickBot="1" x14ac:dyDescent="0.3">
      <c r="A1109" s="38"/>
      <c r="B1109" s="38"/>
      <c r="C1109" s="38"/>
      <c r="D1109" s="38"/>
      <c r="E1109" s="40"/>
    </row>
    <row r="1110" spans="1:5" ht="16.5" thickTop="1" thickBot="1" x14ac:dyDescent="0.3">
      <c r="A1110" s="38"/>
      <c r="B1110" s="38"/>
      <c r="C1110" s="38"/>
      <c r="D1110" s="38"/>
      <c r="E1110" s="40"/>
    </row>
    <row r="1111" spans="1:5" ht="16.5" thickTop="1" thickBot="1" x14ac:dyDescent="0.3">
      <c r="A1111" s="38"/>
      <c r="B1111" s="38"/>
      <c r="C1111" s="38"/>
      <c r="D1111" s="38"/>
      <c r="E1111" s="40"/>
    </row>
    <row r="1112" spans="1:5" ht="16.5" thickTop="1" thickBot="1" x14ac:dyDescent="0.3">
      <c r="A1112" s="38"/>
      <c r="B1112" s="38"/>
      <c r="C1112" s="38"/>
      <c r="D1112" s="38"/>
      <c r="E1112" s="40"/>
    </row>
    <row r="1113" spans="1:5" ht="16.5" thickTop="1" thickBot="1" x14ac:dyDescent="0.3">
      <c r="A1113" s="38"/>
      <c r="B1113" s="38"/>
      <c r="C1113" s="38"/>
      <c r="D1113" s="38"/>
      <c r="E1113" s="40"/>
    </row>
    <row r="1114" spans="1:5" ht="16.5" thickTop="1" thickBot="1" x14ac:dyDescent="0.3">
      <c r="A1114" s="38"/>
      <c r="B1114" s="38"/>
      <c r="C1114" s="38"/>
      <c r="D1114" s="38"/>
      <c r="E1114" s="40"/>
    </row>
    <row r="1115" spans="1:5" ht="16.5" thickTop="1" thickBot="1" x14ac:dyDescent="0.3">
      <c r="A1115" s="38"/>
      <c r="B1115" s="38"/>
      <c r="C1115" s="38"/>
      <c r="D1115" s="38"/>
      <c r="E1115" s="40"/>
    </row>
    <row r="1116" spans="1:5" ht="16.5" thickTop="1" thickBot="1" x14ac:dyDescent="0.3">
      <c r="A1116" s="38"/>
      <c r="B1116" s="38"/>
      <c r="C1116" s="38"/>
      <c r="D1116" s="38"/>
      <c r="E1116" s="40"/>
    </row>
    <row r="1117" spans="1:5" ht="16.5" thickTop="1" thickBot="1" x14ac:dyDescent="0.3">
      <c r="A1117" s="38"/>
      <c r="B1117" s="38"/>
      <c r="C1117" s="38"/>
      <c r="D1117" s="38"/>
      <c r="E1117" s="40"/>
    </row>
    <row r="1118" spans="1:5" ht="16.5" thickTop="1" thickBot="1" x14ac:dyDescent="0.3">
      <c r="A1118" s="38"/>
      <c r="B1118" s="38"/>
      <c r="C1118" s="38"/>
      <c r="D1118" s="38"/>
      <c r="E1118" s="40"/>
    </row>
    <row r="1119" spans="1:5" ht="16.5" thickTop="1" thickBot="1" x14ac:dyDescent="0.3">
      <c r="A1119" s="38"/>
      <c r="B1119" s="38"/>
      <c r="C1119" s="38"/>
      <c r="D1119" s="38"/>
      <c r="E1119" s="40"/>
    </row>
    <row r="1120" spans="1:5" ht="16.5" thickTop="1" thickBot="1" x14ac:dyDescent="0.3">
      <c r="A1120" s="38"/>
      <c r="B1120" s="38"/>
      <c r="C1120" s="38"/>
      <c r="D1120" s="38"/>
      <c r="E1120" s="40"/>
    </row>
    <row r="1121" spans="1:5" ht="16.5" thickTop="1" thickBot="1" x14ac:dyDescent="0.3">
      <c r="A1121" s="38"/>
      <c r="B1121" s="38"/>
      <c r="C1121" s="38"/>
      <c r="D1121" s="38"/>
      <c r="E1121" s="40"/>
    </row>
    <row r="1122" spans="1:5" ht="16.5" thickTop="1" thickBot="1" x14ac:dyDescent="0.3">
      <c r="A1122" s="38"/>
      <c r="B1122" s="38"/>
      <c r="C1122" s="38"/>
      <c r="D1122" s="38"/>
      <c r="E1122" s="40"/>
    </row>
    <row r="1123" spans="1:5" ht="16.5" thickTop="1" thickBot="1" x14ac:dyDescent="0.3">
      <c r="A1123" s="38"/>
      <c r="B1123" s="38"/>
      <c r="C1123" s="38"/>
      <c r="D1123" s="38"/>
      <c r="E1123" s="40"/>
    </row>
    <row r="1124" spans="1:5" ht="16.5" thickTop="1" thickBot="1" x14ac:dyDescent="0.3">
      <c r="A1124" s="38"/>
      <c r="B1124" s="38"/>
      <c r="C1124" s="38"/>
      <c r="D1124" s="38"/>
      <c r="E1124" s="40"/>
    </row>
    <row r="1125" spans="1:5" ht="16.5" thickTop="1" thickBot="1" x14ac:dyDescent="0.3">
      <c r="A1125" s="38"/>
      <c r="B1125" s="38"/>
      <c r="C1125" s="38"/>
      <c r="D1125" s="38"/>
      <c r="E1125" s="40"/>
    </row>
    <row r="1126" spans="1:5" ht="16.5" thickTop="1" thickBot="1" x14ac:dyDescent="0.3">
      <c r="A1126" s="38"/>
      <c r="B1126" s="38"/>
      <c r="C1126" s="38"/>
      <c r="D1126" s="38"/>
      <c r="E1126" s="40"/>
    </row>
    <row r="1127" spans="1:5" ht="16.5" thickTop="1" thickBot="1" x14ac:dyDescent="0.3">
      <c r="A1127" s="38"/>
      <c r="B1127" s="38"/>
      <c r="C1127" s="38"/>
      <c r="D1127" s="38"/>
      <c r="E1127" s="40"/>
    </row>
    <row r="1128" spans="1:5" ht="16.5" thickTop="1" thickBot="1" x14ac:dyDescent="0.3">
      <c r="A1128" s="38"/>
      <c r="B1128" s="38"/>
      <c r="C1128" s="38"/>
      <c r="D1128" s="38"/>
      <c r="E1128" s="40"/>
    </row>
    <row r="1129" spans="1:5" ht="16.5" thickTop="1" thickBot="1" x14ac:dyDescent="0.3">
      <c r="A1129" s="38"/>
      <c r="B1129" s="38"/>
      <c r="C1129" s="38"/>
      <c r="D1129" s="38"/>
      <c r="E1129" s="40"/>
    </row>
    <row r="1130" spans="1:5" ht="16.5" thickTop="1" thickBot="1" x14ac:dyDescent="0.3">
      <c r="A1130" s="38"/>
      <c r="B1130" s="38"/>
      <c r="C1130" s="38"/>
      <c r="D1130" s="38"/>
      <c r="E1130" s="40"/>
    </row>
    <row r="1131" spans="1:5" ht="16.5" thickTop="1" thickBot="1" x14ac:dyDescent="0.3">
      <c r="A1131" s="38"/>
      <c r="B1131" s="38"/>
      <c r="C1131" s="38"/>
      <c r="D1131" s="38"/>
      <c r="E1131" s="40"/>
    </row>
    <row r="1132" spans="1:5" ht="16.5" thickTop="1" thickBot="1" x14ac:dyDescent="0.3">
      <c r="A1132" s="38"/>
      <c r="B1132" s="38"/>
      <c r="C1132" s="38"/>
      <c r="D1132" s="38"/>
      <c r="E1132" s="40"/>
    </row>
    <row r="1133" spans="1:5" ht="16.5" thickTop="1" thickBot="1" x14ac:dyDescent="0.3">
      <c r="A1133" s="38"/>
      <c r="B1133" s="38"/>
      <c r="C1133" s="38"/>
      <c r="D1133" s="38"/>
      <c r="E1133" s="40"/>
    </row>
    <row r="1134" spans="1:5" ht="16.5" thickTop="1" thickBot="1" x14ac:dyDescent="0.3">
      <c r="A1134" s="38"/>
      <c r="B1134" s="38"/>
      <c r="C1134" s="38"/>
      <c r="D1134" s="38"/>
      <c r="E1134" s="40"/>
    </row>
    <row r="1135" spans="1:5" ht="16.5" thickTop="1" thickBot="1" x14ac:dyDescent="0.3">
      <c r="A1135" s="38"/>
      <c r="B1135" s="38"/>
      <c r="C1135" s="38"/>
      <c r="D1135" s="38"/>
      <c r="E1135" s="40"/>
    </row>
    <row r="1136" spans="1:5" ht="16.5" thickTop="1" thickBot="1" x14ac:dyDescent="0.3">
      <c r="A1136" s="38"/>
      <c r="B1136" s="38"/>
      <c r="C1136" s="38"/>
      <c r="D1136" s="38"/>
      <c r="E1136" s="40"/>
    </row>
    <row r="1137" spans="1:5" ht="16.5" thickTop="1" thickBot="1" x14ac:dyDescent="0.3">
      <c r="A1137" s="38"/>
      <c r="B1137" s="38"/>
      <c r="C1137" s="38"/>
      <c r="D1137" s="38"/>
      <c r="E1137" s="40"/>
    </row>
    <row r="1138" spans="1:5" ht="16.5" thickTop="1" thickBot="1" x14ac:dyDescent="0.3">
      <c r="A1138" s="38"/>
      <c r="B1138" s="38"/>
      <c r="C1138" s="38"/>
      <c r="D1138" s="38"/>
      <c r="E1138" s="40"/>
    </row>
    <row r="1139" spans="1:5" ht="16.5" thickTop="1" thickBot="1" x14ac:dyDescent="0.3">
      <c r="A1139" s="38"/>
      <c r="B1139" s="38"/>
      <c r="C1139" s="38"/>
      <c r="D1139" s="38"/>
      <c r="E1139" s="40"/>
    </row>
    <row r="1140" spans="1:5" ht="16.5" thickTop="1" thickBot="1" x14ac:dyDescent="0.3">
      <c r="A1140" s="38"/>
      <c r="B1140" s="38"/>
      <c r="C1140" s="38"/>
      <c r="D1140" s="38"/>
      <c r="E1140" s="40"/>
    </row>
    <row r="1141" spans="1:5" ht="16.5" thickTop="1" thickBot="1" x14ac:dyDescent="0.3">
      <c r="A1141" s="38"/>
      <c r="B1141" s="38"/>
      <c r="C1141" s="38"/>
      <c r="D1141" s="38"/>
      <c r="E1141" s="40"/>
    </row>
    <row r="1142" spans="1:5" ht="16.5" thickTop="1" thickBot="1" x14ac:dyDescent="0.3">
      <c r="A1142" s="38"/>
      <c r="B1142" s="38"/>
      <c r="C1142" s="38"/>
      <c r="D1142" s="38"/>
      <c r="E1142" s="40"/>
    </row>
    <row r="1143" spans="1:5" ht="16.5" thickTop="1" thickBot="1" x14ac:dyDescent="0.3">
      <c r="A1143" s="38"/>
      <c r="B1143" s="38"/>
      <c r="C1143" s="38"/>
      <c r="D1143" s="38"/>
      <c r="E1143" s="40"/>
    </row>
    <row r="1144" spans="1:5" ht="16.5" thickTop="1" thickBot="1" x14ac:dyDescent="0.3">
      <c r="A1144" s="38"/>
      <c r="B1144" s="38"/>
      <c r="C1144" s="38"/>
      <c r="D1144" s="38"/>
      <c r="E1144" s="40"/>
    </row>
    <row r="1145" spans="1:5" ht="16.5" thickTop="1" thickBot="1" x14ac:dyDescent="0.3">
      <c r="A1145" s="38"/>
      <c r="B1145" s="38"/>
      <c r="C1145" s="38"/>
      <c r="D1145" s="38"/>
      <c r="E1145" s="40"/>
    </row>
    <row r="1146" spans="1:5" ht="16.5" thickTop="1" thickBot="1" x14ac:dyDescent="0.3">
      <c r="A1146" s="38"/>
      <c r="B1146" s="38"/>
      <c r="C1146" s="38"/>
      <c r="D1146" s="38"/>
      <c r="E1146" s="40"/>
    </row>
    <row r="1147" spans="1:5" ht="16.5" thickTop="1" thickBot="1" x14ac:dyDescent="0.3">
      <c r="A1147" s="38"/>
      <c r="B1147" s="38"/>
      <c r="C1147" s="38"/>
      <c r="D1147" s="38"/>
      <c r="E1147" s="40"/>
    </row>
    <row r="1148" spans="1:5" ht="16.5" thickTop="1" thickBot="1" x14ac:dyDescent="0.3">
      <c r="A1148" s="38"/>
      <c r="B1148" s="38"/>
      <c r="C1148" s="38"/>
      <c r="D1148" s="38"/>
      <c r="E1148" s="40"/>
    </row>
    <row r="1149" spans="1:5" ht="16.5" thickTop="1" thickBot="1" x14ac:dyDescent="0.3">
      <c r="A1149" s="38"/>
      <c r="B1149" s="38"/>
      <c r="C1149" s="38"/>
      <c r="D1149" s="38"/>
      <c r="E1149" s="40"/>
    </row>
    <row r="1150" spans="1:5" ht="16.5" thickTop="1" thickBot="1" x14ac:dyDescent="0.3">
      <c r="A1150" s="38"/>
      <c r="B1150" s="38"/>
      <c r="C1150" s="38"/>
      <c r="D1150" s="38"/>
      <c r="E1150" s="40"/>
    </row>
    <row r="1151" spans="1:5" ht="16.5" thickTop="1" thickBot="1" x14ac:dyDescent="0.3">
      <c r="A1151" s="38"/>
      <c r="B1151" s="38"/>
      <c r="C1151" s="38"/>
      <c r="D1151" s="38"/>
      <c r="E1151" s="40"/>
    </row>
    <row r="1152" spans="1:5" ht="16.5" thickTop="1" thickBot="1" x14ac:dyDescent="0.3">
      <c r="A1152" s="38"/>
      <c r="B1152" s="38"/>
      <c r="C1152" s="38"/>
      <c r="D1152" s="38"/>
      <c r="E1152" s="40"/>
    </row>
    <row r="1153" spans="1:5" ht="16.5" thickTop="1" thickBot="1" x14ac:dyDescent="0.3">
      <c r="A1153" s="38"/>
      <c r="B1153" s="38"/>
      <c r="C1153" s="38"/>
      <c r="D1153" s="38"/>
      <c r="E1153" s="40"/>
    </row>
    <row r="1154" spans="1:5" ht="16.5" thickTop="1" thickBot="1" x14ac:dyDescent="0.3">
      <c r="A1154" s="38"/>
      <c r="B1154" s="38"/>
      <c r="C1154" s="38"/>
      <c r="D1154" s="38"/>
      <c r="E1154" s="40"/>
    </row>
    <row r="1155" spans="1:5" ht="16.5" thickTop="1" thickBot="1" x14ac:dyDescent="0.3">
      <c r="A1155" s="38"/>
      <c r="B1155" s="38"/>
      <c r="C1155" s="38"/>
      <c r="D1155" s="38"/>
      <c r="E1155" s="40"/>
    </row>
    <row r="1156" spans="1:5" ht="16.5" thickTop="1" thickBot="1" x14ac:dyDescent="0.3">
      <c r="A1156" s="38"/>
      <c r="B1156" s="38"/>
      <c r="C1156" s="38"/>
      <c r="D1156" s="38"/>
      <c r="E1156" s="40"/>
    </row>
    <row r="1157" spans="1:5" ht="16.5" thickTop="1" thickBot="1" x14ac:dyDescent="0.3">
      <c r="A1157" s="38"/>
      <c r="B1157" s="38"/>
      <c r="C1157" s="38"/>
      <c r="D1157" s="38"/>
      <c r="E1157" s="40"/>
    </row>
    <row r="1158" spans="1:5" ht="16.5" thickTop="1" thickBot="1" x14ac:dyDescent="0.3">
      <c r="A1158" s="38"/>
      <c r="B1158" s="38"/>
      <c r="C1158" s="38"/>
      <c r="D1158" s="38"/>
      <c r="E1158" s="40"/>
    </row>
    <row r="1159" spans="1:5" ht="16.5" thickTop="1" thickBot="1" x14ac:dyDescent="0.3">
      <c r="A1159" s="38"/>
      <c r="B1159" s="38"/>
      <c r="C1159" s="38"/>
      <c r="D1159" s="38"/>
      <c r="E1159" s="40"/>
    </row>
    <row r="1160" spans="1:5" ht="16.5" thickTop="1" thickBot="1" x14ac:dyDescent="0.3">
      <c r="A1160" s="38"/>
      <c r="B1160" s="38"/>
      <c r="C1160" s="38"/>
      <c r="D1160" s="38"/>
      <c r="E1160" s="40"/>
    </row>
    <row r="1161" spans="1:5" ht="16.5" thickTop="1" thickBot="1" x14ac:dyDescent="0.3">
      <c r="A1161" s="38"/>
      <c r="B1161" s="38"/>
      <c r="C1161" s="38"/>
      <c r="D1161" s="38"/>
      <c r="E1161" s="40"/>
    </row>
    <row r="1162" spans="1:5" ht="16.5" thickTop="1" thickBot="1" x14ac:dyDescent="0.3">
      <c r="A1162" s="38"/>
      <c r="B1162" s="38"/>
      <c r="C1162" s="38"/>
      <c r="D1162" s="38"/>
      <c r="E1162" s="40"/>
    </row>
    <row r="1163" spans="1:5" ht="16.5" thickTop="1" thickBot="1" x14ac:dyDescent="0.3">
      <c r="A1163" s="38"/>
      <c r="B1163" s="38"/>
      <c r="C1163" s="38"/>
      <c r="D1163" s="38"/>
      <c r="E1163" s="40"/>
    </row>
    <row r="1164" spans="1:5" ht="16.5" thickTop="1" thickBot="1" x14ac:dyDescent="0.3">
      <c r="A1164" s="38"/>
      <c r="B1164" s="38"/>
      <c r="C1164" s="38"/>
      <c r="D1164" s="38"/>
      <c r="E1164" s="40"/>
    </row>
    <row r="1165" spans="1:5" ht="16.5" thickTop="1" thickBot="1" x14ac:dyDescent="0.3">
      <c r="A1165" s="38"/>
      <c r="B1165" s="38"/>
      <c r="C1165" s="38"/>
      <c r="D1165" s="38"/>
      <c r="E1165" s="40"/>
    </row>
    <row r="1166" spans="1:5" ht="16.5" thickTop="1" thickBot="1" x14ac:dyDescent="0.3">
      <c r="A1166" s="38"/>
      <c r="B1166" s="38"/>
      <c r="C1166" s="38"/>
      <c r="D1166" s="38"/>
      <c r="E1166" s="40"/>
    </row>
    <row r="1167" spans="1:5" ht="16.5" thickTop="1" thickBot="1" x14ac:dyDescent="0.3">
      <c r="A1167" s="38"/>
      <c r="B1167" s="38"/>
      <c r="C1167" s="38"/>
      <c r="D1167" s="38"/>
      <c r="E1167" s="40"/>
    </row>
    <row r="1168" spans="1:5" ht="16.5" thickTop="1" thickBot="1" x14ac:dyDescent="0.3">
      <c r="A1168" s="38"/>
      <c r="B1168" s="38"/>
      <c r="C1168" s="38"/>
      <c r="D1168" s="38"/>
      <c r="E1168" s="40"/>
    </row>
    <row r="1169" spans="1:5" ht="16.5" thickTop="1" thickBot="1" x14ac:dyDescent="0.3">
      <c r="A1169" s="38"/>
      <c r="B1169" s="38"/>
      <c r="C1169" s="38"/>
      <c r="D1169" s="38"/>
      <c r="E1169" s="40"/>
    </row>
    <row r="1170" spans="1:5" ht="16.5" thickTop="1" thickBot="1" x14ac:dyDescent="0.3">
      <c r="A1170" s="38"/>
      <c r="B1170" s="38"/>
      <c r="C1170" s="38"/>
      <c r="D1170" s="38"/>
      <c r="E1170" s="40"/>
    </row>
    <row r="1171" spans="1:5" ht="16.5" thickTop="1" thickBot="1" x14ac:dyDescent="0.3">
      <c r="A1171" s="38"/>
      <c r="B1171" s="38"/>
      <c r="C1171" s="38"/>
      <c r="D1171" s="38"/>
      <c r="E1171" s="40"/>
    </row>
    <row r="1172" spans="1:5" ht="16.5" thickTop="1" thickBot="1" x14ac:dyDescent="0.3">
      <c r="A1172" s="38"/>
      <c r="B1172" s="38"/>
      <c r="C1172" s="38"/>
      <c r="D1172" s="38"/>
      <c r="E1172" s="40"/>
    </row>
    <row r="1173" spans="1:5" ht="16.5" thickTop="1" thickBot="1" x14ac:dyDescent="0.3">
      <c r="A1173" s="38"/>
      <c r="B1173" s="38"/>
      <c r="C1173" s="38"/>
      <c r="D1173" s="38"/>
      <c r="E1173" s="40"/>
    </row>
    <row r="1174" spans="1:5" ht="16.5" thickTop="1" thickBot="1" x14ac:dyDescent="0.3">
      <c r="A1174" s="38"/>
      <c r="B1174" s="38"/>
      <c r="C1174" s="38"/>
      <c r="D1174" s="38"/>
      <c r="E1174" s="40"/>
    </row>
    <row r="1175" spans="1:5" ht="16.5" thickTop="1" thickBot="1" x14ac:dyDescent="0.3">
      <c r="A1175" s="38"/>
      <c r="B1175" s="38"/>
      <c r="C1175" s="38"/>
      <c r="D1175" s="38"/>
      <c r="E1175" s="40"/>
    </row>
    <row r="1176" spans="1:5" ht="16.5" thickTop="1" thickBot="1" x14ac:dyDescent="0.3">
      <c r="A1176" s="38"/>
      <c r="B1176" s="38"/>
      <c r="C1176" s="38"/>
      <c r="D1176" s="38"/>
      <c r="E1176" s="40"/>
    </row>
    <row r="1177" spans="1:5" ht="16.5" thickTop="1" thickBot="1" x14ac:dyDescent="0.3">
      <c r="A1177" s="38"/>
      <c r="B1177" s="38"/>
      <c r="C1177" s="38"/>
      <c r="D1177" s="38"/>
      <c r="E1177" s="40"/>
    </row>
    <row r="1178" spans="1:5" ht="16.5" thickTop="1" thickBot="1" x14ac:dyDescent="0.3">
      <c r="A1178" s="38"/>
      <c r="B1178" s="38"/>
      <c r="C1178" s="38"/>
      <c r="D1178" s="38"/>
      <c r="E1178" s="40"/>
    </row>
    <row r="1179" spans="1:5" ht="16.5" thickTop="1" thickBot="1" x14ac:dyDescent="0.3">
      <c r="A1179" s="38"/>
      <c r="B1179" s="38"/>
      <c r="C1179" s="38"/>
      <c r="D1179" s="38"/>
      <c r="E1179" s="40"/>
    </row>
    <row r="1180" spans="1:5" ht="16.5" thickTop="1" thickBot="1" x14ac:dyDescent="0.3">
      <c r="A1180" s="38"/>
      <c r="B1180" s="38"/>
      <c r="C1180" s="38"/>
      <c r="D1180" s="38"/>
      <c r="E1180" s="40"/>
    </row>
    <row r="1181" spans="1:5" ht="16.5" thickTop="1" thickBot="1" x14ac:dyDescent="0.3">
      <c r="A1181" s="38"/>
      <c r="B1181" s="38"/>
      <c r="C1181" s="38"/>
      <c r="D1181" s="38"/>
      <c r="E1181" s="40"/>
    </row>
    <row r="1182" spans="1:5" ht="16.5" thickTop="1" thickBot="1" x14ac:dyDescent="0.3">
      <c r="A1182" s="38"/>
      <c r="B1182" s="38"/>
      <c r="C1182" s="38"/>
      <c r="D1182" s="38"/>
      <c r="E1182" s="40"/>
    </row>
    <row r="1183" spans="1:5" ht="16.5" thickTop="1" thickBot="1" x14ac:dyDescent="0.3">
      <c r="A1183" s="38"/>
      <c r="B1183" s="38"/>
      <c r="C1183" s="38"/>
      <c r="D1183" s="38"/>
      <c r="E1183" s="40"/>
    </row>
    <row r="1184" spans="1:5" ht="16.5" thickTop="1" thickBot="1" x14ac:dyDescent="0.3">
      <c r="A1184" s="38"/>
      <c r="B1184" s="38"/>
      <c r="C1184" s="38"/>
      <c r="D1184" s="38"/>
      <c r="E1184" s="40"/>
    </row>
    <row r="1185" spans="1:5" ht="16.5" thickTop="1" thickBot="1" x14ac:dyDescent="0.3">
      <c r="A1185" s="38"/>
      <c r="B1185" s="38"/>
      <c r="C1185" s="38"/>
      <c r="D1185" s="38"/>
      <c r="E1185" s="40"/>
    </row>
    <row r="1186" spans="1:5" ht="16.5" thickTop="1" thickBot="1" x14ac:dyDescent="0.3">
      <c r="A1186" s="38"/>
      <c r="B1186" s="38"/>
      <c r="C1186" s="38"/>
      <c r="D1186" s="38"/>
      <c r="E1186" s="40"/>
    </row>
    <row r="1187" spans="1:5" ht="16.5" thickTop="1" thickBot="1" x14ac:dyDescent="0.3">
      <c r="A1187" s="38"/>
      <c r="B1187" s="38"/>
      <c r="C1187" s="38"/>
      <c r="D1187" s="38"/>
      <c r="E1187" s="40"/>
    </row>
    <row r="1188" spans="1:5" ht="16.5" thickTop="1" thickBot="1" x14ac:dyDescent="0.3">
      <c r="A1188" s="38"/>
      <c r="B1188" s="38"/>
      <c r="C1188" s="38"/>
      <c r="D1188" s="38"/>
      <c r="E1188" s="40"/>
    </row>
    <row r="1189" spans="1:5" ht="16.5" thickTop="1" thickBot="1" x14ac:dyDescent="0.3">
      <c r="A1189" s="38"/>
      <c r="B1189" s="38"/>
      <c r="C1189" s="38"/>
      <c r="D1189" s="38"/>
      <c r="E1189" s="40"/>
    </row>
    <row r="1190" spans="1:5" ht="16.5" thickTop="1" thickBot="1" x14ac:dyDescent="0.3">
      <c r="A1190" s="38"/>
      <c r="B1190" s="38"/>
      <c r="C1190" s="38"/>
      <c r="D1190" s="38"/>
      <c r="E1190" s="40"/>
    </row>
    <row r="1191" spans="1:5" ht="16.5" thickTop="1" thickBot="1" x14ac:dyDescent="0.3">
      <c r="A1191" s="38"/>
      <c r="B1191" s="38"/>
      <c r="C1191" s="38"/>
      <c r="D1191" s="38"/>
      <c r="E1191" s="40"/>
    </row>
    <row r="1192" spans="1:5" ht="16.5" thickTop="1" thickBot="1" x14ac:dyDescent="0.3">
      <c r="A1192" s="38"/>
      <c r="B1192" s="38"/>
      <c r="C1192" s="38"/>
      <c r="D1192" s="38"/>
      <c r="E1192" s="40"/>
    </row>
    <row r="1193" spans="1:5" ht="16.5" thickTop="1" thickBot="1" x14ac:dyDescent="0.3">
      <c r="A1193" s="38"/>
      <c r="B1193" s="38"/>
      <c r="C1193" s="38"/>
      <c r="D1193" s="38"/>
      <c r="E1193" s="40"/>
    </row>
    <row r="1194" spans="1:5" ht="16.5" thickTop="1" thickBot="1" x14ac:dyDescent="0.3">
      <c r="A1194" s="38"/>
      <c r="B1194" s="38"/>
      <c r="C1194" s="38"/>
      <c r="D1194" s="38"/>
      <c r="E1194" s="40"/>
    </row>
    <row r="1195" spans="1:5" ht="16.5" thickTop="1" thickBot="1" x14ac:dyDescent="0.3">
      <c r="A1195" s="38"/>
      <c r="B1195" s="38"/>
      <c r="C1195" s="38"/>
      <c r="D1195" s="38"/>
      <c r="E1195" s="40"/>
    </row>
    <row r="1196" spans="1:5" ht="16.5" thickTop="1" thickBot="1" x14ac:dyDescent="0.3">
      <c r="A1196" s="38"/>
      <c r="B1196" s="38"/>
      <c r="C1196" s="38"/>
      <c r="D1196" s="38"/>
      <c r="E1196" s="40"/>
    </row>
    <row r="1197" spans="1:5" ht="16.5" thickTop="1" thickBot="1" x14ac:dyDescent="0.3">
      <c r="A1197" s="38"/>
      <c r="B1197" s="38"/>
      <c r="C1197" s="38"/>
      <c r="D1197" s="38"/>
      <c r="E1197" s="40"/>
    </row>
    <row r="1198" spans="1:5" ht="16.5" thickTop="1" thickBot="1" x14ac:dyDescent="0.3">
      <c r="A1198" s="38"/>
      <c r="B1198" s="38"/>
      <c r="C1198" s="38"/>
      <c r="D1198" s="38"/>
      <c r="E1198" s="40"/>
    </row>
    <row r="1199" spans="1:5" ht="16.5" thickTop="1" thickBot="1" x14ac:dyDescent="0.3">
      <c r="A1199" s="38"/>
      <c r="B1199" s="38"/>
      <c r="C1199" s="38"/>
      <c r="D1199" s="38"/>
      <c r="E1199" s="40"/>
    </row>
    <row r="1200" spans="1:5" ht="16.5" thickTop="1" thickBot="1" x14ac:dyDescent="0.3">
      <c r="A1200" s="38"/>
      <c r="B1200" s="38"/>
      <c r="C1200" s="38"/>
      <c r="D1200" s="38"/>
      <c r="E1200" s="40"/>
    </row>
    <row r="1201" spans="1:5" ht="16.5" thickTop="1" thickBot="1" x14ac:dyDescent="0.3">
      <c r="A1201" s="38"/>
      <c r="B1201" s="38"/>
      <c r="C1201" s="38"/>
      <c r="D1201" s="38"/>
      <c r="E1201" s="40"/>
    </row>
    <row r="1202" spans="1:5" ht="16.5" thickTop="1" thickBot="1" x14ac:dyDescent="0.3">
      <c r="A1202" s="38"/>
      <c r="B1202" s="38"/>
      <c r="C1202" s="38"/>
      <c r="D1202" s="38"/>
      <c r="E1202" s="40"/>
    </row>
    <row r="1203" spans="1:5" ht="16.5" thickTop="1" thickBot="1" x14ac:dyDescent="0.3">
      <c r="A1203" s="38"/>
      <c r="B1203" s="38"/>
      <c r="C1203" s="38"/>
      <c r="D1203" s="38"/>
      <c r="E1203" s="40"/>
    </row>
    <row r="1204" spans="1:5" ht="16.5" thickTop="1" thickBot="1" x14ac:dyDescent="0.3">
      <c r="A1204" s="38"/>
      <c r="B1204" s="38"/>
      <c r="C1204" s="38"/>
      <c r="D1204" s="38"/>
      <c r="E1204" s="40"/>
    </row>
    <row r="1205" spans="1:5" ht="16.5" thickTop="1" thickBot="1" x14ac:dyDescent="0.3">
      <c r="A1205" s="38"/>
      <c r="B1205" s="38"/>
      <c r="C1205" s="38"/>
      <c r="D1205" s="38"/>
      <c r="E1205" s="40"/>
    </row>
    <row r="1206" spans="1:5" ht="16.5" thickTop="1" thickBot="1" x14ac:dyDescent="0.3">
      <c r="A1206" s="38"/>
      <c r="B1206" s="38"/>
      <c r="C1206" s="38"/>
      <c r="D1206" s="38"/>
      <c r="E1206" s="40"/>
    </row>
    <row r="1207" spans="1:5" ht="16.5" thickTop="1" thickBot="1" x14ac:dyDescent="0.3">
      <c r="A1207" s="38"/>
      <c r="B1207" s="38"/>
      <c r="C1207" s="38"/>
      <c r="D1207" s="38"/>
      <c r="E1207" s="40"/>
    </row>
    <row r="1208" spans="1:5" ht="16.5" thickTop="1" thickBot="1" x14ac:dyDescent="0.3">
      <c r="A1208" s="38"/>
      <c r="B1208" s="38"/>
      <c r="C1208" s="38"/>
      <c r="D1208" s="38"/>
      <c r="E1208" s="40"/>
    </row>
    <row r="1209" spans="1:5" ht="16.5" thickTop="1" thickBot="1" x14ac:dyDescent="0.3">
      <c r="A1209" s="38"/>
      <c r="B1209" s="38"/>
      <c r="C1209" s="38"/>
      <c r="D1209" s="38"/>
      <c r="E1209" s="40"/>
    </row>
    <row r="1210" spans="1:5" ht="16.5" thickTop="1" thickBot="1" x14ac:dyDescent="0.3">
      <c r="A1210" s="38"/>
      <c r="B1210" s="38"/>
      <c r="C1210" s="38"/>
      <c r="D1210" s="38"/>
      <c r="E1210" s="40"/>
    </row>
    <row r="1211" spans="1:5" ht="16.5" thickTop="1" thickBot="1" x14ac:dyDescent="0.3">
      <c r="A1211" s="38"/>
      <c r="B1211" s="38"/>
      <c r="C1211" s="38"/>
      <c r="D1211" s="38"/>
      <c r="E1211" s="40"/>
    </row>
    <row r="1212" spans="1:5" ht="16.5" thickTop="1" thickBot="1" x14ac:dyDescent="0.3">
      <c r="A1212" s="38"/>
      <c r="B1212" s="38"/>
      <c r="C1212" s="38"/>
      <c r="D1212" s="38"/>
      <c r="E1212" s="40"/>
    </row>
    <row r="1213" spans="1:5" ht="16.5" thickTop="1" thickBot="1" x14ac:dyDescent="0.3">
      <c r="A1213" s="38"/>
      <c r="B1213" s="38"/>
      <c r="C1213" s="38"/>
      <c r="D1213" s="38"/>
      <c r="E1213" s="40"/>
    </row>
    <row r="1214" spans="1:5" ht="16.5" thickTop="1" thickBot="1" x14ac:dyDescent="0.3">
      <c r="A1214" s="38"/>
      <c r="B1214" s="38"/>
      <c r="C1214" s="38"/>
      <c r="D1214" s="38"/>
      <c r="E1214" s="40"/>
    </row>
    <row r="1215" spans="1:5" ht="16.5" thickTop="1" thickBot="1" x14ac:dyDescent="0.3">
      <c r="A1215" s="38"/>
      <c r="B1215" s="38"/>
      <c r="C1215" s="38"/>
      <c r="D1215" s="38"/>
      <c r="E1215" s="40"/>
    </row>
    <row r="1216" spans="1:5" ht="16.5" thickTop="1" thickBot="1" x14ac:dyDescent="0.3">
      <c r="A1216" s="38"/>
      <c r="B1216" s="38"/>
      <c r="C1216" s="38"/>
      <c r="D1216" s="38"/>
      <c r="E1216" s="40"/>
    </row>
    <row r="1217" spans="1:5" ht="16.5" thickTop="1" thickBot="1" x14ac:dyDescent="0.3">
      <c r="A1217" s="38"/>
      <c r="B1217" s="38"/>
      <c r="C1217" s="38"/>
      <c r="D1217" s="38"/>
      <c r="E1217" s="40"/>
    </row>
    <row r="1218" spans="1:5" ht="16.5" thickTop="1" thickBot="1" x14ac:dyDescent="0.3">
      <c r="A1218" s="38"/>
      <c r="B1218" s="38"/>
      <c r="C1218" s="38"/>
      <c r="D1218" s="38"/>
      <c r="E1218" s="40"/>
    </row>
    <row r="1219" spans="1:5" ht="16.5" thickTop="1" thickBot="1" x14ac:dyDescent="0.3">
      <c r="A1219" s="38"/>
      <c r="B1219" s="38"/>
      <c r="C1219" s="38"/>
      <c r="D1219" s="38"/>
      <c r="E1219" s="40"/>
    </row>
    <row r="1220" spans="1:5" ht="16.5" thickTop="1" thickBot="1" x14ac:dyDescent="0.3">
      <c r="A1220" s="38"/>
      <c r="B1220" s="38"/>
      <c r="C1220" s="38"/>
      <c r="D1220" s="38"/>
      <c r="E1220" s="40"/>
    </row>
    <row r="1221" spans="1:5" ht="16.5" thickTop="1" thickBot="1" x14ac:dyDescent="0.3">
      <c r="A1221" s="38"/>
      <c r="B1221" s="38"/>
      <c r="C1221" s="38"/>
      <c r="D1221" s="38"/>
      <c r="E1221" s="40"/>
    </row>
    <row r="1222" spans="1:5" ht="16.5" thickTop="1" thickBot="1" x14ac:dyDescent="0.3">
      <c r="A1222" s="38"/>
      <c r="B1222" s="38"/>
      <c r="C1222" s="38"/>
      <c r="D1222" s="38"/>
      <c r="E1222" s="40"/>
    </row>
    <row r="1223" spans="1:5" ht="16.5" thickTop="1" thickBot="1" x14ac:dyDescent="0.3">
      <c r="A1223" s="38"/>
      <c r="B1223" s="38"/>
      <c r="C1223" s="38"/>
      <c r="D1223" s="38"/>
      <c r="E1223" s="40"/>
    </row>
    <row r="1224" spans="1:5" ht="16.5" thickTop="1" thickBot="1" x14ac:dyDescent="0.3">
      <c r="A1224" s="38"/>
      <c r="B1224" s="38"/>
      <c r="C1224" s="38"/>
      <c r="D1224" s="38"/>
      <c r="E1224" s="40"/>
    </row>
    <row r="1225" spans="1:5" ht="16.5" thickTop="1" thickBot="1" x14ac:dyDescent="0.3">
      <c r="A1225" s="38"/>
      <c r="B1225" s="38"/>
      <c r="C1225" s="38"/>
      <c r="D1225" s="38"/>
      <c r="E1225" s="40"/>
    </row>
    <row r="1226" spans="1:5" ht="16.5" thickTop="1" thickBot="1" x14ac:dyDescent="0.3">
      <c r="A1226" s="38"/>
      <c r="B1226" s="38"/>
      <c r="C1226" s="38"/>
      <c r="D1226" s="38"/>
      <c r="E1226" s="40"/>
    </row>
    <row r="1227" spans="1:5" ht="16.5" thickTop="1" thickBot="1" x14ac:dyDescent="0.3">
      <c r="A1227" s="38"/>
      <c r="B1227" s="38"/>
      <c r="C1227" s="38"/>
      <c r="D1227" s="38"/>
      <c r="E1227" s="40"/>
    </row>
    <row r="1228" spans="1:5" ht="16.5" thickTop="1" thickBot="1" x14ac:dyDescent="0.3">
      <c r="A1228" s="38"/>
      <c r="B1228" s="38"/>
      <c r="C1228" s="38"/>
      <c r="D1228" s="38"/>
      <c r="E1228" s="40"/>
    </row>
    <row r="1229" spans="1:5" ht="16.5" thickTop="1" thickBot="1" x14ac:dyDescent="0.3">
      <c r="A1229" s="38"/>
      <c r="B1229" s="38"/>
      <c r="C1229" s="38"/>
      <c r="D1229" s="38"/>
      <c r="E1229" s="40"/>
    </row>
    <row r="1230" spans="1:5" ht="16.5" thickTop="1" thickBot="1" x14ac:dyDescent="0.3">
      <c r="A1230" s="38"/>
      <c r="B1230" s="38"/>
      <c r="C1230" s="38"/>
      <c r="D1230" s="38"/>
      <c r="E1230" s="40"/>
    </row>
    <row r="1231" spans="1:5" ht="16.5" thickTop="1" thickBot="1" x14ac:dyDescent="0.3">
      <c r="A1231" s="38"/>
      <c r="B1231" s="38"/>
      <c r="C1231" s="38"/>
      <c r="D1231" s="38"/>
      <c r="E1231" s="40"/>
    </row>
    <row r="1232" spans="1:5" ht="16.5" thickTop="1" thickBot="1" x14ac:dyDescent="0.3">
      <c r="A1232" s="38"/>
      <c r="B1232" s="38"/>
      <c r="C1232" s="38"/>
      <c r="D1232" s="38"/>
      <c r="E1232" s="40"/>
    </row>
    <row r="1233" spans="1:5" ht="16.5" thickTop="1" thickBot="1" x14ac:dyDescent="0.3">
      <c r="A1233" s="38"/>
      <c r="B1233" s="38"/>
      <c r="C1233" s="38"/>
      <c r="D1233" s="38"/>
      <c r="E1233" s="40"/>
    </row>
    <row r="1234" spans="1:5" ht="16.5" thickTop="1" thickBot="1" x14ac:dyDescent="0.3">
      <c r="A1234" s="38"/>
      <c r="B1234" s="38"/>
      <c r="C1234" s="38"/>
      <c r="D1234" s="38"/>
      <c r="E1234" s="40"/>
    </row>
    <row r="1235" spans="1:5" ht="16.5" thickTop="1" thickBot="1" x14ac:dyDescent="0.3">
      <c r="A1235" s="38"/>
      <c r="B1235" s="38"/>
      <c r="C1235" s="38"/>
      <c r="D1235" s="38"/>
      <c r="E1235" s="40"/>
    </row>
    <row r="1236" spans="1:5" ht="16.5" thickTop="1" thickBot="1" x14ac:dyDescent="0.3">
      <c r="A1236" s="38"/>
      <c r="B1236" s="38"/>
      <c r="C1236" s="38"/>
      <c r="D1236" s="38"/>
      <c r="E1236" s="40"/>
    </row>
    <row r="1237" spans="1:5" ht="16.5" thickTop="1" thickBot="1" x14ac:dyDescent="0.3">
      <c r="A1237" s="38"/>
      <c r="B1237" s="38"/>
      <c r="C1237" s="38"/>
      <c r="D1237" s="38"/>
      <c r="E1237" s="40"/>
    </row>
    <row r="1238" spans="1:5" ht="16.5" thickTop="1" thickBot="1" x14ac:dyDescent="0.3">
      <c r="A1238" s="38"/>
      <c r="B1238" s="38"/>
      <c r="C1238" s="38"/>
      <c r="D1238" s="38"/>
      <c r="E1238" s="40"/>
    </row>
    <row r="1239" spans="1:5" ht="16.5" thickTop="1" thickBot="1" x14ac:dyDescent="0.3">
      <c r="A1239" s="38"/>
      <c r="B1239" s="38"/>
      <c r="C1239" s="38"/>
      <c r="D1239" s="38"/>
      <c r="E1239" s="40"/>
    </row>
    <row r="1240" spans="1:5" ht="16.5" thickTop="1" thickBot="1" x14ac:dyDescent="0.3">
      <c r="A1240" s="38"/>
      <c r="B1240" s="38"/>
      <c r="C1240" s="38"/>
      <c r="D1240" s="38"/>
      <c r="E1240" s="40"/>
    </row>
    <row r="1241" spans="1:5" ht="16.5" thickTop="1" thickBot="1" x14ac:dyDescent="0.3">
      <c r="A1241" s="38"/>
      <c r="B1241" s="38"/>
      <c r="C1241" s="38"/>
      <c r="D1241" s="38"/>
      <c r="E1241" s="40"/>
    </row>
    <row r="1242" spans="1:5" ht="16.5" thickTop="1" thickBot="1" x14ac:dyDescent="0.3">
      <c r="A1242" s="38"/>
      <c r="B1242" s="38"/>
      <c r="C1242" s="38"/>
      <c r="D1242" s="38"/>
      <c r="E1242" s="40"/>
    </row>
    <row r="1243" spans="1:5" ht="16.5" thickTop="1" thickBot="1" x14ac:dyDescent="0.3">
      <c r="A1243" s="38"/>
      <c r="B1243" s="38"/>
      <c r="C1243" s="38"/>
      <c r="D1243" s="38"/>
      <c r="E1243" s="40"/>
    </row>
    <row r="1244" spans="1:5" ht="16.5" thickTop="1" thickBot="1" x14ac:dyDescent="0.3">
      <c r="A1244" s="38"/>
      <c r="B1244" s="38"/>
      <c r="C1244" s="38"/>
      <c r="D1244" s="38"/>
      <c r="E1244" s="40"/>
    </row>
    <row r="1245" spans="1:5" ht="16.5" thickTop="1" thickBot="1" x14ac:dyDescent="0.3">
      <c r="A1245" s="38"/>
      <c r="B1245" s="38"/>
      <c r="C1245" s="38"/>
      <c r="D1245" s="38"/>
      <c r="E1245" s="40"/>
    </row>
    <row r="1246" spans="1:5" ht="16.5" thickTop="1" thickBot="1" x14ac:dyDescent="0.3">
      <c r="A1246" s="38"/>
      <c r="B1246" s="38"/>
      <c r="C1246" s="38"/>
      <c r="D1246" s="38"/>
      <c r="E1246" s="40"/>
    </row>
    <row r="1247" spans="1:5" ht="16.5" thickTop="1" thickBot="1" x14ac:dyDescent="0.3">
      <c r="A1247" s="38"/>
      <c r="B1247" s="38"/>
      <c r="C1247" s="38"/>
      <c r="D1247" s="38"/>
      <c r="E1247" s="40"/>
    </row>
    <row r="1248" spans="1:5" ht="16.5" thickTop="1" thickBot="1" x14ac:dyDescent="0.3">
      <c r="A1248" s="38"/>
      <c r="B1248" s="38"/>
      <c r="C1248" s="38"/>
      <c r="D1248" s="38"/>
      <c r="E1248" s="40"/>
    </row>
    <row r="1249" spans="1:5" ht="16.5" thickTop="1" thickBot="1" x14ac:dyDescent="0.3">
      <c r="A1249" s="38"/>
      <c r="B1249" s="38"/>
      <c r="C1249" s="38"/>
      <c r="D1249" s="38"/>
      <c r="E1249" s="40"/>
    </row>
    <row r="1250" spans="1:5" ht="16.5" thickTop="1" thickBot="1" x14ac:dyDescent="0.3">
      <c r="A1250" s="38"/>
      <c r="B1250" s="38"/>
      <c r="C1250" s="38"/>
      <c r="D1250" s="38"/>
      <c r="E1250" s="40"/>
    </row>
    <row r="1251" spans="1:5" ht="16.5" thickTop="1" thickBot="1" x14ac:dyDescent="0.3">
      <c r="A1251" s="38"/>
      <c r="B1251" s="38"/>
      <c r="C1251" s="38"/>
      <c r="D1251" s="38"/>
      <c r="E1251" s="40"/>
    </row>
    <row r="1252" spans="1:5" ht="16.5" thickTop="1" thickBot="1" x14ac:dyDescent="0.3">
      <c r="A1252" s="38"/>
      <c r="B1252" s="38"/>
      <c r="C1252" s="38"/>
      <c r="D1252" s="38"/>
      <c r="E1252" s="40"/>
    </row>
    <row r="1253" spans="1:5" ht="16.5" thickTop="1" thickBot="1" x14ac:dyDescent="0.3">
      <c r="A1253" s="38"/>
      <c r="B1253" s="38"/>
      <c r="C1253" s="38"/>
      <c r="D1253" s="38"/>
      <c r="E1253" s="40"/>
    </row>
    <row r="1254" spans="1:5" ht="16.5" thickTop="1" thickBot="1" x14ac:dyDescent="0.3">
      <c r="A1254" s="38"/>
      <c r="B1254" s="38"/>
      <c r="C1254" s="38"/>
      <c r="D1254" s="38"/>
      <c r="E1254" s="40"/>
    </row>
    <row r="1255" spans="1:5" ht="16.5" thickTop="1" thickBot="1" x14ac:dyDescent="0.3">
      <c r="A1255" s="38"/>
      <c r="B1255" s="38"/>
      <c r="C1255" s="38"/>
      <c r="D1255" s="38"/>
      <c r="E1255" s="40"/>
    </row>
    <row r="1256" spans="1:5" ht="16.5" thickTop="1" thickBot="1" x14ac:dyDescent="0.3">
      <c r="A1256" s="38"/>
      <c r="B1256" s="38"/>
      <c r="C1256" s="38"/>
      <c r="D1256" s="38"/>
      <c r="E1256" s="40"/>
    </row>
    <row r="1257" spans="1:5" ht="16.5" thickTop="1" thickBot="1" x14ac:dyDescent="0.3">
      <c r="A1257" s="38"/>
      <c r="B1257" s="38"/>
      <c r="C1257" s="38"/>
      <c r="D1257" s="38"/>
      <c r="E1257" s="40"/>
    </row>
    <row r="1258" spans="1:5" ht="16.5" thickTop="1" thickBot="1" x14ac:dyDescent="0.3">
      <c r="A1258" s="38"/>
      <c r="B1258" s="38"/>
      <c r="C1258" s="38"/>
      <c r="D1258" s="38"/>
      <c r="E1258" s="40"/>
    </row>
    <row r="1259" spans="1:5" ht="16.5" thickTop="1" thickBot="1" x14ac:dyDescent="0.3">
      <c r="A1259" s="38"/>
      <c r="B1259" s="38"/>
      <c r="C1259" s="38"/>
      <c r="D1259" s="38"/>
      <c r="E1259" s="40"/>
    </row>
    <row r="1260" spans="1:5" ht="16.5" thickTop="1" thickBot="1" x14ac:dyDescent="0.3">
      <c r="A1260" s="38"/>
      <c r="B1260" s="38"/>
      <c r="C1260" s="38"/>
      <c r="D1260" s="38"/>
      <c r="E1260" s="40"/>
    </row>
    <row r="1261" spans="1:5" ht="16.5" thickTop="1" thickBot="1" x14ac:dyDescent="0.3">
      <c r="A1261" s="38"/>
      <c r="B1261" s="38"/>
      <c r="C1261" s="38"/>
      <c r="D1261" s="38"/>
      <c r="E1261" s="40"/>
    </row>
    <row r="1262" spans="1:5" ht="16.5" thickTop="1" thickBot="1" x14ac:dyDescent="0.3">
      <c r="A1262" s="38"/>
      <c r="B1262" s="38"/>
      <c r="C1262" s="38"/>
      <c r="D1262" s="38"/>
      <c r="E1262" s="40"/>
    </row>
    <row r="1263" spans="1:5" ht="16.5" thickTop="1" thickBot="1" x14ac:dyDescent="0.3">
      <c r="A1263" s="38"/>
      <c r="B1263" s="38"/>
      <c r="C1263" s="38"/>
      <c r="D1263" s="38"/>
      <c r="E1263" s="40"/>
    </row>
    <row r="1264" spans="1:5" ht="16.5" thickTop="1" thickBot="1" x14ac:dyDescent="0.3">
      <c r="A1264" s="38"/>
      <c r="B1264" s="38"/>
      <c r="C1264" s="38"/>
      <c r="D1264" s="38"/>
      <c r="E1264" s="40"/>
    </row>
    <row r="1265" spans="1:5" ht="16.5" thickTop="1" thickBot="1" x14ac:dyDescent="0.3">
      <c r="A1265" s="38"/>
      <c r="B1265" s="38"/>
      <c r="C1265" s="38"/>
      <c r="D1265" s="38"/>
      <c r="E1265" s="40"/>
    </row>
    <row r="1266" spans="1:5" ht="16.5" thickTop="1" thickBot="1" x14ac:dyDescent="0.3">
      <c r="A1266" s="38"/>
      <c r="B1266" s="38"/>
      <c r="C1266" s="38"/>
      <c r="D1266" s="38"/>
      <c r="E1266" s="40"/>
    </row>
    <row r="1267" spans="1:5" ht="16.5" thickTop="1" thickBot="1" x14ac:dyDescent="0.3">
      <c r="A1267" s="38"/>
      <c r="B1267" s="38"/>
      <c r="C1267" s="38"/>
      <c r="D1267" s="38"/>
      <c r="E1267" s="40"/>
    </row>
    <row r="1268" spans="1:5" ht="16.5" thickTop="1" thickBot="1" x14ac:dyDescent="0.3">
      <c r="A1268" s="38"/>
      <c r="B1268" s="38"/>
      <c r="C1268" s="38"/>
      <c r="D1268" s="38"/>
      <c r="E1268" s="40"/>
    </row>
    <row r="1269" spans="1:5" ht="16.5" thickTop="1" thickBot="1" x14ac:dyDescent="0.3">
      <c r="A1269" s="38"/>
      <c r="B1269" s="38"/>
      <c r="C1269" s="38"/>
      <c r="D1269" s="38"/>
      <c r="E1269" s="40"/>
    </row>
    <row r="1270" spans="1:5" ht="16.5" thickTop="1" thickBot="1" x14ac:dyDescent="0.3">
      <c r="A1270" s="38"/>
      <c r="B1270" s="38"/>
      <c r="C1270" s="38"/>
      <c r="D1270" s="38"/>
      <c r="E1270" s="40"/>
    </row>
    <row r="1271" spans="1:5" ht="16.5" thickTop="1" thickBot="1" x14ac:dyDescent="0.3">
      <c r="A1271" s="38"/>
      <c r="B1271" s="38"/>
      <c r="C1271" s="38"/>
      <c r="D1271" s="38"/>
      <c r="E1271" s="40"/>
    </row>
    <row r="1272" spans="1:5" ht="16.5" thickTop="1" thickBot="1" x14ac:dyDescent="0.3">
      <c r="A1272" s="38"/>
      <c r="B1272" s="38"/>
      <c r="C1272" s="38"/>
      <c r="D1272" s="38"/>
      <c r="E1272" s="40"/>
    </row>
    <row r="1273" spans="1:5" ht="16.5" thickTop="1" thickBot="1" x14ac:dyDescent="0.3">
      <c r="A1273" s="38"/>
      <c r="B1273" s="38"/>
      <c r="C1273" s="38"/>
      <c r="D1273" s="38"/>
      <c r="E1273" s="40"/>
    </row>
    <row r="1274" spans="1:5" ht="16.5" thickTop="1" thickBot="1" x14ac:dyDescent="0.3">
      <c r="A1274" s="38"/>
      <c r="B1274" s="38"/>
      <c r="C1274" s="38"/>
      <c r="D1274" s="38"/>
      <c r="E1274" s="40"/>
    </row>
    <row r="1275" spans="1:5" ht="16.5" thickTop="1" thickBot="1" x14ac:dyDescent="0.3">
      <c r="A1275" s="38"/>
      <c r="B1275" s="38"/>
      <c r="C1275" s="38"/>
      <c r="D1275" s="38"/>
      <c r="E1275" s="40"/>
    </row>
    <row r="1276" spans="1:5" ht="16.5" thickTop="1" thickBot="1" x14ac:dyDescent="0.3">
      <c r="A1276" s="38"/>
      <c r="B1276" s="38"/>
      <c r="C1276" s="38"/>
      <c r="D1276" s="38"/>
      <c r="E1276" s="40"/>
    </row>
    <row r="1277" spans="1:5" ht="16.5" thickTop="1" thickBot="1" x14ac:dyDescent="0.3">
      <c r="A1277" s="38"/>
      <c r="B1277" s="38"/>
      <c r="C1277" s="38"/>
      <c r="D1277" s="38"/>
      <c r="E1277" s="40"/>
    </row>
    <row r="1278" spans="1:5" ht="16.5" thickTop="1" thickBot="1" x14ac:dyDescent="0.3">
      <c r="A1278" s="38"/>
      <c r="B1278" s="38"/>
      <c r="C1278" s="38"/>
      <c r="D1278" s="38"/>
      <c r="E1278" s="40"/>
    </row>
    <row r="1279" spans="1:5" ht="16.5" thickTop="1" thickBot="1" x14ac:dyDescent="0.3">
      <c r="A1279" s="38"/>
      <c r="B1279" s="38"/>
      <c r="C1279" s="38"/>
      <c r="D1279" s="38"/>
      <c r="E1279" s="40"/>
    </row>
    <row r="1280" spans="1:5" ht="16.5" thickTop="1" thickBot="1" x14ac:dyDescent="0.3">
      <c r="A1280" s="38"/>
      <c r="B1280" s="38"/>
      <c r="C1280" s="38"/>
      <c r="D1280" s="38"/>
      <c r="E1280" s="40"/>
    </row>
    <row r="1281" spans="1:5" ht="16.5" thickTop="1" thickBot="1" x14ac:dyDescent="0.3">
      <c r="A1281" s="38"/>
      <c r="B1281" s="38"/>
      <c r="C1281" s="38"/>
      <c r="D1281" s="38"/>
      <c r="E1281" s="40"/>
    </row>
    <row r="1282" spans="1:5" ht="16.5" thickTop="1" thickBot="1" x14ac:dyDescent="0.3">
      <c r="A1282" s="38"/>
      <c r="B1282" s="38"/>
      <c r="C1282" s="38"/>
      <c r="D1282" s="38"/>
      <c r="E1282" s="40"/>
    </row>
    <row r="1283" spans="1:5" ht="16.5" thickTop="1" thickBot="1" x14ac:dyDescent="0.3">
      <c r="A1283" s="38"/>
      <c r="B1283" s="38"/>
      <c r="C1283" s="38"/>
      <c r="D1283" s="38"/>
      <c r="E1283" s="40"/>
    </row>
    <row r="1284" spans="1:5" ht="16.5" thickTop="1" thickBot="1" x14ac:dyDescent="0.3">
      <c r="A1284" s="38"/>
      <c r="B1284" s="38"/>
      <c r="C1284" s="38"/>
      <c r="D1284" s="38"/>
      <c r="E1284" s="40"/>
    </row>
    <row r="1285" spans="1:5" ht="16.5" thickTop="1" thickBot="1" x14ac:dyDescent="0.3">
      <c r="A1285" s="38"/>
      <c r="B1285" s="38"/>
      <c r="C1285" s="38"/>
      <c r="D1285" s="38"/>
      <c r="E1285" s="40"/>
    </row>
    <row r="1286" spans="1:5" ht="16.5" thickTop="1" thickBot="1" x14ac:dyDescent="0.3">
      <c r="A1286" s="38"/>
      <c r="B1286" s="38"/>
      <c r="C1286" s="38"/>
      <c r="D1286" s="38"/>
      <c r="E1286" s="40"/>
    </row>
    <row r="1287" spans="1:5" ht="16.5" thickTop="1" thickBot="1" x14ac:dyDescent="0.3">
      <c r="A1287" s="38"/>
      <c r="B1287" s="38"/>
      <c r="C1287" s="38"/>
      <c r="D1287" s="38"/>
      <c r="E1287" s="40"/>
    </row>
    <row r="1288" spans="1:5" ht="16.5" thickTop="1" thickBot="1" x14ac:dyDescent="0.3">
      <c r="A1288" s="38"/>
      <c r="B1288" s="38"/>
      <c r="C1288" s="38"/>
      <c r="D1288" s="38"/>
      <c r="E1288" s="40"/>
    </row>
    <row r="1289" spans="1:5" ht="16.5" thickTop="1" thickBot="1" x14ac:dyDescent="0.3">
      <c r="A1289" s="38"/>
      <c r="B1289" s="38"/>
      <c r="C1289" s="38"/>
      <c r="D1289" s="38"/>
      <c r="E1289" s="40"/>
    </row>
    <row r="1290" spans="1:5" ht="16.5" thickTop="1" thickBot="1" x14ac:dyDescent="0.3">
      <c r="A1290" s="38"/>
      <c r="B1290" s="38"/>
      <c r="C1290" s="38"/>
      <c r="D1290" s="38"/>
      <c r="E1290" s="40"/>
    </row>
    <row r="1291" spans="1:5" ht="16.5" thickTop="1" thickBot="1" x14ac:dyDescent="0.3">
      <c r="A1291" s="38"/>
      <c r="B1291" s="38"/>
      <c r="C1291" s="38"/>
      <c r="D1291" s="38"/>
      <c r="E1291" s="40"/>
    </row>
    <row r="1292" spans="1:5" ht="16.5" thickTop="1" thickBot="1" x14ac:dyDescent="0.3">
      <c r="A1292" s="38"/>
      <c r="B1292" s="38"/>
      <c r="C1292" s="38"/>
      <c r="D1292" s="38"/>
      <c r="E1292" s="40"/>
    </row>
    <row r="1293" spans="1:5" ht="16.5" thickTop="1" thickBot="1" x14ac:dyDescent="0.3">
      <c r="A1293" s="38"/>
      <c r="B1293" s="38"/>
      <c r="C1293" s="38"/>
      <c r="D1293" s="38"/>
      <c r="E1293" s="40"/>
    </row>
    <row r="1294" spans="1:5" ht="16.5" thickTop="1" thickBot="1" x14ac:dyDescent="0.3">
      <c r="A1294" s="38"/>
      <c r="B1294" s="38"/>
      <c r="C1294" s="38"/>
      <c r="D1294" s="38"/>
      <c r="E1294" s="40"/>
    </row>
    <row r="1295" spans="1:5" ht="16.5" thickTop="1" thickBot="1" x14ac:dyDescent="0.3">
      <c r="A1295" s="38"/>
      <c r="B1295" s="38"/>
      <c r="C1295" s="38"/>
      <c r="D1295" s="38"/>
      <c r="E1295" s="40"/>
    </row>
    <row r="1296" spans="1:5" ht="16.5" thickTop="1" thickBot="1" x14ac:dyDescent="0.3">
      <c r="A1296" s="38"/>
      <c r="B1296" s="38"/>
      <c r="C1296" s="38"/>
      <c r="D1296" s="38"/>
      <c r="E1296" s="40"/>
    </row>
    <row r="1297" spans="1:5" ht="16.5" thickTop="1" thickBot="1" x14ac:dyDescent="0.3">
      <c r="A1297" s="38"/>
      <c r="B1297" s="38"/>
      <c r="C1297" s="38"/>
      <c r="D1297" s="38"/>
      <c r="E1297" s="40"/>
    </row>
    <row r="1298" spans="1:5" ht="16.5" thickTop="1" thickBot="1" x14ac:dyDescent="0.3">
      <c r="A1298" s="38"/>
      <c r="B1298" s="38"/>
      <c r="C1298" s="38"/>
      <c r="D1298" s="38"/>
      <c r="E1298" s="40"/>
    </row>
    <row r="1299" spans="1:5" ht="16.5" thickTop="1" thickBot="1" x14ac:dyDescent="0.3">
      <c r="A1299" s="38"/>
      <c r="B1299" s="38"/>
      <c r="C1299" s="38"/>
      <c r="D1299" s="38"/>
      <c r="E1299" s="40"/>
    </row>
    <row r="1300" spans="1:5" ht="16.5" thickTop="1" thickBot="1" x14ac:dyDescent="0.3">
      <c r="A1300" s="38"/>
      <c r="B1300" s="38"/>
      <c r="C1300" s="38"/>
      <c r="D1300" s="38"/>
      <c r="E1300" s="40"/>
    </row>
    <row r="1301" spans="1:5" ht="16.5" thickTop="1" thickBot="1" x14ac:dyDescent="0.3">
      <c r="A1301" s="38"/>
      <c r="B1301" s="38"/>
      <c r="C1301" s="38"/>
      <c r="D1301" s="38"/>
      <c r="E1301" s="40"/>
    </row>
    <row r="1302" spans="1:5" ht="16.5" thickTop="1" thickBot="1" x14ac:dyDescent="0.3">
      <c r="A1302" s="38"/>
      <c r="B1302" s="38"/>
      <c r="C1302" s="38"/>
      <c r="D1302" s="38"/>
      <c r="E1302" s="40"/>
    </row>
    <row r="1303" spans="1:5" ht="16.5" thickTop="1" thickBot="1" x14ac:dyDescent="0.3">
      <c r="A1303" s="38"/>
      <c r="B1303" s="38"/>
      <c r="C1303" s="38"/>
      <c r="D1303" s="38"/>
      <c r="E1303" s="40"/>
    </row>
    <row r="1304" spans="1:5" ht="16.5" thickTop="1" thickBot="1" x14ac:dyDescent="0.3">
      <c r="A1304" s="38"/>
      <c r="B1304" s="38"/>
      <c r="C1304" s="38"/>
      <c r="D1304" s="38"/>
      <c r="E1304" s="40"/>
    </row>
    <row r="1305" spans="1:5" ht="16.5" thickTop="1" thickBot="1" x14ac:dyDescent="0.3">
      <c r="A1305" s="38"/>
      <c r="B1305" s="38"/>
      <c r="C1305" s="38"/>
      <c r="D1305" s="38"/>
      <c r="E1305" s="40"/>
    </row>
    <row r="1306" spans="1:5" ht="16.5" thickTop="1" thickBot="1" x14ac:dyDescent="0.3">
      <c r="A1306" s="38"/>
      <c r="B1306" s="38"/>
      <c r="C1306" s="38"/>
      <c r="D1306" s="38"/>
      <c r="E1306" s="40"/>
    </row>
    <row r="1307" spans="1:5" ht="16.5" thickTop="1" thickBot="1" x14ac:dyDescent="0.3">
      <c r="A1307" s="38"/>
      <c r="B1307" s="38"/>
      <c r="C1307" s="38"/>
      <c r="D1307" s="38"/>
      <c r="E1307" s="40"/>
    </row>
    <row r="1308" spans="1:5" ht="16.5" thickTop="1" thickBot="1" x14ac:dyDescent="0.3">
      <c r="A1308" s="38"/>
      <c r="B1308" s="38"/>
      <c r="C1308" s="38"/>
      <c r="D1308" s="38"/>
      <c r="E1308" s="40"/>
    </row>
    <row r="1309" spans="1:5" ht="16.5" thickTop="1" thickBot="1" x14ac:dyDescent="0.3">
      <c r="A1309" s="38"/>
      <c r="B1309" s="38"/>
      <c r="C1309" s="38"/>
      <c r="D1309" s="38"/>
      <c r="E1309" s="40"/>
    </row>
    <row r="1310" spans="1:5" ht="16.5" thickTop="1" thickBot="1" x14ac:dyDescent="0.3">
      <c r="A1310" s="38"/>
      <c r="B1310" s="38"/>
      <c r="C1310" s="38"/>
      <c r="D1310" s="38"/>
      <c r="E1310" s="40"/>
    </row>
    <row r="1311" spans="1:5" ht="16.5" thickTop="1" thickBot="1" x14ac:dyDescent="0.3">
      <c r="A1311" s="38"/>
      <c r="B1311" s="38"/>
      <c r="C1311" s="38"/>
      <c r="D1311" s="38"/>
      <c r="E1311" s="40"/>
    </row>
    <row r="1312" spans="1:5" ht="16.5" thickTop="1" thickBot="1" x14ac:dyDescent="0.3">
      <c r="A1312" s="38"/>
      <c r="B1312" s="38"/>
      <c r="C1312" s="38"/>
      <c r="D1312" s="38"/>
      <c r="E1312" s="40"/>
    </row>
    <row r="1313" spans="1:5" ht="16.5" thickTop="1" thickBot="1" x14ac:dyDescent="0.3">
      <c r="A1313" s="38"/>
      <c r="B1313" s="38"/>
      <c r="C1313" s="38"/>
      <c r="D1313" s="38"/>
      <c r="E1313" s="40"/>
    </row>
    <row r="1314" spans="1:5" ht="16.5" thickTop="1" thickBot="1" x14ac:dyDescent="0.3">
      <c r="A1314" s="38"/>
      <c r="B1314" s="38"/>
      <c r="C1314" s="38"/>
      <c r="D1314" s="38"/>
      <c r="E1314" s="40"/>
    </row>
    <row r="1315" spans="1:5" ht="16.5" thickTop="1" thickBot="1" x14ac:dyDescent="0.3">
      <c r="A1315" s="38"/>
      <c r="B1315" s="38"/>
      <c r="C1315" s="38"/>
      <c r="D1315" s="38"/>
      <c r="E1315" s="40"/>
    </row>
    <row r="1316" spans="1:5" ht="16.5" thickTop="1" thickBot="1" x14ac:dyDescent="0.3">
      <c r="A1316" s="38"/>
      <c r="B1316" s="38"/>
      <c r="C1316" s="38"/>
      <c r="D1316" s="38"/>
      <c r="E1316" s="40"/>
    </row>
    <row r="1317" spans="1:5" ht="16.5" thickTop="1" thickBot="1" x14ac:dyDescent="0.3">
      <c r="A1317" s="38"/>
      <c r="B1317" s="38"/>
      <c r="C1317" s="38"/>
      <c r="D1317" s="38"/>
      <c r="E1317" s="40"/>
    </row>
    <row r="1318" spans="1:5" ht="16.5" thickTop="1" thickBot="1" x14ac:dyDescent="0.3">
      <c r="A1318" s="38"/>
      <c r="B1318" s="38"/>
      <c r="C1318" s="38"/>
      <c r="D1318" s="38"/>
      <c r="E1318" s="40"/>
    </row>
    <row r="1319" spans="1:5" ht="16.5" thickTop="1" thickBot="1" x14ac:dyDescent="0.3">
      <c r="A1319" s="38"/>
      <c r="B1319" s="38"/>
      <c r="C1319" s="38"/>
      <c r="D1319" s="38"/>
      <c r="E1319" s="40"/>
    </row>
    <row r="1320" spans="1:5" ht="16.5" thickTop="1" thickBot="1" x14ac:dyDescent="0.3">
      <c r="A1320" s="38"/>
      <c r="B1320" s="38"/>
      <c r="C1320" s="38"/>
      <c r="D1320" s="38"/>
      <c r="E1320" s="40"/>
    </row>
    <row r="1321" spans="1:5" ht="16.5" thickTop="1" thickBot="1" x14ac:dyDescent="0.3">
      <c r="A1321" s="38"/>
      <c r="B1321" s="38"/>
      <c r="C1321" s="38"/>
      <c r="D1321" s="38"/>
      <c r="E1321" s="40"/>
    </row>
    <row r="1322" spans="1:5" ht="16.5" thickTop="1" thickBot="1" x14ac:dyDescent="0.3">
      <c r="A1322" s="38"/>
      <c r="B1322" s="38"/>
      <c r="C1322" s="38"/>
      <c r="D1322" s="38"/>
      <c r="E1322" s="40"/>
    </row>
    <row r="1323" spans="1:5" ht="16.5" thickTop="1" thickBot="1" x14ac:dyDescent="0.3">
      <c r="A1323" s="38"/>
      <c r="B1323" s="38"/>
      <c r="C1323" s="38"/>
      <c r="D1323" s="38"/>
      <c r="E1323" s="40"/>
    </row>
    <row r="1324" spans="1:5" ht="16.5" thickTop="1" thickBot="1" x14ac:dyDescent="0.3">
      <c r="A1324" s="38"/>
      <c r="B1324" s="38"/>
      <c r="C1324" s="38"/>
      <c r="D1324" s="38"/>
      <c r="E1324" s="40"/>
    </row>
    <row r="1325" spans="1:5" ht="16.5" thickTop="1" thickBot="1" x14ac:dyDescent="0.3">
      <c r="A1325" s="38"/>
      <c r="B1325" s="38"/>
      <c r="C1325" s="38"/>
      <c r="D1325" s="38"/>
      <c r="E1325" s="40"/>
    </row>
    <row r="1326" spans="1:5" ht="16.5" thickTop="1" thickBot="1" x14ac:dyDescent="0.3">
      <c r="A1326" s="38"/>
      <c r="B1326" s="38"/>
      <c r="C1326" s="38"/>
      <c r="D1326" s="38"/>
      <c r="E1326" s="40"/>
    </row>
    <row r="1327" spans="1:5" ht="16.5" thickTop="1" thickBot="1" x14ac:dyDescent="0.3">
      <c r="A1327" s="38"/>
      <c r="B1327" s="38"/>
      <c r="C1327" s="38"/>
      <c r="D1327" s="38"/>
      <c r="E1327" s="40"/>
    </row>
    <row r="1328" spans="1:5" ht="16.5" thickTop="1" thickBot="1" x14ac:dyDescent="0.3">
      <c r="A1328" s="38"/>
      <c r="B1328" s="38"/>
      <c r="C1328" s="38"/>
      <c r="D1328" s="38"/>
      <c r="E1328" s="40"/>
    </row>
    <row r="1329" spans="1:5" ht="16.5" thickTop="1" thickBot="1" x14ac:dyDescent="0.3">
      <c r="A1329" s="38"/>
      <c r="B1329" s="38"/>
      <c r="C1329" s="38"/>
      <c r="D1329" s="38"/>
      <c r="E1329" s="40"/>
    </row>
    <row r="1330" spans="1:5" ht="16.5" thickTop="1" thickBot="1" x14ac:dyDescent="0.3">
      <c r="A1330" s="38"/>
      <c r="B1330" s="38"/>
      <c r="C1330" s="38"/>
      <c r="D1330" s="38"/>
      <c r="E1330" s="40"/>
    </row>
    <row r="1331" spans="1:5" ht="16.5" thickTop="1" thickBot="1" x14ac:dyDescent="0.3">
      <c r="A1331" s="38"/>
      <c r="B1331" s="38"/>
      <c r="C1331" s="38"/>
      <c r="D1331" s="38"/>
      <c r="E1331" s="40"/>
    </row>
    <row r="1332" spans="1:5" ht="16.5" thickTop="1" thickBot="1" x14ac:dyDescent="0.3">
      <c r="A1332" s="38"/>
      <c r="B1332" s="38"/>
      <c r="C1332" s="38"/>
      <c r="D1332" s="38"/>
      <c r="E1332" s="40"/>
    </row>
    <row r="1333" spans="1:5" ht="16.5" thickTop="1" thickBot="1" x14ac:dyDescent="0.3">
      <c r="A1333" s="38"/>
      <c r="B1333" s="38"/>
      <c r="C1333" s="38"/>
      <c r="D1333" s="38"/>
      <c r="E1333" s="40"/>
    </row>
    <row r="1334" spans="1:5" ht="16.5" thickTop="1" thickBot="1" x14ac:dyDescent="0.3">
      <c r="A1334" s="38"/>
      <c r="B1334" s="38"/>
      <c r="C1334" s="38"/>
      <c r="D1334" s="38"/>
      <c r="E1334" s="40"/>
    </row>
    <row r="1335" spans="1:5" ht="16.5" thickTop="1" thickBot="1" x14ac:dyDescent="0.3">
      <c r="A1335" s="38"/>
      <c r="B1335" s="38"/>
      <c r="C1335" s="38"/>
      <c r="D1335" s="38"/>
      <c r="E1335" s="40"/>
    </row>
    <row r="1336" spans="1:5" ht="16.5" thickTop="1" thickBot="1" x14ac:dyDescent="0.3">
      <c r="A1336" s="38"/>
      <c r="B1336" s="38"/>
      <c r="C1336" s="38"/>
      <c r="D1336" s="38"/>
      <c r="E1336" s="40"/>
    </row>
    <row r="1337" spans="1:5" ht="16.5" thickTop="1" thickBot="1" x14ac:dyDescent="0.3">
      <c r="A1337" s="38"/>
      <c r="B1337" s="38"/>
      <c r="C1337" s="38"/>
      <c r="D1337" s="38"/>
      <c r="E1337" s="40"/>
    </row>
    <row r="1338" spans="1:5" ht="16.5" thickTop="1" thickBot="1" x14ac:dyDescent="0.3">
      <c r="A1338" s="38"/>
      <c r="B1338" s="38"/>
      <c r="C1338" s="38"/>
      <c r="D1338" s="38"/>
      <c r="E1338" s="40"/>
    </row>
    <row r="1339" spans="1:5" ht="16.5" thickTop="1" thickBot="1" x14ac:dyDescent="0.3">
      <c r="A1339" s="38"/>
      <c r="B1339" s="38"/>
      <c r="C1339" s="38"/>
      <c r="D1339" s="38"/>
      <c r="E1339" s="40"/>
    </row>
    <row r="1340" spans="1:5" ht="16.5" thickTop="1" thickBot="1" x14ac:dyDescent="0.3">
      <c r="A1340" s="38"/>
      <c r="B1340" s="38"/>
      <c r="C1340" s="38"/>
      <c r="D1340" s="38"/>
      <c r="E1340" s="40"/>
    </row>
    <row r="1341" spans="1:5" ht="16.5" thickTop="1" thickBot="1" x14ac:dyDescent="0.3">
      <c r="A1341" s="38"/>
      <c r="B1341" s="38"/>
      <c r="C1341" s="38"/>
      <c r="D1341" s="38"/>
      <c r="E1341" s="40"/>
    </row>
    <row r="1342" spans="1:5" ht="16.5" thickTop="1" thickBot="1" x14ac:dyDescent="0.3">
      <c r="A1342" s="38"/>
      <c r="B1342" s="38"/>
      <c r="C1342" s="38"/>
      <c r="D1342" s="38"/>
      <c r="E1342" s="40"/>
    </row>
    <row r="1343" spans="1:5" ht="16.5" thickTop="1" thickBot="1" x14ac:dyDescent="0.3">
      <c r="A1343" s="38"/>
      <c r="B1343" s="38"/>
      <c r="C1343" s="38"/>
      <c r="D1343" s="38"/>
      <c r="E1343" s="40"/>
    </row>
    <row r="1344" spans="1:5" ht="16.5" thickTop="1" thickBot="1" x14ac:dyDescent="0.3">
      <c r="A1344" s="38"/>
      <c r="B1344" s="38"/>
      <c r="C1344" s="38"/>
      <c r="D1344" s="38"/>
      <c r="E1344" s="40"/>
    </row>
    <row r="1345" spans="1:5" ht="16.5" thickTop="1" thickBot="1" x14ac:dyDescent="0.3">
      <c r="A1345" s="38"/>
      <c r="B1345" s="38"/>
      <c r="C1345" s="38"/>
      <c r="D1345" s="38"/>
      <c r="E1345" s="40"/>
    </row>
    <row r="1346" spans="1:5" ht="16.5" thickTop="1" thickBot="1" x14ac:dyDescent="0.3">
      <c r="A1346" s="38"/>
      <c r="B1346" s="38"/>
      <c r="C1346" s="38"/>
      <c r="D1346" s="38"/>
      <c r="E1346" s="40"/>
    </row>
    <row r="1347" spans="1:5" ht="16.5" thickTop="1" thickBot="1" x14ac:dyDescent="0.3">
      <c r="A1347" s="38"/>
      <c r="B1347" s="38"/>
      <c r="C1347" s="38"/>
      <c r="D1347" s="38"/>
      <c r="E1347" s="40"/>
    </row>
    <row r="1348" spans="1:5" ht="16.5" thickTop="1" thickBot="1" x14ac:dyDescent="0.3">
      <c r="A1348" s="38"/>
      <c r="B1348" s="38"/>
      <c r="C1348" s="38"/>
      <c r="D1348" s="38"/>
      <c r="E1348" s="40"/>
    </row>
    <row r="1349" spans="1:5" ht="16.5" thickTop="1" thickBot="1" x14ac:dyDescent="0.3">
      <c r="A1349" s="38"/>
      <c r="B1349" s="38"/>
      <c r="C1349" s="38"/>
      <c r="D1349" s="38"/>
      <c r="E1349" s="40"/>
    </row>
    <row r="1350" spans="1:5" ht="16.5" thickTop="1" thickBot="1" x14ac:dyDescent="0.3">
      <c r="A1350" s="38"/>
      <c r="B1350" s="38"/>
      <c r="C1350" s="38"/>
      <c r="D1350" s="38"/>
      <c r="E1350" s="40"/>
    </row>
    <row r="1351" spans="1:5" ht="16.5" thickTop="1" thickBot="1" x14ac:dyDescent="0.3">
      <c r="A1351" s="38"/>
      <c r="B1351" s="38"/>
      <c r="C1351" s="38"/>
      <c r="D1351" s="38"/>
      <c r="E1351" s="40"/>
    </row>
    <row r="1352" spans="1:5" ht="16.5" thickTop="1" thickBot="1" x14ac:dyDescent="0.3">
      <c r="A1352" s="38"/>
      <c r="B1352" s="38"/>
      <c r="C1352" s="38"/>
      <c r="D1352" s="38"/>
      <c r="E1352" s="40"/>
    </row>
    <row r="1353" spans="1:5" ht="16.5" thickTop="1" thickBot="1" x14ac:dyDescent="0.3">
      <c r="A1353" s="38"/>
      <c r="B1353" s="38"/>
      <c r="C1353" s="38"/>
      <c r="D1353" s="38"/>
      <c r="E1353" s="40"/>
    </row>
    <row r="1354" spans="1:5" ht="16.5" thickTop="1" thickBot="1" x14ac:dyDescent="0.3">
      <c r="A1354" s="38"/>
      <c r="B1354" s="38"/>
      <c r="C1354" s="38"/>
      <c r="D1354" s="38"/>
      <c r="E1354" s="40"/>
    </row>
    <row r="1355" spans="1:5" ht="16.5" thickTop="1" thickBot="1" x14ac:dyDescent="0.3">
      <c r="A1355" s="38"/>
      <c r="B1355" s="38"/>
      <c r="C1355" s="38"/>
      <c r="D1355" s="38"/>
      <c r="E1355" s="40"/>
    </row>
    <row r="1356" spans="1:5" ht="16.5" thickTop="1" thickBot="1" x14ac:dyDescent="0.3">
      <c r="A1356" s="38"/>
      <c r="B1356" s="38"/>
      <c r="C1356" s="38"/>
      <c r="D1356" s="38"/>
      <c r="E1356" s="40"/>
    </row>
    <row r="1357" spans="1:5" ht="16.5" thickTop="1" thickBot="1" x14ac:dyDescent="0.3">
      <c r="A1357" s="38"/>
      <c r="B1357" s="38"/>
      <c r="C1357" s="38"/>
      <c r="D1357" s="38"/>
      <c r="E1357" s="40"/>
    </row>
    <row r="1358" spans="1:5" ht="16.5" thickTop="1" thickBot="1" x14ac:dyDescent="0.3">
      <c r="A1358" s="38"/>
      <c r="B1358" s="38"/>
      <c r="C1358" s="38"/>
      <c r="D1358" s="38"/>
      <c r="E1358" s="40"/>
    </row>
    <row r="1359" spans="1:5" ht="16.5" thickTop="1" thickBot="1" x14ac:dyDescent="0.3">
      <c r="A1359" s="38"/>
      <c r="B1359" s="38"/>
      <c r="C1359" s="38"/>
      <c r="D1359" s="38"/>
      <c r="E1359" s="40"/>
    </row>
    <row r="1360" spans="1:5" ht="16.5" thickTop="1" thickBot="1" x14ac:dyDescent="0.3">
      <c r="A1360" s="38"/>
      <c r="B1360" s="38"/>
      <c r="C1360" s="38"/>
      <c r="D1360" s="38"/>
      <c r="E1360" s="40"/>
    </row>
    <row r="1361" spans="1:5" ht="16.5" thickTop="1" thickBot="1" x14ac:dyDescent="0.3">
      <c r="A1361" s="38"/>
      <c r="B1361" s="38"/>
      <c r="C1361" s="38"/>
      <c r="D1361" s="38"/>
      <c r="E1361" s="40"/>
    </row>
    <row r="1362" spans="1:5" ht="16.5" thickTop="1" thickBot="1" x14ac:dyDescent="0.3">
      <c r="A1362" s="38"/>
      <c r="B1362" s="38"/>
      <c r="C1362" s="38"/>
      <c r="D1362" s="38"/>
      <c r="E1362" s="40"/>
    </row>
    <row r="1363" spans="1:5" ht="16.5" thickTop="1" thickBot="1" x14ac:dyDescent="0.3">
      <c r="A1363" s="38"/>
      <c r="B1363" s="38"/>
      <c r="C1363" s="38"/>
      <c r="D1363" s="38"/>
      <c r="E1363" s="40"/>
    </row>
    <row r="1364" spans="1:5" ht="16.5" thickTop="1" thickBot="1" x14ac:dyDescent="0.3">
      <c r="A1364" s="38"/>
      <c r="B1364" s="38"/>
      <c r="C1364" s="38"/>
      <c r="D1364" s="38"/>
      <c r="E1364" s="40"/>
    </row>
    <row r="1365" spans="1:5" ht="16.5" thickTop="1" thickBot="1" x14ac:dyDescent="0.3">
      <c r="A1365" s="38"/>
      <c r="B1365" s="38"/>
      <c r="C1365" s="38"/>
      <c r="D1365" s="38"/>
      <c r="E1365" s="40"/>
    </row>
    <row r="1366" spans="1:5" ht="16.5" thickTop="1" thickBot="1" x14ac:dyDescent="0.3">
      <c r="A1366" s="38"/>
      <c r="B1366" s="38"/>
      <c r="C1366" s="38"/>
      <c r="D1366" s="38"/>
      <c r="E1366" s="40"/>
    </row>
    <row r="1367" spans="1:5" ht="16.5" thickTop="1" thickBot="1" x14ac:dyDescent="0.3">
      <c r="A1367" s="38"/>
      <c r="B1367" s="38"/>
      <c r="C1367" s="38"/>
      <c r="D1367" s="38"/>
      <c r="E1367" s="40"/>
    </row>
    <row r="1368" spans="1:5" ht="16.5" thickTop="1" thickBot="1" x14ac:dyDescent="0.3">
      <c r="A1368" s="38"/>
      <c r="B1368" s="38"/>
      <c r="C1368" s="38"/>
      <c r="D1368" s="38"/>
      <c r="E1368" s="40"/>
    </row>
    <row r="1369" spans="1:5" ht="16.5" thickTop="1" thickBot="1" x14ac:dyDescent="0.3">
      <c r="A1369" s="38"/>
      <c r="B1369" s="38"/>
      <c r="C1369" s="38"/>
      <c r="D1369" s="38"/>
      <c r="E1369" s="40"/>
    </row>
    <row r="1370" spans="1:5" ht="16.5" thickTop="1" thickBot="1" x14ac:dyDescent="0.3">
      <c r="A1370" s="38"/>
      <c r="B1370" s="38"/>
      <c r="C1370" s="38"/>
      <c r="D1370" s="38"/>
      <c r="E1370" s="40"/>
    </row>
    <row r="1371" spans="1:5" ht="16.5" thickTop="1" thickBot="1" x14ac:dyDescent="0.3">
      <c r="A1371" s="38"/>
      <c r="B1371" s="38"/>
      <c r="C1371" s="38"/>
      <c r="D1371" s="38"/>
      <c r="E1371" s="40"/>
    </row>
    <row r="1372" spans="1:5" ht="16.5" thickTop="1" thickBot="1" x14ac:dyDescent="0.3">
      <c r="A1372" s="38"/>
      <c r="B1372" s="38"/>
      <c r="C1372" s="38"/>
      <c r="D1372" s="38"/>
      <c r="E1372" s="40"/>
    </row>
    <row r="1373" spans="1:5" ht="16.5" thickTop="1" thickBot="1" x14ac:dyDescent="0.3">
      <c r="A1373" s="38"/>
      <c r="B1373" s="38"/>
      <c r="C1373" s="38"/>
      <c r="D1373" s="38"/>
      <c r="E1373" s="40"/>
    </row>
    <row r="1374" spans="1:5" ht="16.5" thickTop="1" thickBot="1" x14ac:dyDescent="0.3">
      <c r="A1374" s="38"/>
      <c r="B1374" s="38"/>
      <c r="C1374" s="38"/>
      <c r="D1374" s="38"/>
      <c r="E1374" s="40"/>
    </row>
    <row r="1375" spans="1:5" ht="16.5" thickTop="1" thickBot="1" x14ac:dyDescent="0.3">
      <c r="A1375" s="38"/>
      <c r="B1375" s="38"/>
      <c r="C1375" s="38"/>
      <c r="D1375" s="38"/>
      <c r="E1375" s="40"/>
    </row>
    <row r="1376" spans="1:5" ht="16.5" thickTop="1" thickBot="1" x14ac:dyDescent="0.3">
      <c r="A1376" s="38"/>
      <c r="B1376" s="38"/>
      <c r="C1376" s="38"/>
      <c r="D1376" s="38"/>
      <c r="E1376" s="40"/>
    </row>
    <row r="1377" spans="1:5" ht="16.5" thickTop="1" thickBot="1" x14ac:dyDescent="0.3">
      <c r="A1377" s="38"/>
      <c r="B1377" s="38"/>
      <c r="C1377" s="38"/>
      <c r="D1377" s="38"/>
      <c r="E1377" s="40"/>
    </row>
    <row r="1378" spans="1:5" ht="16.5" thickTop="1" thickBot="1" x14ac:dyDescent="0.3">
      <c r="A1378" s="38"/>
      <c r="B1378" s="38"/>
      <c r="C1378" s="38"/>
      <c r="D1378" s="38"/>
      <c r="E1378" s="40"/>
    </row>
    <row r="1379" spans="1:5" ht="16.5" thickTop="1" thickBot="1" x14ac:dyDescent="0.3">
      <c r="A1379" s="38"/>
      <c r="B1379" s="38"/>
      <c r="C1379" s="38"/>
      <c r="D1379" s="38"/>
      <c r="E1379" s="40"/>
    </row>
    <row r="1380" spans="1:5" ht="16.5" thickTop="1" thickBot="1" x14ac:dyDescent="0.3">
      <c r="A1380" s="38"/>
      <c r="B1380" s="38"/>
      <c r="C1380" s="38"/>
      <c r="D1380" s="38"/>
      <c r="E1380" s="40"/>
    </row>
    <row r="1381" spans="1:5" ht="16.5" thickTop="1" thickBot="1" x14ac:dyDescent="0.3">
      <c r="A1381" s="38"/>
      <c r="B1381" s="38"/>
      <c r="C1381" s="38"/>
      <c r="D1381" s="38"/>
      <c r="E1381" s="40"/>
    </row>
    <row r="1382" spans="1:5" ht="16.5" thickTop="1" thickBot="1" x14ac:dyDescent="0.3">
      <c r="A1382" s="38"/>
      <c r="B1382" s="38"/>
      <c r="C1382" s="38"/>
      <c r="D1382" s="38"/>
      <c r="E1382" s="40"/>
    </row>
    <row r="1383" spans="1:5" ht="16.5" thickTop="1" thickBot="1" x14ac:dyDescent="0.3">
      <c r="A1383" s="38"/>
      <c r="B1383" s="38"/>
      <c r="C1383" s="38"/>
      <c r="D1383" s="38"/>
      <c r="E1383" s="40"/>
    </row>
    <row r="1384" spans="1:5" ht="16.5" thickTop="1" thickBot="1" x14ac:dyDescent="0.3">
      <c r="A1384" s="38"/>
      <c r="B1384" s="38"/>
      <c r="C1384" s="38"/>
      <c r="D1384" s="38"/>
      <c r="E1384" s="40"/>
    </row>
    <row r="1385" spans="1:5" ht="16.5" thickTop="1" thickBot="1" x14ac:dyDescent="0.3">
      <c r="A1385" s="38"/>
      <c r="B1385" s="38"/>
      <c r="C1385" s="38"/>
      <c r="D1385" s="38"/>
      <c r="E1385" s="40"/>
    </row>
    <row r="1386" spans="1:5" ht="16.5" thickTop="1" thickBot="1" x14ac:dyDescent="0.3">
      <c r="A1386" s="38"/>
      <c r="B1386" s="38"/>
      <c r="C1386" s="38"/>
      <c r="D1386" s="38"/>
      <c r="E1386" s="40"/>
    </row>
    <row r="1387" spans="1:5" ht="16.5" thickTop="1" thickBot="1" x14ac:dyDescent="0.3">
      <c r="A1387" s="38"/>
      <c r="B1387" s="38"/>
      <c r="C1387" s="38"/>
      <c r="D1387" s="38"/>
      <c r="E1387" s="40"/>
    </row>
    <row r="1388" spans="1:5" ht="16.5" thickTop="1" thickBot="1" x14ac:dyDescent="0.3">
      <c r="A1388" s="38"/>
      <c r="B1388" s="38"/>
      <c r="C1388" s="38"/>
      <c r="D1388" s="38"/>
      <c r="E1388" s="40"/>
    </row>
    <row r="1389" spans="1:5" ht="16.5" thickTop="1" thickBot="1" x14ac:dyDescent="0.3">
      <c r="A1389" s="38"/>
      <c r="B1389" s="38"/>
      <c r="C1389" s="38"/>
      <c r="D1389" s="38"/>
      <c r="E1389" s="40"/>
    </row>
    <row r="1390" spans="1:5" ht="16.5" thickTop="1" thickBot="1" x14ac:dyDescent="0.3">
      <c r="A1390" s="38"/>
      <c r="B1390" s="38"/>
      <c r="C1390" s="38"/>
      <c r="D1390" s="38"/>
      <c r="E1390" s="40"/>
    </row>
    <row r="1391" spans="1:5" ht="16.5" thickTop="1" thickBot="1" x14ac:dyDescent="0.3">
      <c r="A1391" s="38"/>
      <c r="B1391" s="38"/>
      <c r="C1391" s="38"/>
      <c r="D1391" s="38"/>
      <c r="E1391" s="40"/>
    </row>
    <row r="1392" spans="1:5" ht="16.5" thickTop="1" thickBot="1" x14ac:dyDescent="0.3">
      <c r="A1392" s="38"/>
      <c r="B1392" s="38"/>
      <c r="C1392" s="38"/>
      <c r="D1392" s="38"/>
      <c r="E1392" s="40"/>
    </row>
    <row r="1393" spans="1:5" ht="16.5" thickTop="1" thickBot="1" x14ac:dyDescent="0.3">
      <c r="A1393" s="38"/>
      <c r="B1393" s="38"/>
      <c r="C1393" s="38"/>
      <c r="D1393" s="38"/>
      <c r="E1393" s="40"/>
    </row>
    <row r="1394" spans="1:5" ht="16.5" thickTop="1" thickBot="1" x14ac:dyDescent="0.3">
      <c r="A1394" s="38"/>
      <c r="B1394" s="38"/>
      <c r="C1394" s="38"/>
      <c r="D1394" s="38"/>
      <c r="E1394" s="40"/>
    </row>
    <row r="1395" spans="1:5" ht="16.5" thickTop="1" thickBot="1" x14ac:dyDescent="0.3">
      <c r="A1395" s="38"/>
      <c r="B1395" s="38"/>
      <c r="C1395" s="38"/>
      <c r="D1395" s="38"/>
      <c r="E1395" s="40"/>
    </row>
    <row r="1396" spans="1:5" ht="16.5" thickTop="1" thickBot="1" x14ac:dyDescent="0.3">
      <c r="A1396" s="38"/>
      <c r="B1396" s="38"/>
      <c r="C1396" s="38"/>
      <c r="D1396" s="38"/>
      <c r="E1396" s="40"/>
    </row>
    <row r="1397" spans="1:5" ht="16.5" thickTop="1" thickBot="1" x14ac:dyDescent="0.3">
      <c r="A1397" s="38"/>
      <c r="B1397" s="38"/>
      <c r="C1397" s="38"/>
      <c r="D1397" s="38"/>
      <c r="E1397" s="40"/>
    </row>
    <row r="1398" spans="1:5" ht="16.5" thickTop="1" thickBot="1" x14ac:dyDescent="0.3">
      <c r="A1398" s="38"/>
      <c r="B1398" s="38"/>
      <c r="C1398" s="38"/>
      <c r="D1398" s="38"/>
      <c r="E1398" s="40"/>
    </row>
    <row r="1399" spans="1:5" ht="16.5" thickTop="1" thickBot="1" x14ac:dyDescent="0.3">
      <c r="A1399" s="38"/>
      <c r="B1399" s="38"/>
      <c r="C1399" s="38"/>
      <c r="D1399" s="38"/>
      <c r="E1399" s="40"/>
    </row>
    <row r="1400" spans="1:5" ht="16.5" thickTop="1" thickBot="1" x14ac:dyDescent="0.3">
      <c r="A1400" s="38"/>
      <c r="B1400" s="38"/>
      <c r="C1400" s="38"/>
      <c r="D1400" s="38"/>
      <c r="E1400" s="40"/>
    </row>
    <row r="1401" spans="1:5" ht="16.5" thickTop="1" thickBot="1" x14ac:dyDescent="0.3">
      <c r="A1401" s="38"/>
      <c r="B1401" s="38"/>
      <c r="C1401" s="38"/>
      <c r="D1401" s="38"/>
      <c r="E1401" s="40"/>
    </row>
    <row r="1402" spans="1:5" ht="16.5" thickTop="1" thickBot="1" x14ac:dyDescent="0.3">
      <c r="A1402" s="38"/>
      <c r="B1402" s="38"/>
      <c r="C1402" s="38"/>
      <c r="D1402" s="38"/>
      <c r="E1402" s="40"/>
    </row>
    <row r="1403" spans="1:5" ht="16.5" thickTop="1" thickBot="1" x14ac:dyDescent="0.3">
      <c r="A1403" s="38"/>
      <c r="B1403" s="38"/>
      <c r="C1403" s="38"/>
      <c r="D1403" s="38"/>
      <c r="E1403" s="40"/>
    </row>
    <row r="1404" spans="1:5" ht="16.5" thickTop="1" thickBot="1" x14ac:dyDescent="0.3">
      <c r="A1404" s="38"/>
      <c r="B1404" s="38"/>
      <c r="C1404" s="38"/>
      <c r="D1404" s="38"/>
      <c r="E1404" s="40"/>
    </row>
    <row r="1405" spans="1:5" ht="16.5" thickTop="1" thickBot="1" x14ac:dyDescent="0.3">
      <c r="A1405" s="38"/>
      <c r="B1405" s="38"/>
      <c r="C1405" s="38"/>
      <c r="D1405" s="38"/>
      <c r="E1405" s="40"/>
    </row>
    <row r="1406" spans="1:5" ht="16.5" thickTop="1" thickBot="1" x14ac:dyDescent="0.3">
      <c r="A1406" s="38"/>
      <c r="B1406" s="38"/>
      <c r="C1406" s="38"/>
      <c r="D1406" s="38"/>
      <c r="E1406" s="40"/>
    </row>
    <row r="1407" spans="1:5" ht="16.5" thickTop="1" thickBot="1" x14ac:dyDescent="0.3">
      <c r="A1407" s="38"/>
      <c r="B1407" s="38"/>
      <c r="C1407" s="38"/>
      <c r="D1407" s="38"/>
      <c r="E1407" s="40"/>
    </row>
    <row r="1408" spans="1:5" ht="16.5" thickTop="1" thickBot="1" x14ac:dyDescent="0.3">
      <c r="A1408" s="38"/>
      <c r="B1408" s="38"/>
      <c r="C1408" s="38"/>
      <c r="D1408" s="38"/>
      <c r="E1408" s="40"/>
    </row>
    <row r="1409" spans="1:5" ht="16.5" thickTop="1" thickBot="1" x14ac:dyDescent="0.3">
      <c r="A1409" s="38"/>
      <c r="B1409" s="38"/>
      <c r="C1409" s="38"/>
      <c r="D1409" s="38"/>
      <c r="E1409" s="40"/>
    </row>
    <row r="1410" spans="1:5" ht="16.5" thickTop="1" thickBot="1" x14ac:dyDescent="0.3">
      <c r="A1410" s="38"/>
      <c r="B1410" s="38"/>
      <c r="C1410" s="38"/>
      <c r="D1410" s="38"/>
      <c r="E1410" s="40"/>
    </row>
    <row r="1411" spans="1:5" ht="16.5" thickTop="1" thickBot="1" x14ac:dyDescent="0.3">
      <c r="A1411" s="38"/>
      <c r="B1411" s="38"/>
      <c r="C1411" s="38"/>
      <c r="D1411" s="38"/>
      <c r="E1411" s="40"/>
    </row>
    <row r="1412" spans="1:5" ht="16.5" thickTop="1" thickBot="1" x14ac:dyDescent="0.3">
      <c r="A1412" s="38"/>
      <c r="B1412" s="38"/>
      <c r="C1412" s="38"/>
      <c r="D1412" s="38"/>
      <c r="E1412" s="40"/>
    </row>
    <row r="1413" spans="1:5" ht="16.5" thickTop="1" thickBot="1" x14ac:dyDescent="0.3">
      <c r="A1413" s="38"/>
      <c r="B1413" s="38"/>
      <c r="C1413" s="38"/>
      <c r="D1413" s="38"/>
      <c r="E1413" s="40"/>
    </row>
    <row r="1414" spans="1:5" ht="16.5" thickTop="1" thickBot="1" x14ac:dyDescent="0.3">
      <c r="A1414" s="38"/>
      <c r="B1414" s="38"/>
      <c r="C1414" s="38"/>
      <c r="D1414" s="38"/>
      <c r="E1414" s="40"/>
    </row>
    <row r="1415" spans="1:5" ht="16.5" thickTop="1" thickBot="1" x14ac:dyDescent="0.3">
      <c r="A1415" s="38"/>
      <c r="B1415" s="38"/>
      <c r="C1415" s="38"/>
      <c r="D1415" s="38"/>
      <c r="E1415" s="40"/>
    </row>
    <row r="1416" spans="1:5" ht="16.5" thickTop="1" thickBot="1" x14ac:dyDescent="0.3">
      <c r="A1416" s="38"/>
      <c r="B1416" s="38"/>
      <c r="C1416" s="38"/>
      <c r="D1416" s="38"/>
      <c r="E1416" s="40"/>
    </row>
    <row r="1417" spans="1:5" ht="16.5" thickTop="1" thickBot="1" x14ac:dyDescent="0.3">
      <c r="A1417" s="38"/>
      <c r="B1417" s="38"/>
      <c r="C1417" s="38"/>
      <c r="D1417" s="38"/>
      <c r="E1417" s="40"/>
    </row>
    <row r="1418" spans="1:5" ht="16.5" thickTop="1" thickBot="1" x14ac:dyDescent="0.3">
      <c r="A1418" s="38"/>
      <c r="B1418" s="38"/>
      <c r="C1418" s="38"/>
      <c r="D1418" s="38"/>
      <c r="E1418" s="40"/>
    </row>
    <row r="1419" spans="1:5" ht="16.5" thickTop="1" thickBot="1" x14ac:dyDescent="0.3">
      <c r="A1419" s="38"/>
      <c r="B1419" s="38"/>
      <c r="C1419" s="38"/>
      <c r="D1419" s="38"/>
      <c r="E1419" s="40"/>
    </row>
    <row r="1420" spans="1:5" ht="16.5" thickTop="1" thickBot="1" x14ac:dyDescent="0.3">
      <c r="A1420" s="38"/>
      <c r="B1420" s="38"/>
      <c r="C1420" s="38"/>
      <c r="D1420" s="38"/>
      <c r="E1420" s="40"/>
    </row>
    <row r="1421" spans="1:5" ht="16.5" thickTop="1" thickBot="1" x14ac:dyDescent="0.3">
      <c r="A1421" s="38"/>
      <c r="B1421" s="38"/>
      <c r="C1421" s="38"/>
      <c r="D1421" s="38"/>
      <c r="E1421" s="40"/>
    </row>
    <row r="1422" spans="1:5" ht="16.5" thickTop="1" thickBot="1" x14ac:dyDescent="0.3">
      <c r="A1422" s="38"/>
      <c r="B1422" s="38"/>
      <c r="C1422" s="38"/>
      <c r="D1422" s="38"/>
      <c r="E1422" s="40"/>
    </row>
    <row r="1423" spans="1:5" ht="16.5" thickTop="1" thickBot="1" x14ac:dyDescent="0.3">
      <c r="A1423" s="38"/>
      <c r="B1423" s="38"/>
      <c r="C1423" s="38"/>
      <c r="D1423" s="38"/>
      <c r="E1423" s="40"/>
    </row>
    <row r="1424" spans="1:5" ht="16.5" thickTop="1" thickBot="1" x14ac:dyDescent="0.3">
      <c r="A1424" s="38"/>
      <c r="B1424" s="38"/>
      <c r="C1424" s="38"/>
      <c r="D1424" s="38"/>
      <c r="E1424" s="40"/>
    </row>
    <row r="1425" spans="1:5" ht="16.5" thickTop="1" thickBot="1" x14ac:dyDescent="0.3">
      <c r="A1425" s="38"/>
      <c r="B1425" s="38"/>
      <c r="C1425" s="38"/>
      <c r="D1425" s="38"/>
      <c r="E1425" s="40"/>
    </row>
    <row r="1426" spans="1:5" ht="16.5" thickTop="1" thickBot="1" x14ac:dyDescent="0.3">
      <c r="A1426" s="38"/>
      <c r="B1426" s="38"/>
      <c r="C1426" s="38"/>
      <c r="D1426" s="38"/>
      <c r="E1426" s="40"/>
    </row>
    <row r="1427" spans="1:5" ht="16.5" thickTop="1" thickBot="1" x14ac:dyDescent="0.3">
      <c r="A1427" s="38"/>
      <c r="B1427" s="38"/>
      <c r="C1427" s="38"/>
      <c r="D1427" s="38"/>
      <c r="E1427" s="40"/>
    </row>
    <row r="1428" spans="1:5" ht="16.5" thickTop="1" thickBot="1" x14ac:dyDescent="0.3">
      <c r="A1428" s="38"/>
      <c r="B1428" s="38"/>
      <c r="C1428" s="38"/>
      <c r="D1428" s="38"/>
      <c r="E1428" s="40"/>
    </row>
    <row r="1429" spans="1:5" ht="16.5" thickTop="1" thickBot="1" x14ac:dyDescent="0.3">
      <c r="A1429" s="38"/>
      <c r="B1429" s="38"/>
      <c r="C1429" s="38"/>
      <c r="D1429" s="38"/>
      <c r="E1429" s="40"/>
    </row>
    <row r="1430" spans="1:5" ht="16.5" thickTop="1" thickBot="1" x14ac:dyDescent="0.3">
      <c r="A1430" s="38"/>
      <c r="B1430" s="38"/>
      <c r="C1430" s="38"/>
      <c r="D1430" s="38"/>
      <c r="E1430" s="40"/>
    </row>
    <row r="1431" spans="1:5" ht="16.5" thickTop="1" thickBot="1" x14ac:dyDescent="0.3">
      <c r="A1431" s="38"/>
      <c r="B1431" s="38"/>
      <c r="C1431" s="38"/>
      <c r="D1431" s="38"/>
      <c r="E1431" s="40"/>
    </row>
    <row r="1432" spans="1:5" ht="16.5" thickTop="1" thickBot="1" x14ac:dyDescent="0.3">
      <c r="A1432" s="38"/>
      <c r="B1432" s="38"/>
      <c r="C1432" s="38"/>
      <c r="D1432" s="38"/>
      <c r="E1432" s="40"/>
    </row>
    <row r="1433" spans="1:5" ht="16.5" thickTop="1" thickBot="1" x14ac:dyDescent="0.3">
      <c r="A1433" s="38"/>
      <c r="B1433" s="38"/>
      <c r="C1433" s="38"/>
      <c r="D1433" s="38"/>
      <c r="E1433" s="40"/>
    </row>
    <row r="1434" spans="1:5" ht="16.5" thickTop="1" thickBot="1" x14ac:dyDescent="0.3">
      <c r="A1434" s="38"/>
      <c r="B1434" s="38"/>
      <c r="C1434" s="38"/>
      <c r="D1434" s="38"/>
      <c r="E1434" s="40"/>
    </row>
    <row r="1435" spans="1:5" ht="16.5" thickTop="1" thickBot="1" x14ac:dyDescent="0.3">
      <c r="A1435" s="38"/>
      <c r="B1435" s="38"/>
      <c r="C1435" s="38"/>
      <c r="D1435" s="38"/>
      <c r="E1435" s="40"/>
    </row>
    <row r="1436" spans="1:5" ht="16.5" thickTop="1" thickBot="1" x14ac:dyDescent="0.3">
      <c r="A1436" s="38"/>
      <c r="B1436" s="38"/>
      <c r="C1436" s="38"/>
      <c r="D1436" s="38"/>
      <c r="E1436" s="40"/>
    </row>
    <row r="1437" spans="1:5" ht="16.5" thickTop="1" thickBot="1" x14ac:dyDescent="0.3">
      <c r="A1437" s="38"/>
      <c r="B1437" s="38"/>
      <c r="C1437" s="38"/>
      <c r="D1437" s="38"/>
      <c r="E1437" s="40"/>
    </row>
    <row r="1438" spans="1:5" ht="16.5" thickTop="1" thickBot="1" x14ac:dyDescent="0.3">
      <c r="A1438" s="38"/>
      <c r="B1438" s="38"/>
      <c r="C1438" s="38"/>
      <c r="D1438" s="38"/>
      <c r="E1438" s="40"/>
    </row>
    <row r="1439" spans="1:5" ht="16.5" thickTop="1" thickBot="1" x14ac:dyDescent="0.3">
      <c r="A1439" s="38"/>
      <c r="B1439" s="38"/>
      <c r="C1439" s="38"/>
      <c r="D1439" s="38"/>
      <c r="E1439" s="40"/>
    </row>
    <row r="1440" spans="1:5" ht="16.5" thickTop="1" thickBot="1" x14ac:dyDescent="0.3">
      <c r="A1440" s="38"/>
      <c r="B1440" s="38"/>
      <c r="C1440" s="38"/>
      <c r="D1440" s="38"/>
      <c r="E1440" s="40"/>
    </row>
    <row r="1441" spans="1:5" ht="16.5" thickTop="1" thickBot="1" x14ac:dyDescent="0.3">
      <c r="A1441" s="38"/>
      <c r="B1441" s="38"/>
      <c r="C1441" s="38"/>
      <c r="D1441" s="38"/>
      <c r="E1441" s="40"/>
    </row>
    <row r="1442" spans="1:5" ht="16.5" thickTop="1" thickBot="1" x14ac:dyDescent="0.3">
      <c r="A1442" s="38"/>
      <c r="B1442" s="38"/>
      <c r="C1442" s="38"/>
      <c r="D1442" s="38"/>
      <c r="E1442" s="40"/>
    </row>
    <row r="1443" spans="1:5" ht="16.5" thickTop="1" thickBot="1" x14ac:dyDescent="0.3">
      <c r="A1443" s="38"/>
      <c r="B1443" s="38"/>
      <c r="C1443" s="38"/>
      <c r="D1443" s="38"/>
      <c r="E1443" s="40"/>
    </row>
    <row r="1444" spans="1:5" ht="16.5" thickTop="1" thickBot="1" x14ac:dyDescent="0.3">
      <c r="A1444" s="38"/>
      <c r="B1444" s="38"/>
      <c r="C1444" s="38"/>
      <c r="D1444" s="38"/>
      <c r="E1444" s="40"/>
    </row>
    <row r="1445" spans="1:5" ht="16.5" thickTop="1" thickBot="1" x14ac:dyDescent="0.3">
      <c r="A1445" s="38"/>
      <c r="B1445" s="38"/>
      <c r="C1445" s="38"/>
      <c r="D1445" s="38"/>
      <c r="E1445" s="40"/>
    </row>
    <row r="1446" spans="1:5" ht="16.5" thickTop="1" thickBot="1" x14ac:dyDescent="0.3">
      <c r="A1446" s="38"/>
      <c r="B1446" s="38"/>
      <c r="C1446" s="38"/>
      <c r="D1446" s="38"/>
      <c r="E1446" s="40"/>
    </row>
    <row r="1447" spans="1:5" ht="16.5" thickTop="1" thickBot="1" x14ac:dyDescent="0.3">
      <c r="A1447" s="38"/>
      <c r="B1447" s="38"/>
      <c r="C1447" s="38"/>
      <c r="D1447" s="38"/>
      <c r="E1447" s="40"/>
    </row>
    <row r="1448" spans="1:5" ht="16.5" thickTop="1" thickBot="1" x14ac:dyDescent="0.3">
      <c r="A1448" s="38"/>
      <c r="B1448" s="38"/>
      <c r="C1448" s="38"/>
      <c r="D1448" s="38"/>
      <c r="E1448" s="40"/>
    </row>
    <row r="1449" spans="1:5" ht="16.5" thickTop="1" thickBot="1" x14ac:dyDescent="0.3">
      <c r="A1449" s="38"/>
      <c r="B1449" s="38"/>
      <c r="C1449" s="38"/>
      <c r="D1449" s="38"/>
      <c r="E1449" s="40"/>
    </row>
    <row r="1450" spans="1:5" ht="16.5" thickTop="1" thickBot="1" x14ac:dyDescent="0.3">
      <c r="A1450" s="38"/>
      <c r="B1450" s="38"/>
      <c r="C1450" s="38"/>
      <c r="D1450" s="38"/>
      <c r="E1450" s="40"/>
    </row>
    <row r="1451" spans="1:5" ht="16.5" thickTop="1" thickBot="1" x14ac:dyDescent="0.3">
      <c r="A1451" s="38"/>
      <c r="B1451" s="38"/>
      <c r="C1451" s="38"/>
      <c r="D1451" s="38"/>
      <c r="E1451" s="40"/>
    </row>
    <row r="1452" spans="1:5" ht="16.5" thickTop="1" thickBot="1" x14ac:dyDescent="0.3">
      <c r="A1452" s="38"/>
      <c r="B1452" s="38"/>
      <c r="C1452" s="38"/>
      <c r="D1452" s="38"/>
      <c r="E1452" s="40"/>
    </row>
    <row r="1453" spans="1:5" ht="16.5" thickTop="1" thickBot="1" x14ac:dyDescent="0.3">
      <c r="A1453" s="38"/>
      <c r="B1453" s="38"/>
      <c r="C1453" s="38"/>
      <c r="D1453" s="38"/>
      <c r="E1453" s="40"/>
    </row>
    <row r="1454" spans="1:5" ht="16.5" thickTop="1" thickBot="1" x14ac:dyDescent="0.3">
      <c r="A1454" s="38"/>
      <c r="B1454" s="38"/>
      <c r="C1454" s="38"/>
      <c r="D1454" s="38"/>
      <c r="E1454" s="40"/>
    </row>
    <row r="1455" spans="1:5" ht="16.5" thickTop="1" thickBot="1" x14ac:dyDescent="0.3">
      <c r="A1455" s="38"/>
      <c r="B1455" s="38"/>
      <c r="C1455" s="38"/>
      <c r="D1455" s="38"/>
      <c r="E1455" s="40"/>
    </row>
    <row r="1456" spans="1:5" ht="16.5" thickTop="1" thickBot="1" x14ac:dyDescent="0.3">
      <c r="A1456" s="38"/>
      <c r="B1456" s="38"/>
      <c r="C1456" s="38"/>
      <c r="D1456" s="38"/>
      <c r="E1456" s="40"/>
    </row>
    <row r="1457" spans="1:5" ht="16.5" thickTop="1" thickBot="1" x14ac:dyDescent="0.3">
      <c r="A1457" s="38"/>
      <c r="B1457" s="38"/>
      <c r="C1457" s="38"/>
      <c r="D1457" s="38"/>
      <c r="E1457" s="40"/>
    </row>
    <row r="1458" spans="1:5" ht="16.5" thickTop="1" thickBot="1" x14ac:dyDescent="0.3">
      <c r="A1458" s="38"/>
      <c r="B1458" s="38"/>
      <c r="C1458" s="38"/>
      <c r="D1458" s="38"/>
      <c r="E1458" s="40"/>
    </row>
    <row r="1459" spans="1:5" ht="16.5" thickTop="1" thickBot="1" x14ac:dyDescent="0.3">
      <c r="A1459" s="38"/>
      <c r="B1459" s="38"/>
      <c r="C1459" s="38"/>
      <c r="D1459" s="38"/>
      <c r="E1459" s="40"/>
    </row>
    <row r="1460" spans="1:5" ht="16.5" thickTop="1" thickBot="1" x14ac:dyDescent="0.3">
      <c r="A1460" s="38"/>
      <c r="B1460" s="38"/>
      <c r="C1460" s="38"/>
      <c r="D1460" s="38"/>
      <c r="E1460" s="40"/>
    </row>
    <row r="1461" spans="1:5" ht="16.5" thickTop="1" thickBot="1" x14ac:dyDescent="0.3">
      <c r="A1461" s="38"/>
      <c r="B1461" s="38"/>
      <c r="C1461" s="38"/>
      <c r="D1461" s="38"/>
      <c r="E1461" s="40"/>
    </row>
    <row r="1462" spans="1:5" ht="16.5" thickTop="1" thickBot="1" x14ac:dyDescent="0.3">
      <c r="A1462" s="38"/>
      <c r="B1462" s="38"/>
      <c r="C1462" s="38"/>
      <c r="D1462" s="38"/>
      <c r="E1462" s="40"/>
    </row>
    <row r="1463" spans="1:5" ht="16.5" thickTop="1" thickBot="1" x14ac:dyDescent="0.3">
      <c r="A1463" s="38"/>
      <c r="B1463" s="38"/>
      <c r="C1463" s="38"/>
      <c r="D1463" s="38"/>
      <c r="E1463" s="40"/>
    </row>
    <row r="1464" spans="1:5" ht="16.5" thickTop="1" thickBot="1" x14ac:dyDescent="0.3">
      <c r="A1464" s="38"/>
      <c r="B1464" s="38"/>
      <c r="C1464" s="38"/>
      <c r="D1464" s="38"/>
      <c r="E1464" s="40"/>
    </row>
    <row r="1465" spans="1:5" ht="16.5" thickTop="1" thickBot="1" x14ac:dyDescent="0.3">
      <c r="A1465" s="38"/>
      <c r="B1465" s="38"/>
      <c r="C1465" s="38"/>
      <c r="D1465" s="38"/>
      <c r="E1465" s="40"/>
    </row>
    <row r="1466" spans="1:5" ht="16.5" thickTop="1" thickBot="1" x14ac:dyDescent="0.3">
      <c r="A1466" s="38"/>
      <c r="B1466" s="38"/>
      <c r="C1466" s="38"/>
      <c r="D1466" s="38"/>
      <c r="E1466" s="40"/>
    </row>
    <row r="1467" spans="1:5" ht="16.5" thickTop="1" thickBot="1" x14ac:dyDescent="0.3">
      <c r="A1467" s="38"/>
      <c r="B1467" s="38"/>
      <c r="C1467" s="38"/>
      <c r="D1467" s="38"/>
      <c r="E1467" s="40"/>
    </row>
    <row r="1468" spans="1:5" ht="16.5" thickTop="1" thickBot="1" x14ac:dyDescent="0.3">
      <c r="A1468" s="38"/>
      <c r="B1468" s="38"/>
      <c r="C1468" s="38"/>
      <c r="D1468" s="38"/>
      <c r="E1468" s="40"/>
    </row>
    <row r="1469" spans="1:5" ht="16.5" thickTop="1" thickBot="1" x14ac:dyDescent="0.3">
      <c r="A1469" s="38"/>
      <c r="B1469" s="38"/>
      <c r="C1469" s="38"/>
      <c r="D1469" s="38"/>
      <c r="E1469" s="40"/>
    </row>
    <row r="1470" spans="1:5" ht="16.5" thickTop="1" thickBot="1" x14ac:dyDescent="0.3">
      <c r="A1470" s="38"/>
      <c r="B1470" s="38"/>
      <c r="C1470" s="38"/>
      <c r="D1470" s="38"/>
      <c r="E1470" s="40"/>
    </row>
    <row r="1471" spans="1:5" ht="16.5" thickTop="1" thickBot="1" x14ac:dyDescent="0.3">
      <c r="A1471" s="38"/>
      <c r="B1471" s="38"/>
      <c r="C1471" s="38"/>
      <c r="D1471" s="38"/>
      <c r="E1471" s="40"/>
    </row>
    <row r="1472" spans="1:5" ht="16.5" thickTop="1" thickBot="1" x14ac:dyDescent="0.3">
      <c r="A1472" s="38"/>
      <c r="B1472" s="38"/>
      <c r="C1472" s="38"/>
      <c r="D1472" s="38"/>
      <c r="E1472" s="40"/>
    </row>
    <row r="1473" spans="1:5" ht="16.5" thickTop="1" thickBot="1" x14ac:dyDescent="0.3">
      <c r="A1473" s="38"/>
      <c r="B1473" s="38"/>
      <c r="C1473" s="38"/>
      <c r="D1473" s="38"/>
      <c r="E1473" s="40"/>
    </row>
    <row r="1474" spans="1:5" ht="16.5" thickTop="1" thickBot="1" x14ac:dyDescent="0.3">
      <c r="A1474" s="38"/>
      <c r="B1474" s="38"/>
      <c r="C1474" s="38"/>
      <c r="D1474" s="38"/>
      <c r="E1474" s="40"/>
    </row>
    <row r="1475" spans="1:5" ht="16.5" thickTop="1" thickBot="1" x14ac:dyDescent="0.3">
      <c r="A1475" s="38"/>
      <c r="B1475" s="38"/>
      <c r="C1475" s="38"/>
      <c r="D1475" s="38"/>
      <c r="E1475" s="40"/>
    </row>
    <row r="1476" spans="1:5" ht="16.5" thickTop="1" thickBot="1" x14ac:dyDescent="0.3">
      <c r="A1476" s="38"/>
      <c r="B1476" s="38"/>
      <c r="C1476" s="38"/>
      <c r="D1476" s="38"/>
      <c r="E1476" s="40"/>
    </row>
    <row r="1477" spans="1:5" ht="16.5" thickTop="1" thickBot="1" x14ac:dyDescent="0.3">
      <c r="A1477" s="38"/>
      <c r="B1477" s="38"/>
      <c r="C1477" s="38"/>
      <c r="D1477" s="38"/>
      <c r="E1477" s="40"/>
    </row>
    <row r="1478" spans="1:5" ht="16.5" thickTop="1" thickBot="1" x14ac:dyDescent="0.3">
      <c r="A1478" s="38"/>
      <c r="B1478" s="38"/>
      <c r="C1478" s="38"/>
      <c r="D1478" s="38"/>
      <c r="E1478" s="40"/>
    </row>
    <row r="1479" spans="1:5" ht="16.5" thickTop="1" thickBot="1" x14ac:dyDescent="0.3">
      <c r="A1479" s="38"/>
      <c r="B1479" s="38"/>
      <c r="C1479" s="38"/>
      <c r="D1479" s="38"/>
      <c r="E1479" s="40"/>
    </row>
    <row r="1480" spans="1:5" ht="16.5" thickTop="1" thickBot="1" x14ac:dyDescent="0.3">
      <c r="A1480" s="38"/>
      <c r="B1480" s="38"/>
      <c r="C1480" s="38"/>
      <c r="D1480" s="38"/>
      <c r="E1480" s="40"/>
    </row>
    <row r="1481" spans="1:5" ht="16.5" thickTop="1" thickBot="1" x14ac:dyDescent="0.3">
      <c r="A1481" s="38"/>
      <c r="B1481" s="38"/>
      <c r="C1481" s="38"/>
      <c r="D1481" s="38"/>
      <c r="E1481" s="40"/>
    </row>
    <row r="1482" spans="1:5" ht="16.5" thickTop="1" thickBot="1" x14ac:dyDescent="0.3">
      <c r="A1482" s="38"/>
      <c r="B1482" s="38"/>
      <c r="C1482" s="38"/>
      <c r="D1482" s="38"/>
      <c r="E1482" s="40"/>
    </row>
    <row r="1483" spans="1:5" ht="16.5" thickTop="1" thickBot="1" x14ac:dyDescent="0.3">
      <c r="A1483" s="38"/>
      <c r="B1483" s="38"/>
      <c r="C1483" s="38"/>
      <c r="D1483" s="38"/>
      <c r="E1483" s="40"/>
    </row>
    <row r="1484" spans="1:5" ht="16.5" thickTop="1" thickBot="1" x14ac:dyDescent="0.3">
      <c r="A1484" s="38"/>
      <c r="B1484" s="38"/>
      <c r="C1484" s="38"/>
      <c r="D1484" s="38"/>
      <c r="E1484" s="40"/>
    </row>
    <row r="1485" spans="1:5" ht="16.5" thickTop="1" thickBot="1" x14ac:dyDescent="0.3">
      <c r="A1485" s="38"/>
      <c r="B1485" s="38"/>
      <c r="C1485" s="38"/>
      <c r="D1485" s="38"/>
      <c r="E1485" s="40"/>
    </row>
    <row r="1486" spans="1:5" ht="16.5" thickTop="1" thickBot="1" x14ac:dyDescent="0.3">
      <c r="A1486" s="38"/>
      <c r="B1486" s="38"/>
      <c r="C1486" s="38"/>
      <c r="D1486" s="38"/>
      <c r="E1486" s="40"/>
    </row>
    <row r="1487" spans="1:5" ht="16.5" thickTop="1" thickBot="1" x14ac:dyDescent="0.3">
      <c r="A1487" s="38"/>
      <c r="B1487" s="38"/>
      <c r="C1487" s="38"/>
      <c r="D1487" s="38"/>
      <c r="E1487" s="40"/>
    </row>
    <row r="1488" spans="1:5" ht="16.5" thickTop="1" thickBot="1" x14ac:dyDescent="0.3">
      <c r="A1488" s="38"/>
      <c r="B1488" s="38"/>
      <c r="C1488" s="38"/>
      <c r="D1488" s="38"/>
      <c r="E1488" s="40"/>
    </row>
    <row r="1489" spans="1:5" ht="16.5" thickTop="1" thickBot="1" x14ac:dyDescent="0.3">
      <c r="A1489" s="38"/>
      <c r="B1489" s="38"/>
      <c r="C1489" s="38"/>
      <c r="D1489" s="38"/>
      <c r="E1489" s="40"/>
    </row>
    <row r="1490" spans="1:5" ht="16.5" thickTop="1" thickBot="1" x14ac:dyDescent="0.3">
      <c r="A1490" s="38"/>
      <c r="B1490" s="38"/>
      <c r="C1490" s="38"/>
      <c r="D1490" s="38"/>
      <c r="E1490" s="40"/>
    </row>
    <row r="1491" spans="1:5" ht="16.5" thickTop="1" thickBot="1" x14ac:dyDescent="0.3">
      <c r="A1491" s="38"/>
      <c r="B1491" s="38"/>
      <c r="C1491" s="38"/>
      <c r="D1491" s="38"/>
      <c r="E1491" s="40"/>
    </row>
    <row r="1492" spans="1:5" ht="16.5" thickTop="1" thickBot="1" x14ac:dyDescent="0.3">
      <c r="A1492" s="38"/>
      <c r="B1492" s="38"/>
      <c r="C1492" s="38"/>
      <c r="D1492" s="38"/>
      <c r="E1492" s="40"/>
    </row>
    <row r="1493" spans="1:5" ht="16.5" thickTop="1" thickBot="1" x14ac:dyDescent="0.3">
      <c r="A1493" s="38"/>
      <c r="B1493" s="38"/>
      <c r="C1493" s="38"/>
      <c r="D1493" s="38"/>
      <c r="E1493" s="40"/>
    </row>
    <row r="1494" spans="1:5" ht="16.5" thickTop="1" thickBot="1" x14ac:dyDescent="0.3">
      <c r="A1494" s="38"/>
      <c r="B1494" s="38"/>
      <c r="C1494" s="38"/>
      <c r="D1494" s="38"/>
      <c r="E1494" s="40"/>
    </row>
    <row r="1495" spans="1:5" ht="16.5" thickTop="1" thickBot="1" x14ac:dyDescent="0.3">
      <c r="A1495" s="38"/>
      <c r="B1495" s="38"/>
      <c r="C1495" s="38"/>
      <c r="D1495" s="38"/>
      <c r="E1495" s="40"/>
    </row>
    <row r="1496" spans="1:5" ht="16.5" thickTop="1" thickBot="1" x14ac:dyDescent="0.3">
      <c r="A1496" s="38"/>
      <c r="B1496" s="38"/>
      <c r="C1496" s="38"/>
      <c r="D1496" s="38"/>
      <c r="E1496" s="40"/>
    </row>
    <row r="1497" spans="1:5" ht="16.5" thickTop="1" thickBot="1" x14ac:dyDescent="0.3">
      <c r="A1497" s="38"/>
      <c r="B1497" s="38"/>
      <c r="C1497" s="38"/>
      <c r="D1497" s="38"/>
      <c r="E1497" s="40"/>
    </row>
    <row r="1498" spans="1:5" ht="16.5" thickTop="1" thickBot="1" x14ac:dyDescent="0.3">
      <c r="A1498" s="38"/>
      <c r="B1498" s="38"/>
      <c r="C1498" s="38"/>
      <c r="D1498" s="38"/>
      <c r="E1498" s="40"/>
    </row>
    <row r="1499" spans="1:5" ht="16.5" thickTop="1" thickBot="1" x14ac:dyDescent="0.3">
      <c r="A1499" s="38"/>
      <c r="B1499" s="38"/>
      <c r="C1499" s="38"/>
      <c r="D1499" s="38"/>
      <c r="E1499" s="40"/>
    </row>
    <row r="1500" spans="1:5" ht="16.5" thickTop="1" thickBot="1" x14ac:dyDescent="0.3">
      <c r="A1500" s="38"/>
      <c r="B1500" s="38"/>
      <c r="C1500" s="38"/>
      <c r="D1500" s="38"/>
      <c r="E1500" s="40"/>
    </row>
    <row r="1501" spans="1:5" ht="16.5" thickTop="1" thickBot="1" x14ac:dyDescent="0.3">
      <c r="A1501" s="38"/>
      <c r="B1501" s="38"/>
      <c r="C1501" s="38"/>
      <c r="D1501" s="38"/>
      <c r="E1501" s="40"/>
    </row>
    <row r="1502" spans="1:5" ht="16.5" thickTop="1" thickBot="1" x14ac:dyDescent="0.3">
      <c r="A1502" s="38"/>
      <c r="B1502" s="38"/>
      <c r="C1502" s="38"/>
      <c r="D1502" s="38"/>
      <c r="E1502" s="40"/>
    </row>
    <row r="1503" spans="1:5" ht="16.5" thickTop="1" thickBot="1" x14ac:dyDescent="0.3">
      <c r="A1503" s="38"/>
      <c r="B1503" s="38"/>
      <c r="C1503" s="38"/>
      <c r="D1503" s="38"/>
      <c r="E1503" s="40"/>
    </row>
    <row r="1504" spans="1:5" ht="16.5" thickTop="1" thickBot="1" x14ac:dyDescent="0.3">
      <c r="A1504" s="38"/>
      <c r="B1504" s="38"/>
      <c r="C1504" s="38"/>
      <c r="D1504" s="38"/>
      <c r="E1504" s="40"/>
    </row>
    <row r="1505" spans="1:5" ht="16.5" thickTop="1" thickBot="1" x14ac:dyDescent="0.3">
      <c r="A1505" s="38"/>
      <c r="B1505" s="38"/>
      <c r="C1505" s="38"/>
      <c r="D1505" s="38"/>
      <c r="E1505" s="40"/>
    </row>
    <row r="1506" spans="1:5" ht="16.5" thickTop="1" thickBot="1" x14ac:dyDescent="0.3">
      <c r="A1506" s="38"/>
      <c r="B1506" s="38"/>
      <c r="C1506" s="38"/>
      <c r="D1506" s="38"/>
      <c r="E1506" s="40"/>
    </row>
    <row r="1507" spans="1:5" ht="16.5" thickTop="1" thickBot="1" x14ac:dyDescent="0.3">
      <c r="A1507" s="38"/>
      <c r="B1507" s="38"/>
      <c r="C1507" s="38"/>
      <c r="D1507" s="38"/>
      <c r="E1507" s="40"/>
    </row>
    <row r="1508" spans="1:5" ht="16.5" thickTop="1" thickBot="1" x14ac:dyDescent="0.3">
      <c r="A1508" s="38"/>
      <c r="B1508" s="38"/>
      <c r="C1508" s="38"/>
      <c r="D1508" s="38"/>
      <c r="E1508" s="40"/>
    </row>
    <row r="1509" spans="1:5" ht="16.5" thickTop="1" thickBot="1" x14ac:dyDescent="0.3">
      <c r="A1509" s="38"/>
      <c r="B1509" s="38"/>
      <c r="C1509" s="38"/>
      <c r="D1509" s="38"/>
      <c r="E1509" s="40"/>
    </row>
    <row r="1510" spans="1:5" ht="16.5" thickTop="1" thickBot="1" x14ac:dyDescent="0.3">
      <c r="A1510" s="38"/>
      <c r="B1510" s="38"/>
      <c r="C1510" s="38"/>
      <c r="D1510" s="38"/>
      <c r="E1510" s="40"/>
    </row>
    <row r="1511" spans="1:5" ht="16.5" thickTop="1" thickBot="1" x14ac:dyDescent="0.3">
      <c r="A1511" s="38"/>
      <c r="B1511" s="38"/>
      <c r="C1511" s="38"/>
      <c r="D1511" s="38"/>
      <c r="E1511" s="40"/>
    </row>
    <row r="1512" spans="1:5" ht="16.5" thickTop="1" thickBot="1" x14ac:dyDescent="0.3">
      <c r="A1512" s="38"/>
      <c r="B1512" s="38"/>
      <c r="C1512" s="38"/>
      <c r="D1512" s="38"/>
      <c r="E1512" s="40"/>
    </row>
    <row r="1513" spans="1:5" ht="16.5" thickTop="1" thickBot="1" x14ac:dyDescent="0.3">
      <c r="A1513" s="38"/>
      <c r="B1513" s="38"/>
      <c r="C1513" s="38"/>
      <c r="D1513" s="38"/>
      <c r="E1513" s="40"/>
    </row>
    <row r="1514" spans="1:5" ht="16.5" thickTop="1" thickBot="1" x14ac:dyDescent="0.3">
      <c r="A1514" s="38"/>
      <c r="B1514" s="38"/>
      <c r="C1514" s="38"/>
      <c r="D1514" s="38"/>
      <c r="E1514" s="40"/>
    </row>
    <row r="1515" spans="1:5" ht="16.5" thickTop="1" thickBot="1" x14ac:dyDescent="0.3">
      <c r="A1515" s="38"/>
      <c r="B1515" s="38"/>
      <c r="C1515" s="38"/>
      <c r="D1515" s="38"/>
      <c r="E1515" s="40"/>
    </row>
    <row r="1516" spans="1:5" ht="16.5" thickTop="1" thickBot="1" x14ac:dyDescent="0.3">
      <c r="A1516" s="38"/>
      <c r="B1516" s="38"/>
      <c r="C1516" s="38"/>
      <c r="D1516" s="38"/>
      <c r="E1516" s="40"/>
    </row>
    <row r="1517" spans="1:5" ht="16.5" thickTop="1" thickBot="1" x14ac:dyDescent="0.3">
      <c r="A1517" s="38"/>
      <c r="B1517" s="38"/>
      <c r="C1517" s="38"/>
      <c r="D1517" s="38"/>
      <c r="E1517" s="40"/>
    </row>
    <row r="1518" spans="1:5" ht="16.5" thickTop="1" thickBot="1" x14ac:dyDescent="0.3">
      <c r="A1518" s="38"/>
      <c r="B1518" s="38"/>
      <c r="C1518" s="38"/>
      <c r="D1518" s="38"/>
      <c r="E1518" s="40"/>
    </row>
    <row r="1519" spans="1:5" ht="16.5" thickTop="1" thickBot="1" x14ac:dyDescent="0.3">
      <c r="A1519" s="38"/>
      <c r="B1519" s="38"/>
      <c r="C1519" s="38"/>
      <c r="D1519" s="38"/>
      <c r="E1519" s="40"/>
    </row>
    <row r="1520" spans="1:5" ht="16.5" thickTop="1" thickBot="1" x14ac:dyDescent="0.3">
      <c r="A1520" s="38"/>
      <c r="B1520" s="38"/>
      <c r="C1520" s="38"/>
      <c r="D1520" s="38"/>
      <c r="E1520" s="40"/>
    </row>
    <row r="1521" spans="1:5" ht="16.5" thickTop="1" thickBot="1" x14ac:dyDescent="0.3">
      <c r="A1521" s="38"/>
      <c r="B1521" s="38"/>
      <c r="C1521" s="38"/>
      <c r="D1521" s="38"/>
      <c r="E1521" s="40"/>
    </row>
    <row r="1522" spans="1:5" ht="16.5" thickTop="1" thickBot="1" x14ac:dyDescent="0.3">
      <c r="A1522" s="38"/>
      <c r="B1522" s="38"/>
      <c r="C1522" s="38"/>
      <c r="D1522" s="38"/>
      <c r="E1522" s="40"/>
    </row>
    <row r="1523" spans="1:5" ht="16.5" thickTop="1" thickBot="1" x14ac:dyDescent="0.3">
      <c r="A1523" s="38"/>
      <c r="B1523" s="38"/>
      <c r="C1523" s="38"/>
      <c r="D1523" s="38"/>
      <c r="E1523" s="40"/>
    </row>
    <row r="1524" spans="1:5" ht="16.5" thickTop="1" thickBot="1" x14ac:dyDescent="0.3">
      <c r="A1524" s="38"/>
      <c r="B1524" s="38"/>
      <c r="C1524" s="38"/>
      <c r="D1524" s="38"/>
      <c r="E1524" s="40"/>
    </row>
    <row r="1525" spans="1:5" ht="16.5" thickTop="1" thickBot="1" x14ac:dyDescent="0.3">
      <c r="A1525" s="38"/>
      <c r="B1525" s="38"/>
      <c r="C1525" s="38"/>
      <c r="D1525" s="38"/>
      <c r="E1525" s="40"/>
    </row>
    <row r="1526" spans="1:5" ht="16.5" thickTop="1" thickBot="1" x14ac:dyDescent="0.3">
      <c r="A1526" s="38"/>
      <c r="B1526" s="38"/>
      <c r="C1526" s="38"/>
      <c r="D1526" s="38"/>
      <c r="E1526" s="40"/>
    </row>
    <row r="1527" spans="1:5" ht="16.5" thickTop="1" thickBot="1" x14ac:dyDescent="0.3">
      <c r="A1527" s="38"/>
      <c r="B1527" s="38"/>
      <c r="C1527" s="38"/>
      <c r="D1527" s="38"/>
      <c r="E1527" s="40"/>
    </row>
    <row r="1528" spans="1:5" ht="16.5" thickTop="1" thickBot="1" x14ac:dyDescent="0.3">
      <c r="A1528" s="38"/>
      <c r="B1528" s="38"/>
      <c r="C1528" s="38"/>
      <c r="D1528" s="38"/>
      <c r="E1528" s="40"/>
    </row>
    <row r="1529" spans="1:5" ht="16.5" thickTop="1" thickBot="1" x14ac:dyDescent="0.3">
      <c r="A1529" s="38"/>
      <c r="B1529" s="38"/>
      <c r="C1529" s="38"/>
      <c r="D1529" s="38"/>
      <c r="E1529" s="40"/>
    </row>
    <row r="1530" spans="1:5" ht="16.5" thickTop="1" thickBot="1" x14ac:dyDescent="0.3">
      <c r="A1530" s="38"/>
      <c r="B1530" s="38"/>
      <c r="C1530" s="38"/>
      <c r="D1530" s="38"/>
      <c r="E1530" s="40"/>
    </row>
    <row r="1531" spans="1:5" ht="16.5" thickTop="1" thickBot="1" x14ac:dyDescent="0.3">
      <c r="A1531" s="38"/>
      <c r="B1531" s="38"/>
      <c r="C1531" s="38"/>
      <c r="D1531" s="38"/>
      <c r="E1531" s="40"/>
    </row>
    <row r="1532" spans="1:5" ht="16.5" thickTop="1" thickBot="1" x14ac:dyDescent="0.3">
      <c r="A1532" s="38"/>
      <c r="B1532" s="38"/>
      <c r="C1532" s="38"/>
      <c r="D1532" s="38"/>
      <c r="E1532" s="40"/>
    </row>
    <row r="1533" spans="1:5" ht="16.5" thickTop="1" thickBot="1" x14ac:dyDescent="0.3">
      <c r="A1533" s="38"/>
      <c r="B1533" s="38"/>
      <c r="C1533" s="38"/>
      <c r="D1533" s="38"/>
      <c r="E1533" s="40"/>
    </row>
    <row r="1534" spans="1:5" ht="16.5" thickTop="1" thickBot="1" x14ac:dyDescent="0.3">
      <c r="A1534" s="38"/>
      <c r="B1534" s="38"/>
      <c r="C1534" s="38"/>
      <c r="D1534" s="38"/>
      <c r="E1534" s="40"/>
    </row>
    <row r="1535" spans="1:5" ht="16.5" thickTop="1" thickBot="1" x14ac:dyDescent="0.3">
      <c r="A1535" s="38"/>
      <c r="B1535" s="38"/>
      <c r="C1535" s="38"/>
      <c r="D1535" s="38"/>
      <c r="E1535" s="40"/>
    </row>
    <row r="1536" spans="1:5" ht="16.5" thickTop="1" thickBot="1" x14ac:dyDescent="0.3">
      <c r="A1536" s="38"/>
      <c r="B1536" s="38"/>
      <c r="C1536" s="38"/>
      <c r="D1536" s="38"/>
      <c r="E1536" s="40"/>
    </row>
    <row r="1537" spans="1:5" ht="16.5" thickTop="1" thickBot="1" x14ac:dyDescent="0.3">
      <c r="A1537" s="38"/>
      <c r="B1537" s="38"/>
      <c r="C1537" s="38"/>
      <c r="D1537" s="38"/>
      <c r="E1537" s="40"/>
    </row>
    <row r="1538" spans="1:5" ht="16.5" thickTop="1" thickBot="1" x14ac:dyDescent="0.3">
      <c r="A1538" s="38"/>
      <c r="B1538" s="38"/>
      <c r="C1538" s="38"/>
      <c r="D1538" s="38"/>
      <c r="E1538" s="40"/>
    </row>
    <row r="1539" spans="1:5" ht="16.5" thickTop="1" thickBot="1" x14ac:dyDescent="0.3">
      <c r="A1539" s="38"/>
      <c r="B1539" s="38"/>
      <c r="C1539" s="38"/>
      <c r="D1539" s="38"/>
      <c r="E1539" s="40"/>
    </row>
    <row r="1540" spans="1:5" ht="16.5" thickTop="1" thickBot="1" x14ac:dyDescent="0.3">
      <c r="A1540" s="38"/>
      <c r="B1540" s="38"/>
      <c r="C1540" s="38"/>
      <c r="D1540" s="38"/>
      <c r="E1540" s="40"/>
    </row>
    <row r="1541" spans="1:5" ht="16.5" thickTop="1" thickBot="1" x14ac:dyDescent="0.3">
      <c r="A1541" s="38"/>
      <c r="B1541" s="38"/>
      <c r="C1541" s="38"/>
      <c r="D1541" s="38"/>
      <c r="E1541" s="40"/>
    </row>
    <row r="1542" spans="1:5" ht="16.5" thickTop="1" thickBot="1" x14ac:dyDescent="0.3">
      <c r="A1542" s="38"/>
      <c r="B1542" s="38"/>
      <c r="C1542" s="38"/>
      <c r="D1542" s="38"/>
      <c r="E1542" s="40"/>
    </row>
    <row r="1543" spans="1:5" ht="16.5" thickTop="1" thickBot="1" x14ac:dyDescent="0.3">
      <c r="A1543" s="38"/>
      <c r="B1543" s="38"/>
      <c r="C1543" s="38"/>
      <c r="D1543" s="38"/>
      <c r="E1543" s="40"/>
    </row>
    <row r="1544" spans="1:5" ht="16.5" thickTop="1" thickBot="1" x14ac:dyDescent="0.3">
      <c r="A1544" s="38"/>
      <c r="B1544" s="38"/>
      <c r="C1544" s="38"/>
      <c r="D1544" s="38"/>
      <c r="E1544" s="40"/>
    </row>
    <row r="1545" spans="1:5" ht="16.5" thickTop="1" thickBot="1" x14ac:dyDescent="0.3">
      <c r="A1545" s="38"/>
      <c r="B1545" s="38"/>
      <c r="C1545" s="38"/>
      <c r="D1545" s="38"/>
      <c r="E1545" s="40"/>
    </row>
    <row r="1546" spans="1:5" ht="16.5" thickTop="1" thickBot="1" x14ac:dyDescent="0.3">
      <c r="A1546" s="38"/>
      <c r="B1546" s="38"/>
      <c r="C1546" s="38"/>
      <c r="D1546" s="38"/>
      <c r="E1546" s="40"/>
    </row>
    <row r="1547" spans="1:5" ht="16.5" thickTop="1" thickBot="1" x14ac:dyDescent="0.3">
      <c r="A1547" s="38"/>
      <c r="B1547" s="38"/>
      <c r="C1547" s="38"/>
      <c r="D1547" s="38"/>
      <c r="E1547" s="40"/>
    </row>
    <row r="1548" spans="1:5" ht="16.5" thickTop="1" thickBot="1" x14ac:dyDescent="0.3">
      <c r="A1548" s="38"/>
      <c r="B1548" s="38"/>
      <c r="C1548" s="38"/>
      <c r="D1548" s="38"/>
      <c r="E1548" s="40"/>
    </row>
    <row r="1549" spans="1:5" ht="16.5" thickTop="1" thickBot="1" x14ac:dyDescent="0.3">
      <c r="A1549" s="38"/>
      <c r="B1549" s="38"/>
      <c r="C1549" s="38"/>
      <c r="D1549" s="38"/>
      <c r="E1549" s="40"/>
    </row>
    <row r="1550" spans="1:5" ht="16.5" thickTop="1" thickBot="1" x14ac:dyDescent="0.3">
      <c r="A1550" s="38"/>
      <c r="B1550" s="38"/>
      <c r="C1550" s="38"/>
      <c r="D1550" s="38"/>
      <c r="E1550" s="40"/>
    </row>
    <row r="1551" spans="1:5" ht="16.5" thickTop="1" thickBot="1" x14ac:dyDescent="0.3">
      <c r="A1551" s="38"/>
      <c r="B1551" s="38"/>
      <c r="C1551" s="38"/>
      <c r="D1551" s="38"/>
      <c r="E1551" s="40"/>
    </row>
    <row r="1552" spans="1:5" ht="16.5" thickTop="1" thickBot="1" x14ac:dyDescent="0.3">
      <c r="A1552" s="38"/>
      <c r="B1552" s="38"/>
      <c r="C1552" s="38"/>
      <c r="D1552" s="38"/>
      <c r="E1552" s="40"/>
    </row>
    <row r="1553" spans="1:5" ht="16.5" thickTop="1" thickBot="1" x14ac:dyDescent="0.3">
      <c r="A1553" s="38"/>
      <c r="B1553" s="38"/>
      <c r="C1553" s="38"/>
      <c r="D1553" s="38"/>
      <c r="E1553" s="40"/>
    </row>
    <row r="1554" spans="1:5" ht="16.5" thickTop="1" thickBot="1" x14ac:dyDescent="0.3">
      <c r="A1554" s="38"/>
      <c r="B1554" s="38"/>
      <c r="C1554" s="38"/>
      <c r="D1554" s="38"/>
      <c r="E1554" s="40"/>
    </row>
    <row r="1555" spans="1:5" ht="16.5" thickTop="1" thickBot="1" x14ac:dyDescent="0.3">
      <c r="A1555" s="38"/>
      <c r="B1555" s="38"/>
      <c r="C1555" s="38"/>
      <c r="D1555" s="38"/>
      <c r="E1555" s="40"/>
    </row>
    <row r="1556" spans="1:5" ht="16.5" thickTop="1" thickBot="1" x14ac:dyDescent="0.3">
      <c r="A1556" s="38"/>
      <c r="B1556" s="38"/>
      <c r="C1556" s="38"/>
      <c r="D1556" s="38"/>
      <c r="E1556" s="40"/>
    </row>
    <row r="1557" spans="1:5" ht="16.5" thickTop="1" thickBot="1" x14ac:dyDescent="0.3">
      <c r="A1557" s="38"/>
      <c r="B1557" s="38"/>
      <c r="C1557" s="38"/>
      <c r="D1557" s="38"/>
      <c r="E1557" s="40"/>
    </row>
    <row r="1558" spans="1:5" ht="16.5" thickTop="1" thickBot="1" x14ac:dyDescent="0.3">
      <c r="A1558" s="38"/>
      <c r="B1558" s="38"/>
      <c r="C1558" s="38"/>
      <c r="D1558" s="38"/>
      <c r="E1558" s="40"/>
    </row>
    <row r="1559" spans="1:5" ht="16.5" thickTop="1" thickBot="1" x14ac:dyDescent="0.3">
      <c r="A1559" s="38"/>
      <c r="B1559" s="38"/>
      <c r="C1559" s="38"/>
      <c r="D1559" s="38"/>
      <c r="E1559" s="40"/>
    </row>
    <row r="1560" spans="1:5" ht="16.5" thickTop="1" thickBot="1" x14ac:dyDescent="0.3">
      <c r="A1560" s="38"/>
      <c r="B1560" s="38"/>
      <c r="C1560" s="38"/>
      <c r="D1560" s="38"/>
      <c r="E1560" s="40"/>
    </row>
    <row r="1561" spans="1:5" ht="16.5" thickTop="1" thickBot="1" x14ac:dyDescent="0.3">
      <c r="A1561" s="38"/>
      <c r="B1561" s="38"/>
      <c r="C1561" s="38"/>
      <c r="D1561" s="38"/>
      <c r="E1561" s="40"/>
    </row>
    <row r="1562" spans="1:5" ht="16.5" thickTop="1" thickBot="1" x14ac:dyDescent="0.3">
      <c r="A1562" s="38"/>
      <c r="B1562" s="38"/>
      <c r="C1562" s="38"/>
      <c r="D1562" s="38"/>
      <c r="E1562" s="40"/>
    </row>
    <row r="1563" spans="1:5" ht="16.5" thickTop="1" thickBot="1" x14ac:dyDescent="0.3">
      <c r="A1563" s="38"/>
      <c r="B1563" s="38"/>
      <c r="C1563" s="38"/>
      <c r="D1563" s="38"/>
      <c r="E1563" s="40"/>
    </row>
    <row r="1564" spans="1:5" ht="16.5" thickTop="1" thickBot="1" x14ac:dyDescent="0.3">
      <c r="A1564" s="38"/>
      <c r="B1564" s="38"/>
      <c r="C1564" s="38"/>
      <c r="D1564" s="38"/>
      <c r="E1564" s="40"/>
    </row>
    <row r="1565" spans="1:5" ht="16.5" thickTop="1" thickBot="1" x14ac:dyDescent="0.3">
      <c r="A1565" s="38"/>
      <c r="B1565" s="38"/>
      <c r="C1565" s="38"/>
      <c r="D1565" s="38"/>
      <c r="E1565" s="40"/>
    </row>
    <row r="1566" spans="1:5" ht="16.5" thickTop="1" thickBot="1" x14ac:dyDescent="0.3">
      <c r="A1566" s="38"/>
      <c r="B1566" s="38"/>
      <c r="C1566" s="38"/>
      <c r="D1566" s="38"/>
      <c r="E1566" s="40"/>
    </row>
    <row r="1567" spans="1:5" ht="16.5" thickTop="1" thickBot="1" x14ac:dyDescent="0.3">
      <c r="A1567" s="38"/>
      <c r="B1567" s="38"/>
      <c r="C1567" s="38"/>
      <c r="D1567" s="38"/>
      <c r="E1567" s="40"/>
    </row>
    <row r="1568" spans="1:5" ht="16.5" thickTop="1" thickBot="1" x14ac:dyDescent="0.3">
      <c r="A1568" s="38"/>
      <c r="B1568" s="38"/>
      <c r="C1568" s="38"/>
      <c r="D1568" s="38"/>
      <c r="E1568" s="40"/>
    </row>
    <row r="1569" spans="1:5" ht="16.5" thickTop="1" thickBot="1" x14ac:dyDescent="0.3">
      <c r="A1569" s="38"/>
      <c r="B1569" s="38"/>
      <c r="C1569" s="38"/>
      <c r="D1569" s="38"/>
      <c r="E1569" s="40"/>
    </row>
    <row r="1570" spans="1:5" ht="16.5" thickTop="1" thickBot="1" x14ac:dyDescent="0.3">
      <c r="A1570" s="38"/>
      <c r="B1570" s="38"/>
      <c r="C1570" s="38"/>
      <c r="D1570" s="38"/>
      <c r="E1570" s="40"/>
    </row>
    <row r="1571" spans="1:5" ht="16.5" thickTop="1" thickBot="1" x14ac:dyDescent="0.3">
      <c r="A1571" s="38"/>
      <c r="B1571" s="38"/>
      <c r="C1571" s="38"/>
      <c r="D1571" s="38"/>
      <c r="E1571" s="40"/>
    </row>
    <row r="1572" spans="1:5" ht="16.5" thickTop="1" thickBot="1" x14ac:dyDescent="0.3">
      <c r="A1572" s="38"/>
      <c r="B1572" s="38"/>
      <c r="C1572" s="38"/>
      <c r="D1572" s="38"/>
      <c r="E1572" s="40"/>
    </row>
    <row r="1573" spans="1:5" ht="16.5" thickTop="1" thickBot="1" x14ac:dyDescent="0.3">
      <c r="A1573" s="38"/>
      <c r="B1573" s="38"/>
      <c r="C1573" s="38"/>
      <c r="D1573" s="38"/>
      <c r="E1573" s="40"/>
    </row>
    <row r="1574" spans="1:5" ht="16.5" thickTop="1" thickBot="1" x14ac:dyDescent="0.3">
      <c r="A1574" s="38"/>
      <c r="B1574" s="38"/>
      <c r="C1574" s="38"/>
      <c r="D1574" s="38"/>
      <c r="E1574" s="40"/>
    </row>
    <row r="1575" spans="1:5" ht="16.5" thickTop="1" thickBot="1" x14ac:dyDescent="0.3">
      <c r="A1575" s="38"/>
      <c r="B1575" s="38"/>
      <c r="C1575" s="38"/>
      <c r="D1575" s="38"/>
      <c r="E1575" s="40"/>
    </row>
    <row r="1576" spans="1:5" ht="16.5" thickTop="1" thickBot="1" x14ac:dyDescent="0.3">
      <c r="A1576" s="38"/>
      <c r="B1576" s="38"/>
      <c r="C1576" s="38"/>
      <c r="D1576" s="38"/>
      <c r="E1576" s="40"/>
    </row>
    <row r="1577" spans="1:5" ht="16.5" thickTop="1" thickBot="1" x14ac:dyDescent="0.3">
      <c r="A1577" s="38"/>
      <c r="B1577" s="38"/>
      <c r="C1577" s="38"/>
      <c r="D1577" s="38"/>
      <c r="E1577" s="40"/>
    </row>
    <row r="1578" spans="1:5" ht="16.5" thickTop="1" thickBot="1" x14ac:dyDescent="0.3">
      <c r="A1578" s="38"/>
      <c r="B1578" s="38"/>
      <c r="C1578" s="38"/>
      <c r="D1578" s="38"/>
      <c r="E1578" s="40"/>
    </row>
    <row r="1579" spans="1:5" ht="16.5" thickTop="1" thickBot="1" x14ac:dyDescent="0.3">
      <c r="A1579" s="38"/>
      <c r="B1579" s="38"/>
      <c r="C1579" s="38"/>
      <c r="D1579" s="38"/>
      <c r="E1579" s="40"/>
    </row>
    <row r="1580" spans="1:5" ht="16.5" thickTop="1" thickBot="1" x14ac:dyDescent="0.3">
      <c r="A1580" s="38"/>
      <c r="B1580" s="38"/>
      <c r="C1580" s="38"/>
      <c r="D1580" s="38"/>
      <c r="E1580" s="40"/>
    </row>
    <row r="1581" spans="1:5" ht="16.5" thickTop="1" thickBot="1" x14ac:dyDescent="0.3">
      <c r="A1581" s="38"/>
      <c r="B1581" s="38"/>
      <c r="C1581" s="38"/>
      <c r="D1581" s="38"/>
      <c r="E1581" s="40"/>
    </row>
    <row r="1582" spans="1:5" ht="16.5" thickTop="1" thickBot="1" x14ac:dyDescent="0.3">
      <c r="A1582" s="38"/>
      <c r="B1582" s="38"/>
      <c r="C1582" s="38"/>
      <c r="D1582" s="38"/>
      <c r="E1582" s="40"/>
    </row>
    <row r="1583" spans="1:5" ht="16.5" thickTop="1" thickBot="1" x14ac:dyDescent="0.3">
      <c r="A1583" s="38"/>
      <c r="B1583" s="38"/>
      <c r="C1583" s="38"/>
      <c r="D1583" s="38"/>
      <c r="E1583" s="40"/>
    </row>
    <row r="1584" spans="1:5" ht="16.5" thickTop="1" thickBot="1" x14ac:dyDescent="0.3">
      <c r="A1584" s="38"/>
      <c r="B1584" s="38"/>
      <c r="C1584" s="38"/>
      <c r="D1584" s="38"/>
      <c r="E1584" s="40"/>
    </row>
    <row r="1585" spans="1:5" ht="16.5" thickTop="1" thickBot="1" x14ac:dyDescent="0.3">
      <c r="A1585" s="38"/>
      <c r="B1585" s="38"/>
      <c r="C1585" s="38"/>
      <c r="D1585" s="38"/>
      <c r="E1585" s="40"/>
    </row>
    <row r="1586" spans="1:5" ht="16.5" thickTop="1" thickBot="1" x14ac:dyDescent="0.3">
      <c r="A1586" s="38"/>
      <c r="B1586" s="38"/>
      <c r="C1586" s="38"/>
      <c r="D1586" s="38"/>
      <c r="E1586" s="40"/>
    </row>
    <row r="1587" spans="1:5" ht="16.5" thickTop="1" thickBot="1" x14ac:dyDescent="0.3">
      <c r="A1587" s="38"/>
      <c r="B1587" s="38"/>
      <c r="C1587" s="38"/>
      <c r="D1587" s="38"/>
      <c r="E1587" s="40"/>
    </row>
    <row r="1588" spans="1:5" ht="16.5" thickTop="1" thickBot="1" x14ac:dyDescent="0.3">
      <c r="A1588" s="38"/>
      <c r="B1588" s="38"/>
      <c r="C1588" s="38"/>
      <c r="D1588" s="38"/>
      <c r="E1588" s="40"/>
    </row>
    <row r="1589" spans="1:5" ht="16.5" thickTop="1" thickBot="1" x14ac:dyDescent="0.3">
      <c r="A1589" s="38"/>
      <c r="B1589" s="38"/>
      <c r="C1589" s="38"/>
      <c r="D1589" s="38"/>
      <c r="E1589" s="40"/>
    </row>
    <row r="1590" spans="1:5" ht="16.5" thickTop="1" thickBot="1" x14ac:dyDescent="0.3">
      <c r="A1590" s="38"/>
      <c r="B1590" s="38"/>
      <c r="C1590" s="38"/>
      <c r="D1590" s="38"/>
      <c r="E1590" s="40"/>
    </row>
    <row r="1591" spans="1:5" ht="16.5" thickTop="1" thickBot="1" x14ac:dyDescent="0.3">
      <c r="A1591" s="38"/>
      <c r="B1591" s="38"/>
      <c r="C1591" s="38"/>
      <c r="D1591" s="38"/>
      <c r="E1591" s="40"/>
    </row>
    <row r="1592" spans="1:5" ht="16.5" thickTop="1" thickBot="1" x14ac:dyDescent="0.3">
      <c r="A1592" s="38"/>
      <c r="B1592" s="38"/>
      <c r="C1592" s="38"/>
      <c r="D1592" s="38"/>
      <c r="E1592" s="40"/>
    </row>
    <row r="1593" spans="1:5" ht="16.5" thickTop="1" thickBot="1" x14ac:dyDescent="0.3">
      <c r="A1593" s="38"/>
      <c r="B1593" s="38"/>
      <c r="C1593" s="38"/>
      <c r="D1593" s="38"/>
      <c r="E1593" s="40"/>
    </row>
    <row r="1594" spans="1:5" ht="16.5" thickTop="1" thickBot="1" x14ac:dyDescent="0.3">
      <c r="A1594" s="38"/>
      <c r="B1594" s="38"/>
      <c r="C1594" s="38"/>
      <c r="D1594" s="38"/>
      <c r="E1594" s="40"/>
    </row>
    <row r="1595" spans="1:5" ht="16.5" thickTop="1" thickBot="1" x14ac:dyDescent="0.3">
      <c r="A1595" s="38"/>
      <c r="B1595" s="38"/>
      <c r="C1595" s="38"/>
      <c r="D1595" s="38"/>
      <c r="E1595" s="40"/>
    </row>
    <row r="1596" spans="1:5" ht="16.5" thickTop="1" thickBot="1" x14ac:dyDescent="0.3">
      <c r="A1596" s="38"/>
      <c r="B1596" s="38"/>
      <c r="C1596" s="38"/>
      <c r="D1596" s="38"/>
      <c r="E1596" s="40"/>
    </row>
    <row r="1597" spans="1:5" ht="16.5" thickTop="1" thickBot="1" x14ac:dyDescent="0.3">
      <c r="A1597" s="38"/>
      <c r="B1597" s="38"/>
      <c r="C1597" s="38"/>
      <c r="D1597" s="38"/>
      <c r="E1597" s="40"/>
    </row>
    <row r="1598" spans="1:5" ht="16.5" thickTop="1" thickBot="1" x14ac:dyDescent="0.3">
      <c r="A1598" s="38"/>
      <c r="B1598" s="38"/>
      <c r="C1598" s="38"/>
      <c r="D1598" s="38"/>
      <c r="E1598" s="40"/>
    </row>
    <row r="1599" spans="1:5" ht="16.5" thickTop="1" thickBot="1" x14ac:dyDescent="0.3">
      <c r="A1599" s="38"/>
      <c r="B1599" s="38"/>
      <c r="C1599" s="38"/>
      <c r="D1599" s="38"/>
      <c r="E1599" s="40"/>
    </row>
    <row r="1600" spans="1:5" ht="16.5" thickTop="1" thickBot="1" x14ac:dyDescent="0.3">
      <c r="A1600" s="38"/>
      <c r="B1600" s="38"/>
      <c r="C1600" s="38"/>
      <c r="D1600" s="38"/>
      <c r="E1600" s="40"/>
    </row>
    <row r="1601" spans="1:5" ht="16.5" thickTop="1" thickBot="1" x14ac:dyDescent="0.3">
      <c r="A1601" s="38"/>
      <c r="B1601" s="38"/>
      <c r="C1601" s="38"/>
      <c r="D1601" s="38"/>
      <c r="E1601" s="40"/>
    </row>
    <row r="1602" spans="1:5" ht="16.5" thickTop="1" thickBot="1" x14ac:dyDescent="0.3">
      <c r="A1602" s="38"/>
      <c r="B1602" s="38"/>
      <c r="C1602" s="38"/>
      <c r="D1602" s="38"/>
      <c r="E1602" s="40"/>
    </row>
    <row r="1603" spans="1:5" ht="16.5" thickTop="1" thickBot="1" x14ac:dyDescent="0.3">
      <c r="A1603" s="38"/>
      <c r="B1603" s="38"/>
      <c r="C1603" s="38"/>
      <c r="D1603" s="38"/>
      <c r="E1603" s="40"/>
    </row>
    <row r="1604" spans="1:5" ht="16.5" thickTop="1" thickBot="1" x14ac:dyDescent="0.3">
      <c r="A1604" s="38"/>
      <c r="B1604" s="38"/>
      <c r="C1604" s="38"/>
      <c r="D1604" s="38"/>
      <c r="E1604" s="40"/>
    </row>
    <row r="1605" spans="1:5" ht="16.5" thickTop="1" thickBot="1" x14ac:dyDescent="0.3">
      <c r="A1605" s="38"/>
      <c r="B1605" s="38"/>
      <c r="C1605" s="38"/>
      <c r="D1605" s="38"/>
      <c r="E1605" s="40"/>
    </row>
    <row r="1606" spans="1:5" ht="16.5" thickTop="1" thickBot="1" x14ac:dyDescent="0.3">
      <c r="A1606" s="38"/>
      <c r="B1606" s="38"/>
      <c r="C1606" s="38"/>
      <c r="D1606" s="38"/>
      <c r="E1606" s="40"/>
    </row>
    <row r="1607" spans="1:5" ht="16.5" thickTop="1" thickBot="1" x14ac:dyDescent="0.3">
      <c r="A1607" s="38"/>
      <c r="B1607" s="38"/>
      <c r="C1607" s="38"/>
      <c r="D1607" s="38"/>
      <c r="E1607" s="40"/>
    </row>
    <row r="1608" spans="1:5" ht="16.5" thickTop="1" thickBot="1" x14ac:dyDescent="0.3">
      <c r="A1608" s="38"/>
      <c r="B1608" s="38"/>
      <c r="C1608" s="38"/>
      <c r="D1608" s="38"/>
      <c r="E1608" s="40"/>
    </row>
    <row r="1609" spans="1:5" ht="16.5" thickTop="1" thickBot="1" x14ac:dyDescent="0.3">
      <c r="A1609" s="38"/>
      <c r="B1609" s="38"/>
      <c r="C1609" s="38"/>
      <c r="D1609" s="38"/>
      <c r="E1609" s="40"/>
    </row>
    <row r="1610" spans="1:5" ht="16.5" thickTop="1" thickBot="1" x14ac:dyDescent="0.3">
      <c r="A1610" s="38"/>
      <c r="B1610" s="38"/>
      <c r="C1610" s="38"/>
      <c r="D1610" s="38"/>
      <c r="E1610" s="40"/>
    </row>
    <row r="1611" spans="1:5" ht="16.5" thickTop="1" thickBot="1" x14ac:dyDescent="0.3">
      <c r="A1611" s="38"/>
      <c r="B1611" s="38"/>
      <c r="C1611" s="38"/>
      <c r="D1611" s="38"/>
      <c r="E1611" s="40"/>
    </row>
    <row r="1612" spans="1:5" ht="16.5" thickTop="1" thickBot="1" x14ac:dyDescent="0.3">
      <c r="A1612" s="38"/>
      <c r="B1612" s="38"/>
      <c r="C1612" s="38"/>
      <c r="D1612" s="38"/>
      <c r="E1612" s="40"/>
    </row>
    <row r="1613" spans="1:5" ht="16.5" thickTop="1" thickBot="1" x14ac:dyDescent="0.3">
      <c r="A1613" s="38"/>
      <c r="B1613" s="38"/>
      <c r="C1613" s="38"/>
      <c r="D1613" s="38"/>
      <c r="E1613" s="40"/>
    </row>
    <row r="1614" spans="1:5" ht="16.5" thickTop="1" thickBot="1" x14ac:dyDescent="0.3">
      <c r="A1614" s="38"/>
      <c r="B1614" s="38"/>
      <c r="C1614" s="38"/>
      <c r="D1614" s="38"/>
      <c r="E1614" s="40"/>
    </row>
    <row r="1615" spans="1:5" ht="16.5" thickTop="1" thickBot="1" x14ac:dyDescent="0.3">
      <c r="A1615" s="38"/>
      <c r="B1615" s="38"/>
      <c r="C1615" s="38"/>
      <c r="D1615" s="38"/>
      <c r="E1615" s="40"/>
    </row>
    <row r="1616" spans="1:5" ht="16.5" thickTop="1" thickBot="1" x14ac:dyDescent="0.3">
      <c r="A1616" s="38"/>
      <c r="B1616" s="38"/>
      <c r="C1616" s="38"/>
      <c r="D1616" s="38"/>
      <c r="E1616" s="40"/>
    </row>
    <row r="1617" spans="1:5" ht="16.5" thickTop="1" thickBot="1" x14ac:dyDescent="0.3">
      <c r="A1617" s="38"/>
      <c r="B1617" s="38"/>
      <c r="C1617" s="38"/>
      <c r="D1617" s="38"/>
      <c r="E1617" s="40"/>
    </row>
    <row r="1618" spans="1:5" ht="16.5" thickTop="1" thickBot="1" x14ac:dyDescent="0.3">
      <c r="A1618" s="38"/>
      <c r="B1618" s="38"/>
      <c r="C1618" s="38"/>
      <c r="D1618" s="38"/>
      <c r="E1618" s="40"/>
    </row>
    <row r="1619" spans="1:5" ht="16.5" thickTop="1" thickBot="1" x14ac:dyDescent="0.3">
      <c r="A1619" s="38"/>
      <c r="B1619" s="38"/>
      <c r="C1619" s="38"/>
      <c r="D1619" s="38"/>
      <c r="E1619" s="40"/>
    </row>
    <row r="1620" spans="1:5" ht="16.5" thickTop="1" thickBot="1" x14ac:dyDescent="0.3">
      <c r="A1620" s="38"/>
      <c r="B1620" s="38"/>
      <c r="C1620" s="38"/>
      <c r="D1620" s="38"/>
      <c r="E1620" s="40"/>
    </row>
    <row r="1621" spans="1:5" ht="16.5" thickTop="1" thickBot="1" x14ac:dyDescent="0.3">
      <c r="A1621" s="38"/>
      <c r="B1621" s="38"/>
      <c r="C1621" s="38"/>
      <c r="D1621" s="38"/>
      <c r="E1621" s="40"/>
    </row>
    <row r="1622" spans="1:5" ht="16.5" thickTop="1" thickBot="1" x14ac:dyDescent="0.3">
      <c r="A1622" s="38"/>
      <c r="B1622" s="38"/>
      <c r="C1622" s="38"/>
      <c r="D1622" s="38"/>
      <c r="E1622" s="40"/>
    </row>
    <row r="1623" spans="1:5" ht="16.5" thickTop="1" thickBot="1" x14ac:dyDescent="0.3">
      <c r="A1623" s="38"/>
      <c r="B1623" s="38"/>
      <c r="C1623" s="38"/>
      <c r="D1623" s="38"/>
      <c r="E1623" s="40"/>
    </row>
    <row r="1624" spans="1:5" ht="16.5" thickTop="1" thickBot="1" x14ac:dyDescent="0.3">
      <c r="A1624" s="38"/>
      <c r="B1624" s="38"/>
      <c r="C1624" s="38"/>
      <c r="D1624" s="38"/>
      <c r="E1624" s="40"/>
    </row>
    <row r="1625" spans="1:5" ht="16.5" thickTop="1" thickBot="1" x14ac:dyDescent="0.3">
      <c r="A1625" s="38"/>
      <c r="B1625" s="38"/>
      <c r="C1625" s="38"/>
      <c r="D1625" s="38"/>
      <c r="E1625" s="40"/>
    </row>
    <row r="1626" spans="1:5" ht="16.5" thickTop="1" thickBot="1" x14ac:dyDescent="0.3">
      <c r="A1626" s="38"/>
      <c r="B1626" s="38"/>
      <c r="C1626" s="38"/>
      <c r="D1626" s="38"/>
      <c r="E1626" s="40"/>
    </row>
    <row r="1627" spans="1:5" ht="16.5" thickTop="1" thickBot="1" x14ac:dyDescent="0.3">
      <c r="A1627" s="38"/>
      <c r="B1627" s="38"/>
      <c r="C1627" s="38"/>
      <c r="D1627" s="38"/>
      <c r="E1627" s="40"/>
    </row>
    <row r="1628" spans="1:5" ht="16.5" thickTop="1" thickBot="1" x14ac:dyDescent="0.3">
      <c r="A1628" s="38"/>
      <c r="B1628" s="38"/>
      <c r="C1628" s="38"/>
      <c r="D1628" s="38"/>
      <c r="E1628" s="40"/>
    </row>
    <row r="1629" spans="1:5" ht="16.5" thickTop="1" thickBot="1" x14ac:dyDescent="0.3">
      <c r="A1629" s="38"/>
      <c r="B1629" s="38"/>
      <c r="C1629" s="38"/>
      <c r="D1629" s="38"/>
      <c r="E1629" s="40"/>
    </row>
    <row r="1630" spans="1:5" ht="16.5" thickTop="1" thickBot="1" x14ac:dyDescent="0.3">
      <c r="A1630" s="38"/>
      <c r="B1630" s="38"/>
      <c r="C1630" s="38"/>
      <c r="D1630" s="38"/>
      <c r="E1630" s="40"/>
    </row>
    <row r="1631" spans="1:5" ht="16.5" thickTop="1" thickBot="1" x14ac:dyDescent="0.3">
      <c r="A1631" s="38"/>
      <c r="B1631" s="38"/>
      <c r="C1631" s="38"/>
      <c r="D1631" s="38"/>
      <c r="E1631" s="40"/>
    </row>
    <row r="1632" spans="1:5" ht="16.5" thickTop="1" thickBot="1" x14ac:dyDescent="0.3">
      <c r="A1632" s="38"/>
      <c r="B1632" s="38"/>
      <c r="C1632" s="38"/>
      <c r="D1632" s="38"/>
      <c r="E1632" s="40"/>
    </row>
    <row r="1633" spans="1:5" ht="16.5" thickTop="1" thickBot="1" x14ac:dyDescent="0.3">
      <c r="A1633" s="38"/>
      <c r="B1633" s="38"/>
      <c r="C1633" s="38"/>
      <c r="D1633" s="38"/>
      <c r="E1633" s="40"/>
    </row>
    <row r="1634" spans="1:5" ht="16.5" thickTop="1" thickBot="1" x14ac:dyDescent="0.3">
      <c r="A1634" s="38"/>
      <c r="B1634" s="38"/>
      <c r="C1634" s="38"/>
      <c r="D1634" s="38"/>
      <c r="E1634" s="40"/>
    </row>
    <row r="1635" spans="1:5" ht="16.5" thickTop="1" thickBot="1" x14ac:dyDescent="0.3">
      <c r="A1635" s="38"/>
      <c r="B1635" s="38"/>
      <c r="C1635" s="38"/>
      <c r="D1635" s="38"/>
      <c r="E1635" s="40"/>
    </row>
    <row r="1636" spans="1:5" ht="16.5" thickTop="1" thickBot="1" x14ac:dyDescent="0.3">
      <c r="A1636" s="38"/>
      <c r="B1636" s="38"/>
      <c r="C1636" s="38"/>
      <c r="D1636" s="38"/>
      <c r="E1636" s="40"/>
    </row>
    <row r="1637" spans="1:5" ht="16.5" thickTop="1" thickBot="1" x14ac:dyDescent="0.3">
      <c r="A1637" s="38"/>
      <c r="B1637" s="38"/>
      <c r="C1637" s="38"/>
      <c r="D1637" s="38"/>
      <c r="E1637" s="40"/>
    </row>
    <row r="1638" spans="1:5" ht="16.5" thickTop="1" thickBot="1" x14ac:dyDescent="0.3">
      <c r="A1638" s="38"/>
      <c r="B1638" s="38"/>
      <c r="C1638" s="38"/>
      <c r="D1638" s="38"/>
      <c r="E1638" s="40"/>
    </row>
    <row r="1639" spans="1:5" ht="16.5" thickTop="1" thickBot="1" x14ac:dyDescent="0.3">
      <c r="A1639" s="38"/>
      <c r="B1639" s="38"/>
      <c r="C1639" s="38"/>
      <c r="D1639" s="38"/>
      <c r="E1639" s="40"/>
    </row>
    <row r="1640" spans="1:5" ht="16.5" thickTop="1" thickBot="1" x14ac:dyDescent="0.3">
      <c r="A1640" s="38"/>
      <c r="B1640" s="38"/>
      <c r="C1640" s="38"/>
      <c r="D1640" s="38"/>
      <c r="E1640" s="40"/>
    </row>
    <row r="1641" spans="1:5" ht="16.5" thickTop="1" thickBot="1" x14ac:dyDescent="0.3">
      <c r="A1641" s="38"/>
      <c r="B1641" s="38"/>
      <c r="C1641" s="38"/>
      <c r="D1641" s="38"/>
      <c r="E1641" s="40"/>
    </row>
    <row r="1642" spans="1:5" ht="16.5" thickTop="1" thickBot="1" x14ac:dyDescent="0.3">
      <c r="A1642" s="38"/>
      <c r="B1642" s="38"/>
      <c r="C1642" s="38"/>
      <c r="D1642" s="38"/>
      <c r="E1642" s="40"/>
    </row>
    <row r="1643" spans="1:5" ht="16.5" thickTop="1" thickBot="1" x14ac:dyDescent="0.3">
      <c r="A1643" s="38"/>
      <c r="B1643" s="38"/>
      <c r="C1643" s="38"/>
      <c r="D1643" s="38"/>
      <c r="E1643" s="40"/>
    </row>
    <row r="1644" spans="1:5" ht="16.5" thickTop="1" thickBot="1" x14ac:dyDescent="0.3">
      <c r="A1644" s="38"/>
      <c r="B1644" s="38"/>
      <c r="C1644" s="38"/>
      <c r="D1644" s="38"/>
      <c r="E1644" s="40"/>
    </row>
    <row r="1645" spans="1:5" ht="16.5" thickTop="1" thickBot="1" x14ac:dyDescent="0.3">
      <c r="A1645" s="38"/>
      <c r="B1645" s="38"/>
      <c r="C1645" s="38"/>
      <c r="D1645" s="38"/>
      <c r="E1645" s="40"/>
    </row>
    <row r="1646" spans="1:5" ht="16.5" thickTop="1" thickBot="1" x14ac:dyDescent="0.3">
      <c r="A1646" s="38"/>
      <c r="B1646" s="38"/>
      <c r="C1646" s="38"/>
      <c r="D1646" s="38"/>
      <c r="E1646" s="40"/>
    </row>
    <row r="1647" spans="1:5" ht="16.5" thickTop="1" thickBot="1" x14ac:dyDescent="0.3">
      <c r="A1647" s="38"/>
      <c r="B1647" s="38"/>
      <c r="C1647" s="38"/>
      <c r="D1647" s="38"/>
      <c r="E1647" s="40"/>
    </row>
    <row r="1648" spans="1:5" ht="16.5" thickTop="1" thickBot="1" x14ac:dyDescent="0.3">
      <c r="A1648" s="38"/>
      <c r="B1648" s="38"/>
      <c r="C1648" s="38"/>
      <c r="D1648" s="38"/>
      <c r="E1648" s="40"/>
    </row>
    <row r="1649" spans="1:5" ht="16.5" thickTop="1" thickBot="1" x14ac:dyDescent="0.3">
      <c r="A1649" s="38"/>
      <c r="B1649" s="38"/>
      <c r="C1649" s="38"/>
      <c r="D1649" s="38"/>
      <c r="E1649" s="40"/>
    </row>
    <row r="1650" spans="1:5" ht="16.5" thickTop="1" thickBot="1" x14ac:dyDescent="0.3">
      <c r="A1650" s="38"/>
      <c r="B1650" s="38"/>
      <c r="C1650" s="38"/>
      <c r="D1650" s="38"/>
      <c r="E1650" s="40"/>
    </row>
    <row r="1651" spans="1:5" ht="16.5" thickTop="1" thickBot="1" x14ac:dyDescent="0.3">
      <c r="A1651" s="38"/>
      <c r="B1651" s="38"/>
      <c r="C1651" s="38"/>
      <c r="D1651" s="38"/>
      <c r="E1651" s="40"/>
    </row>
    <row r="1652" spans="1:5" ht="16.5" thickTop="1" thickBot="1" x14ac:dyDescent="0.3">
      <c r="A1652" s="38"/>
      <c r="B1652" s="38"/>
      <c r="C1652" s="38"/>
      <c r="D1652" s="38"/>
      <c r="E1652" s="40"/>
    </row>
    <row r="1653" spans="1:5" ht="16.5" thickTop="1" thickBot="1" x14ac:dyDescent="0.3">
      <c r="A1653" s="38"/>
      <c r="B1653" s="38"/>
      <c r="C1653" s="38"/>
      <c r="D1653" s="38"/>
      <c r="E1653" s="40"/>
    </row>
    <row r="1654" spans="1:5" ht="16.5" thickTop="1" thickBot="1" x14ac:dyDescent="0.3">
      <c r="A1654" s="38"/>
      <c r="B1654" s="38"/>
      <c r="C1654" s="38"/>
      <c r="D1654" s="38"/>
      <c r="E1654" s="40"/>
    </row>
    <row r="1655" spans="1:5" ht="16.5" thickTop="1" thickBot="1" x14ac:dyDescent="0.3">
      <c r="A1655" s="38"/>
      <c r="B1655" s="38"/>
      <c r="C1655" s="38"/>
      <c r="D1655" s="38"/>
      <c r="E1655" s="40"/>
    </row>
    <row r="1656" spans="1:5" ht="16.5" thickTop="1" thickBot="1" x14ac:dyDescent="0.3">
      <c r="A1656" s="38"/>
      <c r="B1656" s="38"/>
      <c r="C1656" s="38"/>
      <c r="D1656" s="38"/>
      <c r="E1656" s="40"/>
    </row>
    <row r="1657" spans="1:5" ht="16.5" thickTop="1" thickBot="1" x14ac:dyDescent="0.3">
      <c r="A1657" s="38"/>
      <c r="B1657" s="38"/>
      <c r="C1657" s="38"/>
      <c r="D1657" s="38"/>
      <c r="E1657" s="40"/>
    </row>
    <row r="1658" spans="1:5" ht="16.5" thickTop="1" thickBot="1" x14ac:dyDescent="0.3">
      <c r="A1658" s="38"/>
      <c r="B1658" s="38"/>
      <c r="C1658" s="38"/>
      <c r="D1658" s="38"/>
      <c r="E1658" s="40"/>
    </row>
    <row r="1659" spans="1:5" ht="16.5" thickTop="1" thickBot="1" x14ac:dyDescent="0.3">
      <c r="A1659" s="38"/>
      <c r="B1659" s="38"/>
      <c r="C1659" s="38"/>
      <c r="D1659" s="38"/>
      <c r="E1659" s="40"/>
    </row>
    <row r="1660" spans="1:5" ht="16.5" thickTop="1" thickBot="1" x14ac:dyDescent="0.3">
      <c r="A1660" s="38"/>
      <c r="B1660" s="38"/>
      <c r="C1660" s="38"/>
      <c r="D1660" s="38"/>
      <c r="E1660" s="40"/>
    </row>
    <row r="1661" spans="1:5" ht="16.5" thickTop="1" thickBot="1" x14ac:dyDescent="0.3">
      <c r="A1661" s="38"/>
      <c r="B1661" s="38"/>
      <c r="C1661" s="38"/>
      <c r="D1661" s="38"/>
      <c r="E1661" s="40"/>
    </row>
    <row r="1662" spans="1:5" ht="16.5" thickTop="1" thickBot="1" x14ac:dyDescent="0.3">
      <c r="A1662" s="38"/>
      <c r="B1662" s="38"/>
      <c r="C1662" s="38"/>
      <c r="D1662" s="38"/>
      <c r="E1662" s="40"/>
    </row>
    <row r="1663" spans="1:5" ht="16.5" thickTop="1" thickBot="1" x14ac:dyDescent="0.3">
      <c r="A1663" s="38"/>
      <c r="B1663" s="38"/>
      <c r="C1663" s="38"/>
      <c r="D1663" s="38"/>
      <c r="E1663" s="40"/>
    </row>
    <row r="1664" spans="1:5" ht="16.5" thickTop="1" thickBot="1" x14ac:dyDescent="0.3">
      <c r="A1664" s="38"/>
      <c r="B1664" s="38"/>
      <c r="C1664" s="38"/>
      <c r="D1664" s="38"/>
      <c r="E1664" s="40"/>
    </row>
    <row r="1665" spans="1:5" ht="16.5" thickTop="1" thickBot="1" x14ac:dyDescent="0.3">
      <c r="A1665" s="38"/>
      <c r="B1665" s="38"/>
      <c r="C1665" s="38"/>
      <c r="D1665" s="38"/>
      <c r="E1665" s="40"/>
    </row>
    <row r="1666" spans="1:5" ht="16.5" thickTop="1" thickBot="1" x14ac:dyDescent="0.3">
      <c r="A1666" s="38"/>
      <c r="B1666" s="38"/>
      <c r="C1666" s="38"/>
      <c r="D1666" s="38"/>
      <c r="E1666" s="40"/>
    </row>
    <row r="1667" spans="1:5" ht="16.5" thickTop="1" thickBot="1" x14ac:dyDescent="0.3">
      <c r="A1667" s="38"/>
      <c r="B1667" s="38"/>
      <c r="C1667" s="38"/>
      <c r="D1667" s="38"/>
      <c r="E1667" s="40"/>
    </row>
    <row r="1668" spans="1:5" ht="16.5" thickTop="1" thickBot="1" x14ac:dyDescent="0.3">
      <c r="A1668" s="38"/>
      <c r="B1668" s="38"/>
      <c r="C1668" s="38"/>
      <c r="D1668" s="38"/>
      <c r="E1668" s="40"/>
    </row>
    <row r="1669" spans="1:5" ht="16.5" thickTop="1" thickBot="1" x14ac:dyDescent="0.3">
      <c r="A1669" s="38"/>
      <c r="B1669" s="38"/>
      <c r="C1669" s="38"/>
      <c r="D1669" s="38"/>
      <c r="E1669" s="40"/>
    </row>
    <row r="1670" spans="1:5" ht="16.5" thickTop="1" thickBot="1" x14ac:dyDescent="0.3">
      <c r="A1670" s="38"/>
      <c r="B1670" s="38"/>
      <c r="C1670" s="38"/>
      <c r="D1670" s="38"/>
      <c r="E1670" s="40"/>
    </row>
    <row r="1671" spans="1:5" ht="16.5" thickTop="1" thickBot="1" x14ac:dyDescent="0.3">
      <c r="A1671" s="38"/>
      <c r="B1671" s="38"/>
      <c r="C1671" s="38"/>
      <c r="D1671" s="38"/>
      <c r="E1671" s="40"/>
    </row>
    <row r="1672" spans="1:5" ht="16.5" thickTop="1" thickBot="1" x14ac:dyDescent="0.3">
      <c r="A1672" s="38"/>
      <c r="B1672" s="38"/>
      <c r="C1672" s="38"/>
      <c r="D1672" s="38"/>
      <c r="E1672" s="40"/>
    </row>
    <row r="1673" spans="1:5" ht="16.5" thickTop="1" thickBot="1" x14ac:dyDescent="0.3">
      <c r="A1673" s="38"/>
      <c r="B1673" s="38"/>
      <c r="C1673" s="38"/>
      <c r="D1673" s="38"/>
      <c r="E1673" s="40"/>
    </row>
    <row r="1674" spans="1:5" ht="16.5" thickTop="1" thickBot="1" x14ac:dyDescent="0.3">
      <c r="A1674" s="38"/>
      <c r="B1674" s="38"/>
      <c r="C1674" s="38"/>
      <c r="D1674" s="38"/>
      <c r="E1674" s="40"/>
    </row>
    <row r="1675" spans="1:5" ht="16.5" thickTop="1" thickBot="1" x14ac:dyDescent="0.3">
      <c r="A1675" s="38"/>
      <c r="B1675" s="38"/>
      <c r="C1675" s="38"/>
      <c r="D1675" s="38"/>
      <c r="E1675" s="40"/>
    </row>
    <row r="1676" spans="1:5" ht="16.5" thickTop="1" thickBot="1" x14ac:dyDescent="0.3">
      <c r="A1676" s="38"/>
      <c r="B1676" s="38"/>
      <c r="C1676" s="38"/>
      <c r="D1676" s="38"/>
      <c r="E1676" s="40"/>
    </row>
    <row r="1677" spans="1:5" ht="16.5" thickTop="1" thickBot="1" x14ac:dyDescent="0.3">
      <c r="A1677" s="38"/>
      <c r="B1677" s="38"/>
      <c r="C1677" s="38"/>
      <c r="D1677" s="38"/>
      <c r="E1677" s="40"/>
    </row>
    <row r="1678" spans="1:5" ht="16.5" thickTop="1" thickBot="1" x14ac:dyDescent="0.3">
      <c r="A1678" s="38"/>
      <c r="B1678" s="38"/>
      <c r="C1678" s="38"/>
      <c r="D1678" s="38"/>
      <c r="E1678" s="40"/>
    </row>
    <row r="1679" spans="1:5" ht="16.5" thickTop="1" thickBot="1" x14ac:dyDescent="0.3">
      <c r="A1679" s="38"/>
      <c r="B1679" s="38"/>
      <c r="C1679" s="38"/>
      <c r="D1679" s="38"/>
      <c r="E1679" s="40"/>
    </row>
    <row r="1680" spans="1:5" ht="16.5" thickTop="1" thickBot="1" x14ac:dyDescent="0.3">
      <c r="A1680" s="38"/>
      <c r="B1680" s="38"/>
      <c r="C1680" s="38"/>
      <c r="D1680" s="38"/>
      <c r="E1680" s="40"/>
    </row>
    <row r="1681" spans="1:5" ht="16.5" thickTop="1" thickBot="1" x14ac:dyDescent="0.3">
      <c r="A1681" s="38"/>
      <c r="B1681" s="38"/>
      <c r="C1681" s="38"/>
      <c r="D1681" s="38"/>
      <c r="E1681" s="40"/>
    </row>
    <row r="1682" spans="1:5" ht="16.5" thickTop="1" thickBot="1" x14ac:dyDescent="0.3">
      <c r="A1682" s="38"/>
      <c r="B1682" s="38"/>
      <c r="C1682" s="38"/>
      <c r="D1682" s="38"/>
      <c r="E1682" s="40"/>
    </row>
    <row r="1683" spans="1:5" ht="16.5" thickTop="1" thickBot="1" x14ac:dyDescent="0.3">
      <c r="A1683" s="38"/>
      <c r="B1683" s="38"/>
      <c r="C1683" s="38"/>
      <c r="D1683" s="38"/>
      <c r="E1683" s="40"/>
    </row>
    <row r="1684" spans="1:5" ht="16.5" thickTop="1" thickBot="1" x14ac:dyDescent="0.3">
      <c r="A1684" s="38"/>
      <c r="B1684" s="38"/>
      <c r="C1684" s="38"/>
      <c r="D1684" s="38"/>
      <c r="E1684" s="40"/>
    </row>
    <row r="1685" spans="1:5" ht="16.5" thickTop="1" thickBot="1" x14ac:dyDescent="0.3">
      <c r="A1685" s="38"/>
      <c r="B1685" s="38"/>
      <c r="C1685" s="38"/>
      <c r="D1685" s="38"/>
      <c r="E1685" s="40"/>
    </row>
    <row r="1686" spans="1:5" ht="16.5" thickTop="1" thickBot="1" x14ac:dyDescent="0.3">
      <c r="A1686" s="38"/>
      <c r="B1686" s="38"/>
      <c r="C1686" s="38"/>
      <c r="D1686" s="38"/>
      <c r="E1686" s="40"/>
    </row>
    <row r="1687" spans="1:5" ht="16.5" thickTop="1" thickBot="1" x14ac:dyDescent="0.3">
      <c r="A1687" s="38"/>
      <c r="B1687" s="38"/>
      <c r="C1687" s="38"/>
      <c r="D1687" s="38"/>
      <c r="E1687" s="40"/>
    </row>
    <row r="1688" spans="1:5" ht="16.5" thickTop="1" thickBot="1" x14ac:dyDescent="0.3">
      <c r="A1688" s="38"/>
      <c r="B1688" s="38"/>
      <c r="C1688" s="38"/>
      <c r="D1688" s="38"/>
      <c r="E1688" s="40"/>
    </row>
    <row r="1689" spans="1:5" ht="16.5" thickTop="1" thickBot="1" x14ac:dyDescent="0.3">
      <c r="A1689" s="38"/>
      <c r="B1689" s="38"/>
      <c r="C1689" s="38"/>
      <c r="D1689" s="38"/>
      <c r="E1689" s="40"/>
    </row>
    <row r="1690" spans="1:5" ht="16.5" thickTop="1" thickBot="1" x14ac:dyDescent="0.3">
      <c r="A1690" s="38"/>
      <c r="B1690" s="38"/>
      <c r="C1690" s="38"/>
      <c r="D1690" s="38"/>
      <c r="E1690" s="40"/>
    </row>
    <row r="1691" spans="1:5" ht="16.5" thickTop="1" thickBot="1" x14ac:dyDescent="0.3">
      <c r="A1691" s="38"/>
      <c r="B1691" s="38"/>
      <c r="C1691" s="38"/>
      <c r="D1691" s="38"/>
      <c r="E1691" s="40"/>
    </row>
    <row r="1692" spans="1:5" ht="16.5" thickTop="1" thickBot="1" x14ac:dyDescent="0.3">
      <c r="A1692" s="38"/>
      <c r="B1692" s="38"/>
      <c r="C1692" s="38"/>
      <c r="D1692" s="38"/>
      <c r="E1692" s="40"/>
    </row>
    <row r="1693" spans="1:5" ht="16.5" thickTop="1" thickBot="1" x14ac:dyDescent="0.3">
      <c r="A1693" s="38"/>
      <c r="B1693" s="38"/>
      <c r="C1693" s="38"/>
      <c r="D1693" s="38"/>
      <c r="E1693" s="40"/>
    </row>
    <row r="1694" spans="1:5" ht="16.5" thickTop="1" thickBot="1" x14ac:dyDescent="0.3">
      <c r="A1694" s="38"/>
      <c r="B1694" s="38"/>
      <c r="C1694" s="38"/>
      <c r="D1694" s="38"/>
      <c r="E1694" s="40"/>
    </row>
    <row r="1695" spans="1:5" ht="16.5" thickTop="1" thickBot="1" x14ac:dyDescent="0.3">
      <c r="A1695" s="38"/>
      <c r="B1695" s="38"/>
      <c r="C1695" s="38"/>
      <c r="D1695" s="38"/>
      <c r="E1695" s="40"/>
    </row>
    <row r="1696" spans="1:5" ht="16.5" thickTop="1" thickBot="1" x14ac:dyDescent="0.3">
      <c r="A1696" s="38"/>
      <c r="B1696" s="38"/>
      <c r="C1696" s="38"/>
      <c r="D1696" s="38"/>
      <c r="E1696" s="40"/>
    </row>
    <row r="1697" spans="1:5" ht="16.5" thickTop="1" thickBot="1" x14ac:dyDescent="0.3">
      <c r="A1697" s="38"/>
      <c r="B1697" s="38"/>
      <c r="C1697" s="38"/>
      <c r="D1697" s="38"/>
      <c r="E1697" s="40"/>
    </row>
    <row r="1698" spans="1:5" ht="16.5" thickTop="1" thickBot="1" x14ac:dyDescent="0.3">
      <c r="A1698" s="38"/>
      <c r="B1698" s="38"/>
      <c r="C1698" s="38"/>
      <c r="D1698" s="38"/>
      <c r="E1698" s="40"/>
    </row>
    <row r="1699" spans="1:5" ht="16.5" thickTop="1" thickBot="1" x14ac:dyDescent="0.3">
      <c r="A1699" s="38"/>
      <c r="B1699" s="38"/>
      <c r="C1699" s="38"/>
      <c r="D1699" s="38"/>
      <c r="E1699" s="40"/>
    </row>
    <row r="1700" spans="1:5" ht="16.5" thickTop="1" thickBot="1" x14ac:dyDescent="0.3">
      <c r="A1700" s="38"/>
      <c r="B1700" s="38"/>
      <c r="C1700" s="38"/>
      <c r="D1700" s="38"/>
      <c r="E1700" s="40"/>
    </row>
    <row r="1701" spans="1:5" ht="16.5" thickTop="1" thickBot="1" x14ac:dyDescent="0.3">
      <c r="A1701" s="38"/>
      <c r="B1701" s="38"/>
      <c r="C1701" s="38"/>
      <c r="D1701" s="38"/>
      <c r="E1701" s="40"/>
    </row>
    <row r="1702" spans="1:5" ht="16.5" thickTop="1" thickBot="1" x14ac:dyDescent="0.3">
      <c r="A1702" s="38"/>
      <c r="B1702" s="38"/>
      <c r="C1702" s="38"/>
      <c r="D1702" s="38"/>
      <c r="E1702" s="40"/>
    </row>
    <row r="1703" spans="1:5" ht="16.5" thickTop="1" thickBot="1" x14ac:dyDescent="0.3">
      <c r="A1703" s="38"/>
      <c r="B1703" s="38"/>
      <c r="C1703" s="38"/>
      <c r="D1703" s="38"/>
      <c r="E1703" s="40"/>
    </row>
    <row r="1704" spans="1:5" ht="16.5" thickTop="1" thickBot="1" x14ac:dyDescent="0.3">
      <c r="A1704" s="38"/>
      <c r="B1704" s="38"/>
      <c r="C1704" s="38"/>
      <c r="D1704" s="38"/>
      <c r="E1704" s="40"/>
    </row>
    <row r="1705" spans="1:5" ht="16.5" thickTop="1" thickBot="1" x14ac:dyDescent="0.3">
      <c r="A1705" s="38"/>
      <c r="B1705" s="38"/>
      <c r="C1705" s="38"/>
      <c r="D1705" s="38"/>
      <c r="E1705" s="40"/>
    </row>
    <row r="1706" spans="1:5" ht="16.5" thickTop="1" thickBot="1" x14ac:dyDescent="0.3">
      <c r="A1706" s="38"/>
      <c r="B1706" s="38"/>
      <c r="C1706" s="38"/>
      <c r="D1706" s="38"/>
      <c r="E1706" s="40"/>
    </row>
    <row r="1707" spans="1:5" ht="16.5" thickTop="1" thickBot="1" x14ac:dyDescent="0.3">
      <c r="A1707" s="38"/>
      <c r="B1707" s="38"/>
      <c r="C1707" s="38"/>
      <c r="D1707" s="38"/>
      <c r="E1707" s="40"/>
    </row>
    <row r="1708" spans="1:5" ht="16.5" thickTop="1" thickBot="1" x14ac:dyDescent="0.3">
      <c r="A1708" s="38"/>
      <c r="B1708" s="38"/>
      <c r="C1708" s="38"/>
      <c r="D1708" s="38"/>
      <c r="E1708" s="40"/>
    </row>
    <row r="1709" spans="1:5" ht="16.5" thickTop="1" thickBot="1" x14ac:dyDescent="0.3">
      <c r="A1709" s="38"/>
      <c r="B1709" s="38"/>
      <c r="C1709" s="38"/>
      <c r="D1709" s="38"/>
      <c r="E1709" s="40"/>
    </row>
    <row r="1710" spans="1:5" ht="16.5" thickTop="1" thickBot="1" x14ac:dyDescent="0.3">
      <c r="A1710" s="38"/>
      <c r="B1710" s="38"/>
      <c r="C1710" s="38"/>
      <c r="D1710" s="38"/>
      <c r="E1710" s="40"/>
    </row>
    <row r="1711" spans="1:5" ht="16.5" thickTop="1" thickBot="1" x14ac:dyDescent="0.3">
      <c r="A1711" s="38"/>
      <c r="B1711" s="38"/>
      <c r="C1711" s="38"/>
      <c r="D1711" s="38"/>
      <c r="E1711" s="40"/>
    </row>
    <row r="1712" spans="1:5" ht="16.5" thickTop="1" thickBot="1" x14ac:dyDescent="0.3">
      <c r="A1712" s="38"/>
      <c r="B1712" s="38"/>
      <c r="C1712" s="38"/>
      <c r="D1712" s="38"/>
      <c r="E1712" s="40"/>
    </row>
    <row r="1713" spans="1:5" ht="16.5" thickTop="1" thickBot="1" x14ac:dyDescent="0.3">
      <c r="A1713" s="38"/>
      <c r="B1713" s="38"/>
      <c r="C1713" s="38"/>
      <c r="D1713" s="38"/>
      <c r="E1713" s="40"/>
    </row>
    <row r="1714" spans="1:5" ht="16.5" thickTop="1" thickBot="1" x14ac:dyDescent="0.3">
      <c r="A1714" s="38"/>
      <c r="B1714" s="38"/>
      <c r="C1714" s="38"/>
      <c r="D1714" s="38"/>
      <c r="E1714" s="40"/>
    </row>
    <row r="1715" spans="1:5" ht="16.5" thickTop="1" thickBot="1" x14ac:dyDescent="0.3">
      <c r="A1715" s="38"/>
      <c r="B1715" s="38"/>
      <c r="C1715" s="38"/>
      <c r="D1715" s="38"/>
      <c r="E1715" s="40"/>
    </row>
    <row r="1716" spans="1:5" ht="16.5" thickTop="1" thickBot="1" x14ac:dyDescent="0.3">
      <c r="A1716" s="38"/>
      <c r="B1716" s="38"/>
      <c r="C1716" s="38"/>
      <c r="D1716" s="38"/>
      <c r="E1716" s="40"/>
    </row>
    <row r="1717" spans="1:5" ht="16.5" thickTop="1" thickBot="1" x14ac:dyDescent="0.3">
      <c r="A1717" s="38"/>
      <c r="B1717" s="38"/>
      <c r="C1717" s="38"/>
      <c r="D1717" s="38"/>
      <c r="E1717" s="40"/>
    </row>
    <row r="1718" spans="1:5" ht="16.5" thickTop="1" thickBot="1" x14ac:dyDescent="0.3">
      <c r="A1718" s="38"/>
      <c r="B1718" s="38"/>
      <c r="C1718" s="38"/>
      <c r="D1718" s="38"/>
      <c r="E1718" s="40"/>
    </row>
    <row r="1719" spans="1:5" ht="16.5" thickTop="1" thickBot="1" x14ac:dyDescent="0.3">
      <c r="A1719" s="38"/>
      <c r="B1719" s="38"/>
      <c r="C1719" s="38"/>
      <c r="D1719" s="38"/>
      <c r="E1719" s="40"/>
    </row>
    <row r="1720" spans="1:5" ht="16.5" thickTop="1" thickBot="1" x14ac:dyDescent="0.3">
      <c r="A1720" s="38"/>
      <c r="B1720" s="38"/>
      <c r="C1720" s="38"/>
      <c r="D1720" s="38"/>
      <c r="E1720" s="40"/>
    </row>
    <row r="1721" spans="1:5" ht="16.5" thickTop="1" thickBot="1" x14ac:dyDescent="0.3">
      <c r="A1721" s="38"/>
      <c r="B1721" s="38"/>
      <c r="C1721" s="38"/>
      <c r="D1721" s="38"/>
      <c r="E1721" s="40"/>
    </row>
    <row r="1722" spans="1:5" ht="16.5" thickTop="1" thickBot="1" x14ac:dyDescent="0.3">
      <c r="A1722" s="38"/>
      <c r="B1722" s="38"/>
      <c r="C1722" s="38"/>
      <c r="D1722" s="38"/>
      <c r="E1722" s="40"/>
    </row>
    <row r="1723" spans="1:5" ht="16.5" thickTop="1" thickBot="1" x14ac:dyDescent="0.3">
      <c r="A1723" s="38"/>
      <c r="B1723" s="38"/>
      <c r="C1723" s="38"/>
      <c r="D1723" s="38"/>
      <c r="E1723" s="40"/>
    </row>
    <row r="1724" spans="1:5" ht="16.5" thickTop="1" thickBot="1" x14ac:dyDescent="0.3">
      <c r="A1724" s="38"/>
      <c r="B1724" s="38"/>
      <c r="C1724" s="38"/>
      <c r="D1724" s="38"/>
      <c r="E1724" s="40"/>
    </row>
    <row r="1725" spans="1:5" ht="16.5" thickTop="1" thickBot="1" x14ac:dyDescent="0.3">
      <c r="A1725" s="38"/>
      <c r="B1725" s="38"/>
      <c r="C1725" s="38"/>
      <c r="D1725" s="38"/>
      <c r="E1725" s="40"/>
    </row>
    <row r="1726" spans="1:5" ht="16.5" thickTop="1" thickBot="1" x14ac:dyDescent="0.3">
      <c r="A1726" s="38"/>
      <c r="B1726" s="38"/>
      <c r="C1726" s="38"/>
      <c r="D1726" s="38"/>
      <c r="E1726" s="40"/>
    </row>
    <row r="1727" spans="1:5" ht="16.5" thickTop="1" thickBot="1" x14ac:dyDescent="0.3">
      <c r="A1727" s="38"/>
      <c r="B1727" s="38"/>
      <c r="C1727" s="38"/>
      <c r="D1727" s="38"/>
      <c r="E1727" s="40"/>
    </row>
    <row r="1728" spans="1:5" ht="16.5" thickTop="1" thickBot="1" x14ac:dyDescent="0.3">
      <c r="A1728" s="38"/>
      <c r="B1728" s="38"/>
      <c r="C1728" s="38"/>
      <c r="D1728" s="38"/>
      <c r="E1728" s="40"/>
    </row>
    <row r="1729" spans="1:5" ht="16.5" thickTop="1" thickBot="1" x14ac:dyDescent="0.3">
      <c r="A1729" s="38"/>
      <c r="B1729" s="38"/>
      <c r="C1729" s="38"/>
      <c r="D1729" s="38"/>
      <c r="E1729" s="40"/>
    </row>
    <row r="1730" spans="1:5" ht="16.5" thickTop="1" thickBot="1" x14ac:dyDescent="0.3">
      <c r="A1730" s="38"/>
      <c r="B1730" s="38"/>
      <c r="C1730" s="38"/>
      <c r="D1730" s="38"/>
      <c r="E1730" s="40"/>
    </row>
    <row r="1731" spans="1:5" ht="16.5" thickTop="1" thickBot="1" x14ac:dyDescent="0.3">
      <c r="A1731" s="38"/>
      <c r="B1731" s="38"/>
      <c r="C1731" s="38"/>
      <c r="D1731" s="38"/>
      <c r="E1731" s="40"/>
    </row>
    <row r="1732" spans="1:5" ht="16.5" thickTop="1" thickBot="1" x14ac:dyDescent="0.3">
      <c r="A1732" s="38"/>
      <c r="B1732" s="38"/>
      <c r="C1732" s="38"/>
      <c r="D1732" s="38"/>
      <c r="E1732" s="40"/>
    </row>
    <row r="1733" spans="1:5" ht="16.5" thickTop="1" thickBot="1" x14ac:dyDescent="0.3">
      <c r="A1733" s="38"/>
      <c r="B1733" s="38"/>
      <c r="C1733" s="38"/>
      <c r="D1733" s="38"/>
      <c r="E1733" s="40"/>
    </row>
    <row r="1734" spans="1:5" ht="16.5" thickTop="1" thickBot="1" x14ac:dyDescent="0.3">
      <c r="A1734" s="38"/>
      <c r="B1734" s="38"/>
      <c r="C1734" s="38"/>
      <c r="D1734" s="38"/>
      <c r="E1734" s="40"/>
    </row>
    <row r="1735" spans="1:5" ht="16.5" thickTop="1" thickBot="1" x14ac:dyDescent="0.3">
      <c r="A1735" s="38"/>
      <c r="B1735" s="38"/>
      <c r="C1735" s="38"/>
      <c r="D1735" s="38"/>
      <c r="E1735" s="40"/>
    </row>
    <row r="1736" spans="1:5" ht="16.5" thickTop="1" thickBot="1" x14ac:dyDescent="0.3">
      <c r="A1736" s="38"/>
      <c r="B1736" s="38"/>
      <c r="C1736" s="38"/>
      <c r="D1736" s="38"/>
      <c r="E1736" s="40"/>
    </row>
    <row r="1737" spans="1:5" ht="16.5" thickTop="1" thickBot="1" x14ac:dyDescent="0.3">
      <c r="A1737" s="38"/>
      <c r="B1737" s="38"/>
      <c r="C1737" s="38"/>
      <c r="D1737" s="38"/>
      <c r="E1737" s="40"/>
    </row>
    <row r="1738" spans="1:5" ht="16.5" thickTop="1" thickBot="1" x14ac:dyDescent="0.3">
      <c r="A1738" s="38"/>
      <c r="B1738" s="38"/>
      <c r="C1738" s="38"/>
      <c r="D1738" s="38"/>
      <c r="E1738" s="40"/>
    </row>
    <row r="1739" spans="1:5" ht="16.5" thickTop="1" thickBot="1" x14ac:dyDescent="0.3">
      <c r="A1739" s="38"/>
      <c r="B1739" s="38"/>
      <c r="C1739" s="38"/>
      <c r="D1739" s="38"/>
      <c r="E1739" s="40"/>
    </row>
    <row r="1740" spans="1:5" ht="16.5" thickTop="1" thickBot="1" x14ac:dyDescent="0.3">
      <c r="A1740" s="38"/>
      <c r="B1740" s="38"/>
      <c r="C1740" s="38"/>
      <c r="D1740" s="38"/>
      <c r="E1740" s="40"/>
    </row>
    <row r="1741" spans="1:5" ht="16.5" thickTop="1" thickBot="1" x14ac:dyDescent="0.3">
      <c r="A1741" s="38"/>
      <c r="B1741" s="38"/>
      <c r="C1741" s="38"/>
      <c r="D1741" s="38"/>
      <c r="E1741" s="40"/>
    </row>
    <row r="1742" spans="1:5" ht="16.5" thickTop="1" thickBot="1" x14ac:dyDescent="0.3">
      <c r="A1742" s="38"/>
      <c r="B1742" s="38"/>
      <c r="C1742" s="38"/>
      <c r="D1742" s="38"/>
      <c r="E1742" s="40"/>
    </row>
    <row r="1743" spans="1:5" ht="16.5" thickTop="1" thickBot="1" x14ac:dyDescent="0.3">
      <c r="A1743" s="38"/>
      <c r="B1743" s="38"/>
      <c r="C1743" s="38"/>
      <c r="D1743" s="38"/>
      <c r="E1743" s="40"/>
    </row>
    <row r="1744" spans="1:5" ht="16.5" thickTop="1" thickBot="1" x14ac:dyDescent="0.3">
      <c r="A1744" s="38"/>
      <c r="B1744" s="38"/>
      <c r="C1744" s="38"/>
      <c r="D1744" s="38"/>
      <c r="E1744" s="40"/>
    </row>
    <row r="1745" spans="1:5" ht="16.5" thickTop="1" thickBot="1" x14ac:dyDescent="0.3">
      <c r="A1745" s="38"/>
      <c r="B1745" s="38"/>
      <c r="C1745" s="38"/>
      <c r="D1745" s="38"/>
      <c r="E1745" s="40"/>
    </row>
    <row r="1746" spans="1:5" ht="16.5" thickTop="1" thickBot="1" x14ac:dyDescent="0.3">
      <c r="A1746" s="38"/>
      <c r="B1746" s="38"/>
      <c r="C1746" s="38"/>
      <c r="D1746" s="38"/>
      <c r="E1746" s="40"/>
    </row>
    <row r="1747" spans="1:5" ht="16.5" thickTop="1" thickBot="1" x14ac:dyDescent="0.3">
      <c r="A1747" s="38"/>
      <c r="B1747" s="38"/>
      <c r="C1747" s="38"/>
      <c r="D1747" s="38"/>
      <c r="E1747" s="40"/>
    </row>
    <row r="1748" spans="1:5" ht="16.5" thickTop="1" thickBot="1" x14ac:dyDescent="0.3">
      <c r="A1748" s="38"/>
      <c r="B1748" s="38"/>
      <c r="C1748" s="38"/>
      <c r="D1748" s="38"/>
      <c r="E1748" s="40"/>
    </row>
    <row r="1749" spans="1:5" ht="16.5" thickTop="1" thickBot="1" x14ac:dyDescent="0.3">
      <c r="A1749" s="38"/>
      <c r="B1749" s="38"/>
      <c r="C1749" s="38"/>
      <c r="D1749" s="38"/>
      <c r="E1749" s="40"/>
    </row>
    <row r="1750" spans="1:5" ht="16.5" thickTop="1" thickBot="1" x14ac:dyDescent="0.3">
      <c r="A1750" s="38"/>
      <c r="B1750" s="38"/>
      <c r="C1750" s="38"/>
      <c r="D1750" s="38"/>
      <c r="E1750" s="40"/>
    </row>
    <row r="1751" spans="1:5" ht="16.5" thickTop="1" thickBot="1" x14ac:dyDescent="0.3">
      <c r="A1751" s="38"/>
      <c r="B1751" s="38"/>
      <c r="C1751" s="38"/>
      <c r="D1751" s="38"/>
      <c r="E1751" s="40"/>
    </row>
    <row r="1752" spans="1:5" ht="16.5" thickTop="1" thickBot="1" x14ac:dyDescent="0.3">
      <c r="A1752" s="38"/>
      <c r="B1752" s="38"/>
      <c r="C1752" s="38"/>
      <c r="D1752" s="38"/>
      <c r="E1752" s="40"/>
    </row>
    <row r="1753" spans="1:5" ht="16.5" thickTop="1" thickBot="1" x14ac:dyDescent="0.3">
      <c r="A1753" s="38"/>
      <c r="B1753" s="38"/>
      <c r="C1753" s="38"/>
      <c r="D1753" s="38"/>
      <c r="E1753" s="40"/>
    </row>
    <row r="1754" spans="1:5" ht="16.5" thickTop="1" thickBot="1" x14ac:dyDescent="0.3">
      <c r="A1754" s="38"/>
      <c r="B1754" s="38"/>
      <c r="C1754" s="38"/>
      <c r="D1754" s="38"/>
      <c r="E1754" s="40"/>
    </row>
    <row r="1755" spans="1:5" ht="16.5" thickTop="1" thickBot="1" x14ac:dyDescent="0.3">
      <c r="A1755" s="38"/>
      <c r="B1755" s="38"/>
      <c r="C1755" s="38"/>
      <c r="D1755" s="38"/>
      <c r="E1755" s="40"/>
    </row>
    <row r="1756" spans="1:5" ht="16.5" thickTop="1" thickBot="1" x14ac:dyDescent="0.3">
      <c r="A1756" s="38"/>
      <c r="B1756" s="38"/>
      <c r="C1756" s="38"/>
      <c r="D1756" s="38"/>
      <c r="E1756" s="40"/>
    </row>
    <row r="1757" spans="1:5" ht="16.5" thickTop="1" thickBot="1" x14ac:dyDescent="0.3">
      <c r="A1757" s="38"/>
      <c r="B1757" s="38"/>
      <c r="C1757" s="38"/>
      <c r="D1757" s="38"/>
      <c r="E1757" s="40"/>
    </row>
    <row r="1758" spans="1:5" ht="16.5" thickTop="1" thickBot="1" x14ac:dyDescent="0.3">
      <c r="A1758" s="38"/>
      <c r="B1758" s="38"/>
      <c r="C1758" s="38"/>
      <c r="D1758" s="38"/>
      <c r="E1758" s="40"/>
    </row>
    <row r="1759" spans="1:5" ht="16.5" thickTop="1" thickBot="1" x14ac:dyDescent="0.3">
      <c r="A1759" s="38"/>
      <c r="B1759" s="38"/>
      <c r="C1759" s="38"/>
      <c r="D1759" s="38"/>
      <c r="E1759" s="40"/>
    </row>
    <row r="1760" spans="1:5" ht="16.5" thickTop="1" thickBot="1" x14ac:dyDescent="0.3">
      <c r="A1760" s="38"/>
      <c r="B1760" s="38"/>
      <c r="C1760" s="38"/>
      <c r="D1760" s="38"/>
      <c r="E1760" s="40"/>
    </row>
    <row r="1761" spans="1:5" ht="16.5" thickTop="1" thickBot="1" x14ac:dyDescent="0.3">
      <c r="A1761" s="38"/>
      <c r="B1761" s="38"/>
      <c r="C1761" s="38"/>
      <c r="D1761" s="38"/>
      <c r="E1761" s="40"/>
    </row>
    <row r="1762" spans="1:5" ht="16.5" thickTop="1" thickBot="1" x14ac:dyDescent="0.3">
      <c r="A1762" s="38"/>
      <c r="B1762" s="38"/>
      <c r="C1762" s="38"/>
      <c r="D1762" s="38"/>
      <c r="E1762" s="40"/>
    </row>
    <row r="1763" spans="1:5" ht="16.5" thickTop="1" thickBot="1" x14ac:dyDescent="0.3">
      <c r="A1763" s="38"/>
      <c r="B1763" s="38"/>
      <c r="C1763" s="38"/>
      <c r="D1763" s="38"/>
      <c r="E1763" s="40"/>
    </row>
    <row r="1764" spans="1:5" ht="16.5" thickTop="1" thickBot="1" x14ac:dyDescent="0.3">
      <c r="A1764" s="38"/>
      <c r="B1764" s="38"/>
      <c r="C1764" s="38"/>
      <c r="D1764" s="38"/>
      <c r="E1764" s="40"/>
    </row>
    <row r="1765" spans="1:5" ht="16.5" thickTop="1" thickBot="1" x14ac:dyDescent="0.3">
      <c r="A1765" s="38"/>
      <c r="B1765" s="38"/>
      <c r="C1765" s="38"/>
      <c r="D1765" s="38"/>
      <c r="E1765" s="40"/>
    </row>
    <row r="1766" spans="1:5" ht="16.5" thickTop="1" thickBot="1" x14ac:dyDescent="0.3">
      <c r="A1766" s="38"/>
      <c r="B1766" s="38"/>
      <c r="C1766" s="38"/>
      <c r="D1766" s="38"/>
      <c r="E1766" s="40"/>
    </row>
    <row r="1767" spans="1:5" ht="16.5" thickTop="1" thickBot="1" x14ac:dyDescent="0.3">
      <c r="A1767" s="38"/>
      <c r="B1767" s="38"/>
      <c r="C1767" s="38"/>
      <c r="D1767" s="38"/>
      <c r="E1767" s="40"/>
    </row>
    <row r="1768" spans="1:5" ht="16.5" thickTop="1" thickBot="1" x14ac:dyDescent="0.3">
      <c r="A1768" s="38"/>
      <c r="B1768" s="38"/>
      <c r="C1768" s="38"/>
      <c r="D1768" s="38"/>
      <c r="E1768" s="40"/>
    </row>
    <row r="1769" spans="1:5" ht="16.5" thickTop="1" thickBot="1" x14ac:dyDescent="0.3">
      <c r="A1769" s="38"/>
      <c r="B1769" s="38"/>
      <c r="C1769" s="38"/>
      <c r="D1769" s="38"/>
      <c r="E1769" s="40"/>
    </row>
    <row r="1770" spans="1:5" ht="16.5" thickTop="1" thickBot="1" x14ac:dyDescent="0.3">
      <c r="A1770" s="38"/>
      <c r="B1770" s="38"/>
      <c r="C1770" s="38"/>
      <c r="D1770" s="38"/>
      <c r="E1770" s="40"/>
    </row>
    <row r="1771" spans="1:5" ht="16.5" thickTop="1" thickBot="1" x14ac:dyDescent="0.3">
      <c r="A1771" s="38"/>
      <c r="B1771" s="38"/>
      <c r="C1771" s="38"/>
      <c r="D1771" s="38"/>
      <c r="E1771" s="40"/>
    </row>
    <row r="1772" spans="1:5" ht="16.5" thickTop="1" thickBot="1" x14ac:dyDescent="0.3">
      <c r="A1772" s="38"/>
      <c r="B1772" s="38"/>
      <c r="C1772" s="38"/>
      <c r="D1772" s="38"/>
      <c r="E1772" s="40"/>
    </row>
    <row r="1773" spans="1:5" ht="16.5" thickTop="1" thickBot="1" x14ac:dyDescent="0.3">
      <c r="A1773" s="38"/>
      <c r="B1773" s="38"/>
      <c r="C1773" s="38"/>
      <c r="D1773" s="38"/>
      <c r="E1773" s="40"/>
    </row>
    <row r="1774" spans="1:5" ht="16.5" thickTop="1" thickBot="1" x14ac:dyDescent="0.3">
      <c r="A1774" s="38"/>
      <c r="B1774" s="38"/>
      <c r="C1774" s="38"/>
      <c r="D1774" s="38"/>
      <c r="E1774" s="40"/>
    </row>
    <row r="1775" spans="1:5" ht="16.5" thickTop="1" thickBot="1" x14ac:dyDescent="0.3">
      <c r="A1775" s="38"/>
      <c r="B1775" s="38"/>
      <c r="C1775" s="38"/>
      <c r="D1775" s="38"/>
      <c r="E1775" s="40"/>
    </row>
    <row r="1776" spans="1:5" ht="16.5" thickTop="1" thickBot="1" x14ac:dyDescent="0.3">
      <c r="A1776" s="38"/>
      <c r="B1776" s="38"/>
      <c r="C1776" s="38"/>
      <c r="D1776" s="38"/>
      <c r="E1776" s="40"/>
    </row>
    <row r="1777" spans="1:5" ht="16.5" thickTop="1" thickBot="1" x14ac:dyDescent="0.3">
      <c r="A1777" s="38"/>
      <c r="B1777" s="38"/>
      <c r="C1777" s="38"/>
      <c r="D1777" s="38"/>
      <c r="E1777" s="40"/>
    </row>
    <row r="1778" spans="1:5" ht="16.5" thickTop="1" thickBot="1" x14ac:dyDescent="0.3">
      <c r="A1778" s="38"/>
      <c r="B1778" s="38"/>
      <c r="C1778" s="38"/>
      <c r="D1778" s="38"/>
      <c r="E1778" s="40"/>
    </row>
    <row r="1779" spans="1:5" ht="16.5" thickTop="1" thickBot="1" x14ac:dyDescent="0.3">
      <c r="A1779" s="38"/>
      <c r="B1779" s="38"/>
      <c r="C1779" s="38"/>
      <c r="D1779" s="38"/>
      <c r="E1779" s="40"/>
    </row>
    <row r="1780" spans="1:5" ht="16.5" thickTop="1" thickBot="1" x14ac:dyDescent="0.3">
      <c r="A1780" s="38"/>
      <c r="B1780" s="38"/>
      <c r="C1780" s="38"/>
      <c r="D1780" s="38"/>
      <c r="E1780" s="40"/>
    </row>
    <row r="1781" spans="1:5" ht="16.5" thickTop="1" thickBot="1" x14ac:dyDescent="0.3">
      <c r="A1781" s="38"/>
      <c r="B1781" s="38"/>
      <c r="C1781" s="38"/>
      <c r="D1781" s="38"/>
      <c r="E1781" s="40"/>
    </row>
    <row r="1782" spans="1:5" ht="16.5" thickTop="1" thickBot="1" x14ac:dyDescent="0.3">
      <c r="A1782" s="38"/>
      <c r="B1782" s="38"/>
      <c r="C1782" s="38"/>
      <c r="D1782" s="38"/>
      <c r="E1782" s="40"/>
    </row>
    <row r="1783" spans="1:5" ht="16.5" thickTop="1" thickBot="1" x14ac:dyDescent="0.3">
      <c r="A1783" s="38"/>
      <c r="B1783" s="38"/>
      <c r="C1783" s="38"/>
      <c r="D1783" s="38"/>
      <c r="E1783" s="40"/>
    </row>
    <row r="1784" spans="1:5" ht="16.5" thickTop="1" thickBot="1" x14ac:dyDescent="0.3">
      <c r="A1784" s="38"/>
      <c r="B1784" s="38"/>
      <c r="C1784" s="38"/>
      <c r="D1784" s="38"/>
      <c r="E1784" s="40"/>
    </row>
    <row r="1785" spans="1:5" ht="16.5" thickTop="1" thickBot="1" x14ac:dyDescent="0.3">
      <c r="A1785" s="38"/>
      <c r="B1785" s="38"/>
      <c r="C1785" s="38"/>
      <c r="D1785" s="38"/>
      <c r="E1785" s="40"/>
    </row>
    <row r="1786" spans="1:5" ht="16.5" thickTop="1" thickBot="1" x14ac:dyDescent="0.3">
      <c r="A1786" s="38"/>
      <c r="B1786" s="38"/>
      <c r="C1786" s="38"/>
      <c r="D1786" s="38"/>
      <c r="E1786" s="40"/>
    </row>
    <row r="1787" spans="1:5" ht="16.5" thickTop="1" thickBot="1" x14ac:dyDescent="0.3">
      <c r="A1787" s="38"/>
      <c r="B1787" s="38"/>
      <c r="C1787" s="38"/>
      <c r="D1787" s="38"/>
      <c r="E1787" s="40"/>
    </row>
    <row r="1788" spans="1:5" ht="16.5" thickTop="1" thickBot="1" x14ac:dyDescent="0.3">
      <c r="A1788" s="38"/>
      <c r="B1788" s="38"/>
      <c r="C1788" s="38"/>
      <c r="D1788" s="38"/>
      <c r="E1788" s="40"/>
    </row>
    <row r="1789" spans="1:5" ht="16.5" thickTop="1" thickBot="1" x14ac:dyDescent="0.3">
      <c r="A1789" s="38"/>
      <c r="B1789" s="38"/>
      <c r="C1789" s="38"/>
      <c r="D1789" s="38"/>
      <c r="E1789" s="40"/>
    </row>
    <row r="1790" spans="1:5" ht="16.5" thickTop="1" thickBot="1" x14ac:dyDescent="0.3">
      <c r="A1790" s="38"/>
      <c r="B1790" s="38"/>
      <c r="C1790" s="38"/>
      <c r="D1790" s="38"/>
      <c r="E1790" s="40"/>
    </row>
    <row r="1791" spans="1:5" ht="16.5" thickTop="1" thickBot="1" x14ac:dyDescent="0.3">
      <c r="A1791" s="38"/>
      <c r="B1791" s="38"/>
      <c r="C1791" s="38"/>
      <c r="D1791" s="38"/>
      <c r="E1791" s="40"/>
    </row>
    <row r="1792" spans="1:5" ht="16.5" thickTop="1" thickBot="1" x14ac:dyDescent="0.3">
      <c r="A1792" s="38"/>
      <c r="B1792" s="38"/>
      <c r="C1792" s="38"/>
      <c r="D1792" s="38"/>
      <c r="E1792" s="40"/>
    </row>
    <row r="1793" spans="1:5" ht="16.5" thickTop="1" thickBot="1" x14ac:dyDescent="0.3">
      <c r="A1793" s="38"/>
      <c r="B1793" s="38"/>
      <c r="C1793" s="38"/>
      <c r="D1793" s="38"/>
      <c r="E1793" s="40"/>
    </row>
    <row r="1794" spans="1:5" ht="16.5" thickTop="1" thickBot="1" x14ac:dyDescent="0.3">
      <c r="A1794" s="38"/>
      <c r="B1794" s="38"/>
      <c r="C1794" s="38"/>
      <c r="D1794" s="38"/>
      <c r="E1794" s="40"/>
    </row>
    <row r="1795" spans="1:5" ht="16.5" thickTop="1" thickBot="1" x14ac:dyDescent="0.3">
      <c r="A1795" s="38"/>
      <c r="B1795" s="38"/>
      <c r="C1795" s="38"/>
      <c r="D1795" s="38"/>
      <c r="E1795" s="40"/>
    </row>
    <row r="1796" spans="1:5" ht="16.5" thickTop="1" thickBot="1" x14ac:dyDescent="0.3">
      <c r="A1796" s="38"/>
      <c r="B1796" s="38"/>
      <c r="C1796" s="38"/>
      <c r="D1796" s="38"/>
      <c r="E1796" s="40"/>
    </row>
    <row r="1797" spans="1:5" ht="16.5" thickTop="1" thickBot="1" x14ac:dyDescent="0.3">
      <c r="A1797" s="38"/>
      <c r="B1797" s="38"/>
      <c r="C1797" s="38"/>
      <c r="D1797" s="38"/>
      <c r="E1797" s="40"/>
    </row>
    <row r="1798" spans="1:5" ht="16.5" thickTop="1" thickBot="1" x14ac:dyDescent="0.3">
      <c r="A1798" s="38"/>
      <c r="B1798" s="38"/>
      <c r="C1798" s="38"/>
      <c r="D1798" s="38"/>
      <c r="E1798" s="40"/>
    </row>
    <row r="1799" spans="1:5" ht="16.5" thickTop="1" thickBot="1" x14ac:dyDescent="0.3">
      <c r="A1799" s="38"/>
      <c r="B1799" s="38"/>
      <c r="C1799" s="38"/>
      <c r="D1799" s="38"/>
      <c r="E1799" s="40"/>
    </row>
    <row r="1800" spans="1:5" ht="16.5" thickTop="1" thickBot="1" x14ac:dyDescent="0.3">
      <c r="A1800" s="38"/>
      <c r="B1800" s="38"/>
      <c r="C1800" s="38"/>
      <c r="D1800" s="38"/>
      <c r="E1800" s="40"/>
    </row>
    <row r="1801" spans="1:5" ht="16.5" thickTop="1" thickBot="1" x14ac:dyDescent="0.3">
      <c r="A1801" s="38"/>
      <c r="B1801" s="38"/>
      <c r="C1801" s="38"/>
      <c r="D1801" s="38"/>
      <c r="E1801" s="40"/>
    </row>
    <row r="1802" spans="1:5" ht="16.5" thickTop="1" thickBot="1" x14ac:dyDescent="0.3">
      <c r="A1802" s="38"/>
      <c r="B1802" s="38"/>
      <c r="C1802" s="38"/>
      <c r="D1802" s="38"/>
      <c r="E1802" s="40"/>
    </row>
    <row r="1803" spans="1:5" ht="16.5" thickTop="1" thickBot="1" x14ac:dyDescent="0.3">
      <c r="A1803" s="38"/>
      <c r="B1803" s="38"/>
      <c r="C1803" s="38"/>
      <c r="D1803" s="38"/>
      <c r="E1803" s="40"/>
    </row>
    <row r="1804" spans="1:5" ht="16.5" thickTop="1" thickBot="1" x14ac:dyDescent="0.3">
      <c r="A1804" s="38"/>
      <c r="B1804" s="38"/>
      <c r="C1804" s="38"/>
      <c r="D1804" s="38"/>
      <c r="E1804" s="40"/>
    </row>
    <row r="1805" spans="1:5" ht="16.5" thickTop="1" thickBot="1" x14ac:dyDescent="0.3">
      <c r="A1805" s="38"/>
      <c r="B1805" s="38"/>
      <c r="C1805" s="38"/>
      <c r="D1805" s="38"/>
      <c r="E1805" s="40"/>
    </row>
    <row r="1806" spans="1:5" ht="16.5" thickTop="1" thickBot="1" x14ac:dyDescent="0.3">
      <c r="A1806" s="38"/>
      <c r="B1806" s="38"/>
      <c r="C1806" s="38"/>
      <c r="D1806" s="38"/>
      <c r="E1806" s="40"/>
    </row>
    <row r="1807" spans="1:5" ht="16.5" thickTop="1" thickBot="1" x14ac:dyDescent="0.3">
      <c r="A1807" s="38"/>
      <c r="B1807" s="38"/>
      <c r="C1807" s="38"/>
      <c r="D1807" s="38"/>
      <c r="E1807" s="40"/>
    </row>
    <row r="1808" spans="1:5" ht="16.5" thickTop="1" thickBot="1" x14ac:dyDescent="0.3">
      <c r="A1808" s="38"/>
      <c r="B1808" s="38"/>
      <c r="C1808" s="38"/>
      <c r="D1808" s="38"/>
      <c r="E1808" s="40"/>
    </row>
    <row r="1809" spans="1:5" ht="16.5" thickTop="1" thickBot="1" x14ac:dyDescent="0.3">
      <c r="A1809" s="38"/>
      <c r="B1809" s="38"/>
      <c r="C1809" s="38"/>
      <c r="D1809" s="38"/>
      <c r="E1809" s="40"/>
    </row>
    <row r="1810" spans="1:5" ht="16.5" thickTop="1" thickBot="1" x14ac:dyDescent="0.3">
      <c r="A1810" s="38"/>
      <c r="B1810" s="38"/>
      <c r="C1810" s="38"/>
      <c r="D1810" s="38"/>
      <c r="E1810" s="40"/>
    </row>
    <row r="1811" spans="1:5" ht="16.5" thickTop="1" thickBot="1" x14ac:dyDescent="0.3">
      <c r="A1811" s="38"/>
      <c r="B1811" s="38"/>
      <c r="C1811" s="38"/>
      <c r="D1811" s="38"/>
      <c r="E1811" s="40"/>
    </row>
    <row r="1812" spans="1:5" ht="16.5" thickTop="1" thickBot="1" x14ac:dyDescent="0.3">
      <c r="A1812" s="38"/>
      <c r="B1812" s="38"/>
      <c r="C1812" s="38"/>
      <c r="D1812" s="38"/>
      <c r="E1812" s="40"/>
    </row>
    <row r="1813" spans="1:5" ht="16.5" thickTop="1" thickBot="1" x14ac:dyDescent="0.3">
      <c r="A1813" s="38"/>
      <c r="B1813" s="38"/>
      <c r="C1813" s="38"/>
      <c r="D1813" s="38"/>
      <c r="E1813" s="40"/>
    </row>
    <row r="1814" spans="1:5" ht="16.5" thickTop="1" thickBot="1" x14ac:dyDescent="0.3">
      <c r="A1814" s="38"/>
      <c r="B1814" s="38"/>
      <c r="C1814" s="38"/>
      <c r="D1814" s="38"/>
      <c r="E1814" s="40"/>
    </row>
    <row r="1815" spans="1:5" ht="16.5" thickTop="1" thickBot="1" x14ac:dyDescent="0.3">
      <c r="A1815" s="38"/>
      <c r="B1815" s="38"/>
      <c r="C1815" s="38"/>
      <c r="D1815" s="38"/>
      <c r="E1815" s="40"/>
    </row>
    <row r="1816" spans="1:5" ht="16.5" thickTop="1" thickBot="1" x14ac:dyDescent="0.3">
      <c r="A1816" s="38"/>
      <c r="B1816" s="38"/>
      <c r="C1816" s="38"/>
      <c r="D1816" s="38"/>
      <c r="E1816" s="40"/>
    </row>
    <row r="1817" spans="1:5" ht="16.5" thickTop="1" thickBot="1" x14ac:dyDescent="0.3">
      <c r="A1817" s="38"/>
      <c r="B1817" s="38"/>
      <c r="C1817" s="38"/>
      <c r="D1817" s="38"/>
      <c r="E1817" s="40"/>
    </row>
    <row r="1818" spans="1:5" ht="16.5" thickTop="1" thickBot="1" x14ac:dyDescent="0.3">
      <c r="A1818" s="38"/>
      <c r="B1818" s="38"/>
      <c r="C1818" s="38"/>
      <c r="D1818" s="38"/>
      <c r="E1818" s="40"/>
    </row>
    <row r="1819" spans="1:5" ht="16.5" thickTop="1" thickBot="1" x14ac:dyDescent="0.3">
      <c r="A1819" s="38"/>
      <c r="B1819" s="38"/>
      <c r="C1819" s="38"/>
      <c r="D1819" s="38"/>
      <c r="E1819" s="40"/>
    </row>
    <row r="1820" spans="1:5" ht="16.5" thickTop="1" thickBot="1" x14ac:dyDescent="0.3">
      <c r="A1820" s="38"/>
      <c r="B1820" s="38"/>
      <c r="C1820" s="38"/>
      <c r="D1820" s="38"/>
      <c r="E1820" s="40"/>
    </row>
    <row r="1821" spans="1:5" ht="16.5" thickTop="1" thickBot="1" x14ac:dyDescent="0.3">
      <c r="A1821" s="38"/>
      <c r="B1821" s="38"/>
      <c r="C1821" s="38"/>
      <c r="D1821" s="38"/>
      <c r="E1821" s="40"/>
    </row>
    <row r="1822" spans="1:5" ht="16.5" thickTop="1" thickBot="1" x14ac:dyDescent="0.3">
      <c r="A1822" s="38"/>
      <c r="B1822" s="38"/>
      <c r="C1822" s="38"/>
      <c r="D1822" s="38"/>
      <c r="E1822" s="40"/>
    </row>
    <row r="1823" spans="1:5" ht="16.5" thickTop="1" thickBot="1" x14ac:dyDescent="0.3">
      <c r="A1823" s="38"/>
      <c r="B1823" s="38"/>
      <c r="C1823" s="38"/>
      <c r="D1823" s="38"/>
      <c r="E1823" s="40"/>
    </row>
    <row r="1824" spans="1:5" ht="16.5" thickTop="1" thickBot="1" x14ac:dyDescent="0.3">
      <c r="A1824" s="38"/>
      <c r="B1824" s="38"/>
      <c r="C1824" s="38"/>
      <c r="D1824" s="38"/>
      <c r="E1824" s="40"/>
    </row>
    <row r="1825" spans="1:5" ht="16.5" thickTop="1" thickBot="1" x14ac:dyDescent="0.3">
      <c r="A1825" s="38"/>
      <c r="B1825" s="38"/>
      <c r="C1825" s="38"/>
      <c r="D1825" s="38"/>
      <c r="E1825" s="40"/>
    </row>
    <row r="1826" spans="1:5" ht="16.5" thickTop="1" thickBot="1" x14ac:dyDescent="0.3">
      <c r="A1826" s="38"/>
      <c r="B1826" s="38"/>
      <c r="C1826" s="38"/>
      <c r="D1826" s="38"/>
      <c r="E1826" s="40"/>
    </row>
    <row r="1827" spans="1:5" ht="16.5" thickTop="1" thickBot="1" x14ac:dyDescent="0.3">
      <c r="A1827" s="38"/>
      <c r="B1827" s="38"/>
      <c r="C1827" s="38"/>
      <c r="D1827" s="38"/>
      <c r="E1827" s="40"/>
    </row>
    <row r="1828" spans="1:5" ht="16.5" thickTop="1" thickBot="1" x14ac:dyDescent="0.3">
      <c r="A1828" s="38"/>
      <c r="B1828" s="38"/>
      <c r="C1828" s="38"/>
      <c r="D1828" s="38"/>
      <c r="E1828" s="40"/>
    </row>
    <row r="1829" spans="1:5" ht="16.5" thickTop="1" thickBot="1" x14ac:dyDescent="0.3">
      <c r="A1829" s="38"/>
      <c r="B1829" s="38"/>
      <c r="C1829" s="38"/>
      <c r="D1829" s="38"/>
      <c r="E1829" s="40"/>
    </row>
    <row r="1830" spans="1:5" ht="16.5" thickTop="1" thickBot="1" x14ac:dyDescent="0.3">
      <c r="A1830" s="38"/>
      <c r="B1830" s="38"/>
      <c r="C1830" s="38"/>
      <c r="D1830" s="38"/>
      <c r="E1830" s="40"/>
    </row>
    <row r="1831" spans="1:5" ht="16.5" thickTop="1" thickBot="1" x14ac:dyDescent="0.3">
      <c r="A1831" s="38"/>
      <c r="B1831" s="38"/>
      <c r="C1831" s="38"/>
      <c r="D1831" s="38"/>
      <c r="E1831" s="40"/>
    </row>
    <row r="1832" spans="1:5" ht="16.5" thickTop="1" thickBot="1" x14ac:dyDescent="0.3">
      <c r="A1832" s="38"/>
      <c r="B1832" s="38"/>
      <c r="C1832" s="38"/>
      <c r="D1832" s="38"/>
      <c r="E1832" s="40"/>
    </row>
    <row r="1833" spans="1:5" ht="16.5" thickTop="1" thickBot="1" x14ac:dyDescent="0.3">
      <c r="A1833" s="38"/>
      <c r="B1833" s="38"/>
      <c r="C1833" s="38"/>
      <c r="D1833" s="38"/>
      <c r="E1833" s="40"/>
    </row>
    <row r="1834" spans="1:5" ht="16.5" thickTop="1" thickBot="1" x14ac:dyDescent="0.3">
      <c r="A1834" s="38"/>
      <c r="B1834" s="38"/>
      <c r="C1834" s="38"/>
      <c r="D1834" s="38"/>
      <c r="E1834" s="40"/>
    </row>
    <row r="1835" spans="1:5" ht="16.5" thickTop="1" thickBot="1" x14ac:dyDescent="0.3">
      <c r="A1835" s="38"/>
      <c r="B1835" s="38"/>
      <c r="C1835" s="38"/>
      <c r="D1835" s="38"/>
      <c r="E1835" s="40"/>
    </row>
    <row r="1836" spans="1:5" ht="16.5" thickTop="1" thickBot="1" x14ac:dyDescent="0.3">
      <c r="A1836" s="38"/>
      <c r="B1836" s="38"/>
      <c r="C1836" s="38"/>
      <c r="D1836" s="38"/>
      <c r="E1836" s="40"/>
    </row>
    <row r="1837" spans="1:5" ht="16.5" thickTop="1" thickBot="1" x14ac:dyDescent="0.3">
      <c r="A1837" s="38"/>
      <c r="B1837" s="38"/>
      <c r="C1837" s="38"/>
      <c r="D1837" s="38"/>
      <c r="E1837" s="40"/>
    </row>
    <row r="1838" spans="1:5" ht="16.5" thickTop="1" thickBot="1" x14ac:dyDescent="0.3">
      <c r="A1838" s="38"/>
      <c r="B1838" s="38"/>
      <c r="C1838" s="38"/>
      <c r="D1838" s="38"/>
      <c r="E1838" s="40"/>
    </row>
    <row r="1839" spans="1:5" ht="16.5" thickTop="1" thickBot="1" x14ac:dyDescent="0.3">
      <c r="A1839" s="38"/>
      <c r="B1839" s="38"/>
      <c r="C1839" s="38"/>
      <c r="D1839" s="38"/>
      <c r="E1839" s="40"/>
    </row>
    <row r="1840" spans="1:5" ht="16.5" thickTop="1" thickBot="1" x14ac:dyDescent="0.3">
      <c r="A1840" s="38"/>
      <c r="B1840" s="38"/>
      <c r="C1840" s="38"/>
      <c r="D1840" s="38"/>
      <c r="E1840" s="40"/>
    </row>
    <row r="1841" spans="1:5" ht="16.5" thickTop="1" thickBot="1" x14ac:dyDescent="0.3">
      <c r="A1841" s="40"/>
      <c r="B1841" s="38"/>
      <c r="C1841" s="38"/>
      <c r="D1841" s="38"/>
      <c r="E1841" s="40"/>
    </row>
    <row r="1842" spans="1:5" ht="15.75" thickTop="1" x14ac:dyDescent="0.25"/>
  </sheetData>
  <mergeCells count="1">
    <mergeCell ref="G4:I8"/>
  </mergeCells>
  <dataValidations disablePrompts="1" xWindow="351" yWindow="281" count="3">
    <dataValidation type="date" allowBlank="1" showInputMessage="1" showErrorMessage="1" sqref="D1" xr:uid="{00000000-0002-0000-0100-000000000000}">
      <formula1>44287</formula1>
      <formula2>44651</formula2>
    </dataValidation>
    <dataValidation type="list" allowBlank="1" showInputMessage="1" showErrorMessage="1" sqref="E2:E1028" xr:uid="{00000000-0002-0000-0100-000001000000}">
      <formula1>INDIRECT("Leave_Code[Leave Code]")</formula1>
    </dataValidation>
    <dataValidation type="list" allowBlank="1" showInputMessage="1" showErrorMessage="1" sqref="C2:C1036" xr:uid="{00000000-0002-0000-0100-000002000000}">
      <formula1>INDIRECT("Table4[Employee Name]")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92D050"/>
  </sheetPr>
  <dimension ref="A1:BP122"/>
  <sheetViews>
    <sheetView zoomScale="70" zoomScaleNormal="7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AD22" sqref="AD22"/>
    </sheetView>
  </sheetViews>
  <sheetFormatPr defaultRowHeight="15" x14ac:dyDescent="0.25"/>
  <cols>
    <col min="1" max="1" width="7" hidden="1" customWidth="1"/>
    <col min="2" max="2" width="15" customWidth="1"/>
    <col min="3" max="3" width="20.7109375" bestFit="1" customWidth="1"/>
    <col min="4" max="21" width="3.7109375" customWidth="1"/>
    <col min="22" max="22" width="3.7109375" bestFit="1" customWidth="1"/>
    <col min="23" max="33" width="3.7109375" customWidth="1"/>
    <col min="34" max="34" width="3" bestFit="1" customWidth="1"/>
    <col min="35" max="35" width="8.28515625" style="25" customWidth="1"/>
    <col min="36" max="36" width="9.140625" style="25"/>
    <col min="37" max="37" width="9.42578125" style="25" customWidth="1"/>
    <col min="38" max="38" width="7.7109375" style="102" customWidth="1"/>
    <col min="39" max="39" width="8.42578125" style="102" bestFit="1" customWidth="1"/>
    <col min="40" max="40" width="8" style="102" bestFit="1" customWidth="1"/>
    <col min="41" max="41" width="12" style="104" bestFit="1" customWidth="1"/>
    <col min="42" max="42" width="9.140625" style="104" bestFit="1" customWidth="1"/>
    <col min="43" max="43" width="11.5703125" style="104" bestFit="1" customWidth="1"/>
    <col min="44" max="44" width="10.28515625" style="104" bestFit="1" customWidth="1"/>
    <col min="45" max="45" width="9.42578125" style="104" bestFit="1" customWidth="1"/>
    <col min="46" max="46" width="10.28515625" style="104" bestFit="1" customWidth="1"/>
    <col min="47" max="47" width="10.5703125" style="104" bestFit="1" customWidth="1"/>
    <col min="48" max="48" width="10.28515625" style="104" bestFit="1" customWidth="1"/>
    <col min="49" max="49" width="11.5703125" style="41" bestFit="1" customWidth="1"/>
    <col min="50" max="50" width="11.140625" style="104" bestFit="1" customWidth="1"/>
    <col min="51" max="51" width="19.85546875" style="104" bestFit="1" customWidth="1"/>
    <col min="52" max="54" width="12" style="104" bestFit="1" customWidth="1"/>
    <col min="55" max="55" width="10.85546875" style="105" bestFit="1" customWidth="1"/>
    <col min="56" max="56" width="12.28515625" style="41" bestFit="1" customWidth="1"/>
    <col min="57" max="57" width="14.28515625" style="41" bestFit="1" customWidth="1"/>
    <col min="58" max="58" width="13.28515625" style="225" customWidth="1"/>
    <col min="59" max="59" width="4" style="96" bestFit="1" customWidth="1"/>
    <col min="60" max="60" width="5.140625" style="96" bestFit="1" customWidth="1"/>
    <col min="61" max="61" width="10" style="25" bestFit="1" customWidth="1"/>
    <col min="62" max="62" width="8.85546875" bestFit="1" customWidth="1"/>
    <col min="63" max="63" width="16.42578125" bestFit="1" customWidth="1"/>
  </cols>
  <sheetData>
    <row r="1" spans="1:67" ht="15" customHeight="1" x14ac:dyDescent="0.25">
      <c r="A1" s="107">
        <f>+'Setting '!F28</f>
        <v>44501</v>
      </c>
      <c r="B1" s="276" t="s">
        <v>40</v>
      </c>
      <c r="C1" s="276"/>
      <c r="D1" s="1"/>
      <c r="E1" s="278">
        <f>COUNTA($D$6:$AH$6)-COUNTBLANK($D$6:$AH$6)</f>
        <v>30</v>
      </c>
      <c r="F1" s="278"/>
      <c r="G1" s="278"/>
      <c r="T1" s="277">
        <f>+A1</f>
        <v>44501</v>
      </c>
      <c r="U1" s="277"/>
      <c r="V1" s="277"/>
      <c r="W1" s="277"/>
      <c r="X1" s="277"/>
      <c r="Y1" s="277"/>
      <c r="Z1" s="277"/>
      <c r="AA1" s="277"/>
      <c r="AB1" s="277"/>
      <c r="AC1" s="277"/>
    </row>
    <row r="2" spans="1:67" ht="15" customHeight="1" x14ac:dyDescent="0.25">
      <c r="B2" s="276"/>
      <c r="C2" s="276"/>
      <c r="D2" s="68"/>
      <c r="E2" s="278"/>
      <c r="F2" s="278"/>
      <c r="G2" s="278"/>
      <c r="H2" s="67"/>
      <c r="T2" s="277"/>
      <c r="U2" s="277"/>
      <c r="V2" s="277"/>
      <c r="W2" s="277"/>
      <c r="X2" s="277"/>
      <c r="Y2" s="277"/>
      <c r="Z2" s="277"/>
      <c r="AA2" s="277"/>
      <c r="AB2" s="277"/>
      <c r="AC2" s="277"/>
    </row>
    <row r="3" spans="1:67" ht="15" customHeight="1" x14ac:dyDescent="0.25">
      <c r="B3" s="276"/>
      <c r="C3" s="276"/>
      <c r="D3" s="68"/>
      <c r="E3" s="278"/>
      <c r="F3" s="278"/>
      <c r="G3" s="278"/>
      <c r="H3" s="67"/>
      <c r="T3" s="277"/>
      <c r="U3" s="277"/>
      <c r="V3" s="277"/>
      <c r="W3" s="277"/>
      <c r="X3" s="277"/>
      <c r="Y3" s="277"/>
      <c r="Z3" s="277"/>
      <c r="AA3" s="277"/>
      <c r="AB3" s="277"/>
      <c r="AC3" s="277"/>
    </row>
    <row r="4" spans="1:67" ht="17.25" customHeight="1" thickBot="1" x14ac:dyDescent="0.3">
      <c r="AI4" s="20"/>
      <c r="AJ4" s="20"/>
      <c r="AK4" s="20"/>
      <c r="AL4" s="103"/>
      <c r="AM4" s="103"/>
      <c r="AN4" s="103"/>
      <c r="AO4" s="270" t="s">
        <v>219</v>
      </c>
      <c r="AP4" s="270"/>
      <c r="AQ4" s="270"/>
      <c r="AR4" s="270"/>
      <c r="AS4" s="270"/>
      <c r="AT4" s="270"/>
      <c r="AU4" s="270"/>
      <c r="AV4" s="270"/>
      <c r="AW4" s="270"/>
      <c r="AX4" s="270"/>
      <c r="AY4" s="273" t="s">
        <v>218</v>
      </c>
      <c r="AZ4" s="273"/>
      <c r="BA4" s="273"/>
      <c r="BB4" s="273"/>
      <c r="BC4" s="273"/>
      <c r="BD4" s="273"/>
      <c r="BE4" s="273"/>
      <c r="BF4" s="273"/>
      <c r="BG4" s="285" t="s">
        <v>217</v>
      </c>
      <c r="BH4" s="285"/>
      <c r="BI4" s="285"/>
      <c r="BJ4" s="285"/>
      <c r="BK4" s="285"/>
      <c r="BL4" s="285"/>
    </row>
    <row r="5" spans="1:67" ht="45" customHeight="1" thickTop="1" thickBot="1" x14ac:dyDescent="0.3">
      <c r="B5" s="111" t="s">
        <v>10</v>
      </c>
      <c r="C5" s="112" t="s">
        <v>38</v>
      </c>
      <c r="D5" s="108">
        <f>+A1</f>
        <v>44501</v>
      </c>
      <c r="E5" s="30">
        <f>IF(D5="","",IF(EOMONTH($A$1,0)&gt;=D5+1,D5+1,""))</f>
        <v>44502</v>
      </c>
      <c r="F5" s="30">
        <f>IF(E5="","",IF(EOMONTH($A$1,0)&gt;=E5+1,E5+1,""))</f>
        <v>44503</v>
      </c>
      <c r="G5" s="30">
        <f>IF(F5="","",IF(EOMONTH($A$1,0)&gt;=F5+1,F5+1,""))</f>
        <v>44504</v>
      </c>
      <c r="H5" s="30">
        <f t="shared" ref="H5:AH5" si="0">IF(G5="","",IF(EOMONTH($A$1,0)&gt;=G5+1,G5+1,""))</f>
        <v>44505</v>
      </c>
      <c r="I5" s="30">
        <f t="shared" si="0"/>
        <v>44506</v>
      </c>
      <c r="J5" s="30">
        <f t="shared" si="0"/>
        <v>44507</v>
      </c>
      <c r="K5" s="30">
        <f t="shared" si="0"/>
        <v>44508</v>
      </c>
      <c r="L5" s="30">
        <f t="shared" si="0"/>
        <v>44509</v>
      </c>
      <c r="M5" s="30">
        <f t="shared" si="0"/>
        <v>44510</v>
      </c>
      <c r="N5" s="30">
        <f t="shared" si="0"/>
        <v>44511</v>
      </c>
      <c r="O5" s="30">
        <f t="shared" si="0"/>
        <v>44512</v>
      </c>
      <c r="P5" s="30">
        <f t="shared" si="0"/>
        <v>44513</v>
      </c>
      <c r="Q5" s="30">
        <f t="shared" si="0"/>
        <v>44514</v>
      </c>
      <c r="R5" s="30">
        <f t="shared" si="0"/>
        <v>44515</v>
      </c>
      <c r="S5" s="30">
        <f t="shared" si="0"/>
        <v>44516</v>
      </c>
      <c r="T5" s="30">
        <f t="shared" si="0"/>
        <v>44517</v>
      </c>
      <c r="U5" s="30">
        <f t="shared" si="0"/>
        <v>44518</v>
      </c>
      <c r="V5" s="30">
        <f t="shared" si="0"/>
        <v>44519</v>
      </c>
      <c r="W5" s="30">
        <f t="shared" si="0"/>
        <v>44520</v>
      </c>
      <c r="X5" s="30">
        <f t="shared" si="0"/>
        <v>44521</v>
      </c>
      <c r="Y5" s="30">
        <f t="shared" si="0"/>
        <v>44522</v>
      </c>
      <c r="Z5" s="30">
        <f t="shared" si="0"/>
        <v>44523</v>
      </c>
      <c r="AA5" s="30">
        <f t="shared" si="0"/>
        <v>44524</v>
      </c>
      <c r="AB5" s="30">
        <f t="shared" si="0"/>
        <v>44525</v>
      </c>
      <c r="AC5" s="30">
        <f t="shared" si="0"/>
        <v>44526</v>
      </c>
      <c r="AD5" s="30">
        <f t="shared" si="0"/>
        <v>44527</v>
      </c>
      <c r="AE5" s="30">
        <f t="shared" si="0"/>
        <v>44528</v>
      </c>
      <c r="AF5" s="30">
        <f t="shared" si="0"/>
        <v>44529</v>
      </c>
      <c r="AG5" s="30">
        <f t="shared" si="0"/>
        <v>44530</v>
      </c>
      <c r="AH5" s="30" t="str">
        <f t="shared" si="0"/>
        <v/>
      </c>
      <c r="AI5" s="31" t="s">
        <v>7</v>
      </c>
      <c r="AJ5" s="31" t="s">
        <v>32</v>
      </c>
      <c r="AK5" s="32" t="s">
        <v>41</v>
      </c>
      <c r="AL5" s="283" t="s">
        <v>83</v>
      </c>
      <c r="AM5" s="283" t="s">
        <v>82</v>
      </c>
      <c r="AN5" s="283" t="s">
        <v>33</v>
      </c>
      <c r="AO5" s="281" t="s">
        <v>53</v>
      </c>
      <c r="AP5" s="271" t="s">
        <v>54</v>
      </c>
      <c r="AQ5" s="274" t="s">
        <v>43</v>
      </c>
      <c r="AR5" s="271" t="s">
        <v>44</v>
      </c>
      <c r="AS5" s="271" t="s">
        <v>166</v>
      </c>
      <c r="AT5" s="271" t="s">
        <v>45</v>
      </c>
      <c r="AU5" s="271" t="s">
        <v>164</v>
      </c>
      <c r="AV5" s="271" t="s">
        <v>165</v>
      </c>
      <c r="AW5" s="268" t="s">
        <v>242</v>
      </c>
      <c r="AX5" s="271" t="s">
        <v>46</v>
      </c>
      <c r="AY5" s="269" t="s">
        <v>55</v>
      </c>
      <c r="AZ5" s="269" t="s">
        <v>47</v>
      </c>
      <c r="BA5" s="269" t="s">
        <v>48</v>
      </c>
      <c r="BB5" s="269" t="s">
        <v>49</v>
      </c>
      <c r="BC5" s="269" t="s">
        <v>50</v>
      </c>
      <c r="BD5" s="268" t="s">
        <v>51</v>
      </c>
      <c r="BE5" s="268" t="s">
        <v>177</v>
      </c>
      <c r="BF5" s="284" t="s">
        <v>52</v>
      </c>
      <c r="BG5" s="279" t="s">
        <v>170</v>
      </c>
      <c r="BH5" s="280" t="s">
        <v>169</v>
      </c>
      <c r="BI5" s="267" t="s">
        <v>173</v>
      </c>
      <c r="BJ5" s="267" t="s">
        <v>208</v>
      </c>
      <c r="BK5" s="267" t="s">
        <v>216</v>
      </c>
      <c r="BL5" s="267" t="s">
        <v>239</v>
      </c>
    </row>
    <row r="6" spans="1:67" ht="24" customHeight="1" thickTop="1" thickBot="1" x14ac:dyDescent="0.3">
      <c r="B6" s="109" t="s">
        <v>10</v>
      </c>
      <c r="C6" s="110" t="s">
        <v>11</v>
      </c>
      <c r="D6" s="33" t="str">
        <f>TEXT(D$5,"ddd")</f>
        <v>Mon</v>
      </c>
      <c r="E6" s="33" t="str">
        <f>TEXT(E$5,"ddd")</f>
        <v>Tue</v>
      </c>
      <c r="F6" s="33" t="str">
        <f t="shared" ref="F6:AH6" si="1">TEXT(F$5,"ddd")</f>
        <v>Wed</v>
      </c>
      <c r="G6" s="33" t="str">
        <f t="shared" si="1"/>
        <v>Thu</v>
      </c>
      <c r="H6" s="33" t="str">
        <f t="shared" si="1"/>
        <v>Fri</v>
      </c>
      <c r="I6" s="33" t="str">
        <f t="shared" si="1"/>
        <v>Sat</v>
      </c>
      <c r="J6" s="33" t="str">
        <f t="shared" si="1"/>
        <v>Sun</v>
      </c>
      <c r="K6" s="33" t="str">
        <f t="shared" si="1"/>
        <v>Mon</v>
      </c>
      <c r="L6" s="33" t="str">
        <f t="shared" si="1"/>
        <v>Tue</v>
      </c>
      <c r="M6" s="33" t="str">
        <f t="shared" si="1"/>
        <v>Wed</v>
      </c>
      <c r="N6" s="33" t="str">
        <f t="shared" si="1"/>
        <v>Thu</v>
      </c>
      <c r="O6" s="33" t="str">
        <f t="shared" si="1"/>
        <v>Fri</v>
      </c>
      <c r="P6" s="33" t="str">
        <f t="shared" si="1"/>
        <v>Sat</v>
      </c>
      <c r="Q6" s="33" t="str">
        <f t="shared" si="1"/>
        <v>Sun</v>
      </c>
      <c r="R6" s="33" t="str">
        <f t="shared" si="1"/>
        <v>Mon</v>
      </c>
      <c r="S6" s="33" t="str">
        <f t="shared" si="1"/>
        <v>Tue</v>
      </c>
      <c r="T6" s="33" t="str">
        <f t="shared" si="1"/>
        <v>Wed</v>
      </c>
      <c r="U6" s="33" t="str">
        <f t="shared" si="1"/>
        <v>Thu</v>
      </c>
      <c r="V6" s="33" t="str">
        <f t="shared" si="1"/>
        <v>Fri</v>
      </c>
      <c r="W6" s="33" t="str">
        <f t="shared" si="1"/>
        <v>Sat</v>
      </c>
      <c r="X6" s="33" t="str">
        <f t="shared" si="1"/>
        <v>Sun</v>
      </c>
      <c r="Y6" s="33" t="str">
        <f t="shared" si="1"/>
        <v>Mon</v>
      </c>
      <c r="Z6" s="33" t="str">
        <f t="shared" si="1"/>
        <v>Tue</v>
      </c>
      <c r="AA6" s="33" t="str">
        <f t="shared" si="1"/>
        <v>Wed</v>
      </c>
      <c r="AB6" s="33" t="str">
        <f t="shared" si="1"/>
        <v>Thu</v>
      </c>
      <c r="AC6" s="33" t="str">
        <f t="shared" si="1"/>
        <v>Fri</v>
      </c>
      <c r="AD6" s="33" t="str">
        <f t="shared" si="1"/>
        <v>Sat</v>
      </c>
      <c r="AE6" s="33" t="str">
        <f t="shared" si="1"/>
        <v>Sun</v>
      </c>
      <c r="AF6" s="33" t="str">
        <f t="shared" si="1"/>
        <v>Mon</v>
      </c>
      <c r="AG6" s="33" t="str">
        <f t="shared" si="1"/>
        <v>Tue</v>
      </c>
      <c r="AH6" s="33" t="str">
        <f t="shared" si="1"/>
        <v/>
      </c>
      <c r="AI6" s="34" t="s">
        <v>89</v>
      </c>
      <c r="AJ6" s="35" t="s">
        <v>39</v>
      </c>
      <c r="AK6" s="36" t="s">
        <v>42</v>
      </c>
      <c r="AL6" s="283"/>
      <c r="AM6" s="283"/>
      <c r="AN6" s="283"/>
      <c r="AO6" s="282"/>
      <c r="AP6" s="272"/>
      <c r="AQ6" s="275"/>
      <c r="AR6" s="272"/>
      <c r="AS6" s="272"/>
      <c r="AT6" s="272"/>
      <c r="AU6" s="272"/>
      <c r="AV6" s="272"/>
      <c r="AW6" s="268"/>
      <c r="AX6" s="272"/>
      <c r="AY6" s="269"/>
      <c r="AZ6" s="269"/>
      <c r="BA6" s="269"/>
      <c r="BB6" s="269"/>
      <c r="BC6" s="269"/>
      <c r="BD6" s="268"/>
      <c r="BE6" s="268"/>
      <c r="BF6" s="284"/>
      <c r="BG6" s="279"/>
      <c r="BH6" s="280"/>
      <c r="BI6" s="267"/>
      <c r="BJ6" s="267"/>
      <c r="BK6" s="267"/>
      <c r="BL6" s="267"/>
    </row>
    <row r="7" spans="1:67" ht="15.75" customHeight="1" thickTop="1" thickBot="1" x14ac:dyDescent="0.3">
      <c r="B7" s="37" t="str">
        <f>_xlfn.IFNA(INDEX('Employee Details'!$A$7:$A10,MATCH(AttendanceSheet!$C7,'Employee Details'!$B$7:$B16,0)),"")</f>
        <v>Emp_0001</v>
      </c>
      <c r="C7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'!$J$1:J1))),"")</f>
        <v>VIVEK PATIL</v>
      </c>
      <c r="D7" s="39" t="str">
        <f>IFERROR(VLOOKUP($B7&amp;D$5,'Mark Leave'!$A$1:$E$1841,5,0),"")</f>
        <v>OT</v>
      </c>
      <c r="E7" s="39" t="str">
        <f>IFERROR(VLOOKUP($B7&amp;E$5,'Mark Leave'!$A$1:$E$1841,5,0),"")</f>
        <v/>
      </c>
      <c r="F7" s="39" t="str">
        <f>IFERROR(VLOOKUP($B7&amp;F$5,'Mark Leave'!$A$1:$E$1841,5,0),"")</f>
        <v/>
      </c>
      <c r="G7" s="39" t="str">
        <f>IFERROR(VLOOKUP($B7&amp;G$5,'Mark Leave'!$A$1:$E$1841,5,0),"")</f>
        <v/>
      </c>
      <c r="H7" s="39" t="str">
        <f>IFERROR(VLOOKUP($B7&amp;H$5,'Mark Leave'!$A$1:$E$1841,5,0),"")</f>
        <v/>
      </c>
      <c r="I7" s="39" t="str">
        <f>IFERROR(VLOOKUP($B7&amp;I$5,'Mark Leave'!$A$1:$E$1841,5,0),"")</f>
        <v/>
      </c>
      <c r="J7" s="39" t="str">
        <f>IFERROR(VLOOKUP($B7&amp;J$5,'Mark Leave'!$A$1:$E$1841,5,0),"")</f>
        <v/>
      </c>
      <c r="K7" s="39" t="str">
        <f>IFERROR(VLOOKUP($B7&amp;K$5,'Mark Leave'!$A$1:$E$1841,5,0),"")</f>
        <v/>
      </c>
      <c r="L7" s="39" t="str">
        <f>IFERROR(VLOOKUP($B7&amp;L$5,'Mark Leave'!$A$1:$E$1841,5,0),"")</f>
        <v/>
      </c>
      <c r="M7" s="39" t="str">
        <f>IFERROR(VLOOKUP($B7&amp;M$5,'Mark Leave'!$A$1:$E$1841,5,0),"")</f>
        <v/>
      </c>
      <c r="N7" s="39" t="str">
        <f>IFERROR(VLOOKUP($B7&amp;N$5,'Mark Leave'!$A$1:$E$1841,5,0),"")</f>
        <v/>
      </c>
      <c r="O7" s="39" t="str">
        <f>IFERROR(VLOOKUP($B7&amp;O$5,'Mark Leave'!$A$1:$E$1841,5,0),"")</f>
        <v/>
      </c>
      <c r="P7" s="39" t="str">
        <f>IFERROR(VLOOKUP($B7&amp;P$5,'Mark Leave'!$A$1:$E$1841,5,0),"")</f>
        <v/>
      </c>
      <c r="Q7" s="39" t="str">
        <f>IFERROR(VLOOKUP($B7&amp;Q$5,'Mark Leave'!$A$1:$E$1841,5,0),"")</f>
        <v/>
      </c>
      <c r="R7" s="39" t="str">
        <f>IFERROR(VLOOKUP($B7&amp;R$5,'Mark Leave'!$A$1:$E$1841,5,0),"")</f>
        <v/>
      </c>
      <c r="S7" s="39" t="str">
        <f>IFERROR(VLOOKUP($B7&amp;S$5,'Mark Leave'!$A$1:$E$1841,5,0),"")</f>
        <v/>
      </c>
      <c r="T7" s="39" t="str">
        <f>IFERROR(VLOOKUP($B7&amp;T$5,'Mark Leave'!$A$1:$E$1841,5,0),"")</f>
        <v/>
      </c>
      <c r="U7" s="39" t="str">
        <f>IFERROR(VLOOKUP($B7&amp;U$5,'Mark Leave'!$A$1:$E$1841,5,0),"")</f>
        <v/>
      </c>
      <c r="V7" s="39" t="str">
        <f>IFERROR(VLOOKUP($B7&amp;V$5,'Mark Leave'!$A$1:$E$1841,5,0),"")</f>
        <v/>
      </c>
      <c r="W7" s="39" t="str">
        <f>IFERROR(VLOOKUP($B7&amp;W$5,'Mark Leave'!$A$1:$E$1841,5,0),"")</f>
        <v/>
      </c>
      <c r="X7" s="39" t="str">
        <f>IFERROR(VLOOKUP($B7&amp;X$5,'Mark Leave'!$A$1:$E$1841,5,0),"")</f>
        <v/>
      </c>
      <c r="Y7" s="39" t="str">
        <f>IFERROR(VLOOKUP($B7&amp;Y$5,'Mark Leave'!$A$1:$E$1841,5,0),"")</f>
        <v/>
      </c>
      <c r="Z7" s="39" t="str">
        <f>IFERROR(VLOOKUP($B7&amp;Z$5,'Mark Leave'!$A$1:$E$1841,5,0),"")</f>
        <v/>
      </c>
      <c r="AA7" s="39" t="str">
        <f>IFERROR(VLOOKUP($B7&amp;AA$5,'Mark Leave'!$A$1:$E$1841,5,0),"")</f>
        <v/>
      </c>
      <c r="AB7" s="39" t="str">
        <f>IFERROR(VLOOKUP($B7&amp;AB$5,'Mark Leave'!$A$1:$E$1841,5,0),"")</f>
        <v/>
      </c>
      <c r="AC7" s="39" t="str">
        <f>IFERROR(VLOOKUP($B7&amp;AC$5,'Mark Leave'!$A$1:$E$1841,5,0),"")</f>
        <v/>
      </c>
      <c r="AD7" s="39" t="str">
        <f>IFERROR(VLOOKUP($B7&amp;AD$5,'Mark Leave'!$A$1:$E$1841,5,0),"")</f>
        <v/>
      </c>
      <c r="AE7" s="39" t="str">
        <f>IFERROR(VLOOKUP($B7&amp;AE$5,'Mark Leave'!$A$1:$E$1841,5,0),"")</f>
        <v/>
      </c>
      <c r="AF7" s="39" t="str">
        <f>IFERROR(VLOOKUP($B7&amp;AF$5,'Mark Leave'!$A$1:$E$1841,5,0),"")</f>
        <v/>
      </c>
      <c r="AG7" s="39" t="str">
        <f>IFERROR(VLOOKUP($B7&amp;AG$5,'Mark Leave'!$A$1:$E$1841,5,0),"")</f>
        <v/>
      </c>
      <c r="AH7" s="39" t="str">
        <f>IFERROR(VLOOKUP($B7&amp;AH$5,'Mark Leave'!$A$1:$E$1841,5,0),"")</f>
        <v/>
      </c>
      <c r="AI7" s="98">
        <f>IF($B7&lt;&gt;"",COUNTIF($D7:$AH7,'Setting '!$H$2),"")</f>
        <v>0</v>
      </c>
      <c r="AJ7" s="98">
        <f>IF($B7&lt;&gt;"",COUNTIF($D7:$AH7,'Setting '!$H$3)/2,"")</f>
        <v>0</v>
      </c>
      <c r="AK7" s="98">
        <f>IF($B7&lt;&gt;"",COUNTIF($D7:$AH7,'Setting '!$H$4),"")</f>
        <v>1</v>
      </c>
      <c r="AL7" s="98">
        <f>IF($B7&lt;&gt;"",(AI7+AJ7),"")</f>
        <v>0</v>
      </c>
      <c r="AM7" s="117">
        <f>IF(B7&lt;&gt;"",_xlfn.IFNA(VLOOKUP(B7,'Leave Credit Sheet'!B7:K100,10,0),""),"")</f>
        <v>0</v>
      </c>
      <c r="AN7" s="98">
        <f t="shared" ref="AN7:AN38" si="2">IF(B7&lt;&gt;"",IF(BJ7="ONROLL",($E$1-$AM7),$E$1-AL7),"")</f>
        <v>30</v>
      </c>
      <c r="AO7" s="106">
        <f>IF(B7&lt;&gt;"",_xlfn.IFNA(INDEX('CTC Sheet'!$C$6:$N$101,MATCH(AttendanceSheet!$B7,'CTC Sheet'!$A$6:$A$101,0),MATCH(AttendanceSheet!$T$1,'CTC Sheet'!$C$5:$N$5,0)),0),"")</f>
        <v>46452</v>
      </c>
      <c r="AP7" s="106">
        <f>IF(B7&lt;&gt;"",_xlfn.IFNA(INDEX('CTC Sheet'!$R$6:$AC$100,MATCH(AttendanceSheet!$B7,'CTC Sheet'!$P$6:$P$100,0),MATCH(AttendanceSheet!$T$1,'CTC Sheet'!$R$5:$AC$5,0)),0),"")</f>
        <v>0</v>
      </c>
      <c r="AQ7" s="106">
        <f t="shared" ref="AQ7:AQ38" si="3">IF($B7&lt;&gt;"",IF($AO7&lt;&gt;0,(($AO7/$E$1)*$AN7)*33.33%,(($AN7*$AP7)*33.33%)),"")</f>
        <v>15482.451599999999</v>
      </c>
      <c r="AR7" s="106">
        <f t="shared" ref="AR7:AR38" si="4">IF($B7&lt;&gt;"",$AQ7*50%,"")</f>
        <v>7741.2257999999993</v>
      </c>
      <c r="AS7" s="106">
        <f t="shared" ref="AS7:AS38" si="5">IF($B7&lt;&gt;"",$AQ7*60%,"")</f>
        <v>9289.4709599999987</v>
      </c>
      <c r="AT7" s="106">
        <f t="shared" ref="AT7:AT38" si="6">IF($B7&lt;&gt;"",$AQ7*40%,"")</f>
        <v>6192.9806399999998</v>
      </c>
      <c r="AU7" s="106">
        <f t="shared" ref="AU7:AU38" si="7">IF($B7&lt;&gt;"",$AQ7*30%,"")</f>
        <v>4644.7354799999994</v>
      </c>
      <c r="AV7" s="106">
        <f t="shared" ref="AV7:AV38" si="8">IF($B7&lt;&gt;"",$AQ7*20.03%,"")</f>
        <v>3101.1350554799997</v>
      </c>
      <c r="AW7" s="106">
        <f>IF(B7&lt;&gt;"",_xlfn.IFNA(INDEX('OtherArrear payment'!$A$1:$N$95,MATCH(AttendanceSheet!$B7,'OtherArrear payment'!$A$1:$A$95,0),MATCH(AttendanceSheet!$T$1,'OtherArrear payment'!$A$1:$N$1,0)),0),"")</f>
        <v>0</v>
      </c>
      <c r="AX7" s="106">
        <f>IF($B7&lt;&gt;"",$AQ7+$AR7+$AS7+$AT7+$AU7+$AV7,"")</f>
        <v>46451.99953547999</v>
      </c>
      <c r="AY7" s="106">
        <f t="shared" ref="AY7:AY38" si="9">IF($BG7="YES",IF($B7&lt;&gt;"",IF(($AQ7+$AR7)&lt;=15000,($AQ7+$AR7)*13%,1800),""),0)</f>
        <v>0</v>
      </c>
      <c r="AZ7" s="106">
        <f t="shared" ref="AZ7:AZ38" si="10">IF($BG7="YES",IF($B7&lt;&gt;"",IF(($AQ7+$AR7)&lt;=15000,($AQ7+$AR7)*12%,1800),""),0)</f>
        <v>0</v>
      </c>
      <c r="BA7" s="106">
        <f t="shared" ref="BA7:BA38" si="11">IF($BH7="Yes",IF($B7&lt;&gt;"",IF($AX7&lt;=21000,$AX7*3.25%,0),""),0)</f>
        <v>0</v>
      </c>
      <c r="BB7" s="106">
        <f t="shared" ref="BB7:BB38" si="12">IF($BH7="Yes",IF($B7&lt;&gt;"",IF($AX7&lt;=21000,$AX7*0.75%,0),""),0)</f>
        <v>0</v>
      </c>
      <c r="BC7" s="106">
        <f>IF($B7&lt;&gt;"",IF(BL7="Yes",IF($BI7="Mr.",IF($AX7&lt;=7500,0,IF(AND($AX7&lt;10000,$AX7&gt;7501),175,IF(AND($AX7&gt;10000,'Setting '!$G$28&lt;&gt;11),200,300))),IF(AND($AX7&lt;=10000,$BI7="Ms."),0,IF(AND($AX7&gt;10000,'Setting '!$G$28&lt;&gt;11),200,300))),0),"")</f>
        <v>200</v>
      </c>
      <c r="BD7" s="42"/>
      <c r="BE7" s="212">
        <f>IF($B7&lt;&gt;"",IF('Advance Sheet'!AF4&gt;=0,INDEX('Advance Sheet'!$Q$3:$AD$100,MATCH(AttendanceSheet!$B7,'Advance Sheet'!$Q$3:$Q$100,0),MATCH(AttendanceSheet!$T$1,'Advance Sheet'!$Q$3:$AD$3,)),0),"")</f>
        <v>0</v>
      </c>
      <c r="BF7" s="137">
        <f>IF($B7&lt;&gt;"",$AX7+AW7-($AY7+$AZ7+$BA7+$BB7+$BC7+$BD7+$BE7),"")</f>
        <v>46251.99953547999</v>
      </c>
      <c r="BG7" s="97" t="str">
        <f>IF(B7&lt;&gt;"",VLOOKUP(B7,'Employee Details'!A6:S100,17,0),"")</f>
        <v>No</v>
      </c>
      <c r="BH7" s="97" t="str">
        <f>IF(B7&lt;&gt;"",VLOOKUP(B7,'Employee Details'!A6:S100,18,0),"")</f>
        <v>No</v>
      </c>
      <c r="BI7" s="40" t="str">
        <f>IF(B7&lt;&gt;"",VLOOKUP(B7,'Employee Details'!A5:S99,19,0),"")</f>
        <v>Mr.</v>
      </c>
      <c r="BJ7" s="38" t="str">
        <f>IF(B7&lt;&gt;"",VLOOKUP(B7,'Employee Details'!A6:D45,4,0),"")</f>
        <v>ONROLL</v>
      </c>
      <c r="BK7" s="38" t="str">
        <f>IF(B7&lt;&gt;"",VLOOKUP(B7,'Employee Details'!A6:E100,5,0),"")</f>
        <v>FACTORY STAFF</v>
      </c>
      <c r="BL7" s="210" t="str">
        <f>IF(B7&lt;&gt;"",VLOOKUP(B7,'Employee Details'!A6:U100,21,0),"")</f>
        <v>Yes</v>
      </c>
      <c r="BO7" s="104"/>
    </row>
    <row r="8" spans="1:67" ht="16.5" thickTop="1" thickBot="1" x14ac:dyDescent="0.3">
      <c r="B8" s="37" t="str">
        <f>_xlfn.IFNA(INDEX('Employee Details'!$A$7:$A11,MATCH(AttendanceSheet!$C8,'Employee Details'!$B$7:$B17,0)),"")</f>
        <v>Emp_0002</v>
      </c>
      <c r="C8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'!$J$1:J2))),"")</f>
        <v>SHRINIVAS IRABHATTI</v>
      </c>
      <c r="D8" s="39" t="str">
        <f>IFERROR(VLOOKUP($B8&amp;D$5,'Mark Leave'!$A$1:$E$1841,5,0),"")</f>
        <v>A</v>
      </c>
      <c r="E8" s="39" t="str">
        <f>IFERROR(VLOOKUP($B8&amp;E$5,'Mark Leave'!$A$1:$E$1841,5,0),"")</f>
        <v/>
      </c>
      <c r="F8" s="39" t="str">
        <f>IFERROR(VLOOKUP($B8&amp;F$5,'Mark Leave'!$A$1:$E$1841,5,0),"")</f>
        <v/>
      </c>
      <c r="G8" s="39" t="str">
        <f>IFERROR(VLOOKUP($B8&amp;G$5,'Mark Leave'!$A$1:$E$1841,5,0),"")</f>
        <v/>
      </c>
      <c r="H8" s="39" t="str">
        <f>IFERROR(VLOOKUP($B8&amp;H$5,'Mark Leave'!$A$1:$E$1841,5,0),"")</f>
        <v/>
      </c>
      <c r="I8" s="39" t="str">
        <f>IFERROR(VLOOKUP($B8&amp;I$5,'Mark Leave'!$A$1:$E$1841,5,0),"")</f>
        <v/>
      </c>
      <c r="J8" s="39" t="str">
        <f>IFERROR(VLOOKUP($B8&amp;J$5,'Mark Leave'!$A$1:$E$1841,5,0),"")</f>
        <v/>
      </c>
      <c r="K8" s="39" t="str">
        <f>IFERROR(VLOOKUP($B8&amp;K$5,'Mark Leave'!$A$1:$E$1841,5,0),"")</f>
        <v/>
      </c>
      <c r="L8" s="39" t="str">
        <f>IFERROR(VLOOKUP($B8&amp;L$5,'Mark Leave'!$A$1:$E$1841,5,0),"")</f>
        <v/>
      </c>
      <c r="M8" s="39" t="str">
        <f>IFERROR(VLOOKUP($B8&amp;M$5,'Mark Leave'!$A$1:$E$1841,5,0),"")</f>
        <v/>
      </c>
      <c r="N8" s="39" t="str">
        <f>IFERROR(VLOOKUP($B8&amp;N$5,'Mark Leave'!$A$1:$E$1841,5,0),"")</f>
        <v/>
      </c>
      <c r="O8" s="39" t="str">
        <f>IFERROR(VLOOKUP($B8&amp;O$5,'Mark Leave'!$A$1:$E$1841,5,0),"")</f>
        <v/>
      </c>
      <c r="P8" s="39" t="str">
        <f>IFERROR(VLOOKUP($B8&amp;P$5,'Mark Leave'!$A$1:$E$1841,5,0),"")</f>
        <v/>
      </c>
      <c r="Q8" s="39" t="str">
        <f>IFERROR(VLOOKUP($B8&amp;Q$5,'Mark Leave'!$A$1:$E$1841,5,0),"")</f>
        <v/>
      </c>
      <c r="R8" s="39" t="str">
        <f>IFERROR(VLOOKUP($B8&amp;R$5,'Mark Leave'!$A$1:$E$1841,5,0),"")</f>
        <v/>
      </c>
      <c r="S8" s="39" t="str">
        <f>IFERROR(VLOOKUP($B8&amp;S$5,'Mark Leave'!$A$1:$E$1841,5,0),"")</f>
        <v/>
      </c>
      <c r="T8" s="39" t="str">
        <f>IFERROR(VLOOKUP($B8&amp;T$5,'Mark Leave'!$A$1:$E$1841,5,0),"")</f>
        <v/>
      </c>
      <c r="U8" s="39" t="str">
        <f>IFERROR(VLOOKUP($B8&amp;U$5,'Mark Leave'!$A$1:$E$1841,5,0),"")</f>
        <v/>
      </c>
      <c r="V8" s="39" t="str">
        <f>IFERROR(VLOOKUP($B8&amp;V$5,'Mark Leave'!$A$1:$E$1841,5,0),"")</f>
        <v/>
      </c>
      <c r="W8" s="39" t="str">
        <f>IFERROR(VLOOKUP($B8&amp;W$5,'Mark Leave'!$A$1:$E$1841,5,0),"")</f>
        <v/>
      </c>
      <c r="X8" s="39" t="str">
        <f>IFERROR(VLOOKUP($B8&amp;X$5,'Mark Leave'!$A$1:$E$1841,5,0),"")</f>
        <v/>
      </c>
      <c r="Y8" s="39" t="str">
        <f>IFERROR(VLOOKUP($B8&amp;Y$5,'Mark Leave'!$A$1:$E$1841,5,0),"")</f>
        <v/>
      </c>
      <c r="Z8" s="39" t="str">
        <f>IFERROR(VLOOKUP($B8&amp;Z$5,'Mark Leave'!$A$1:$E$1841,5,0),"")</f>
        <v/>
      </c>
      <c r="AA8" s="39" t="str">
        <f>IFERROR(VLOOKUP($B8&amp;AA$5,'Mark Leave'!$A$1:$E$1841,5,0),"")</f>
        <v/>
      </c>
      <c r="AB8" s="39" t="str">
        <f>IFERROR(VLOOKUP($B8&amp;AB$5,'Mark Leave'!$A$1:$E$1841,5,0),"")</f>
        <v/>
      </c>
      <c r="AC8" s="39" t="str">
        <f>IFERROR(VLOOKUP($B8&amp;AC$5,'Mark Leave'!$A$1:$E$1841,5,0),"")</f>
        <v/>
      </c>
      <c r="AD8" s="39" t="str">
        <f>IFERROR(VLOOKUP($B8&amp;AD$5,'Mark Leave'!$A$1:$E$1841,5,0),"")</f>
        <v/>
      </c>
      <c r="AE8" s="39" t="str">
        <f>IFERROR(VLOOKUP($B8&amp;AE$5,'Mark Leave'!$A$1:$E$1841,5,0),"")</f>
        <v/>
      </c>
      <c r="AF8" s="39" t="str">
        <f>IFERROR(VLOOKUP($B8&amp;AF$5,'Mark Leave'!$A$1:$E$1841,5,0),"")</f>
        <v/>
      </c>
      <c r="AG8" s="39" t="str">
        <f>IFERROR(VLOOKUP($B8&amp;AG$5,'Mark Leave'!$A$1:$E$1841,5,0),"")</f>
        <v/>
      </c>
      <c r="AH8" s="39" t="str">
        <f>IFERROR(VLOOKUP($B8&amp;AH$5,'Mark Leave'!$A$1:$E$1841,5,0),"")</f>
        <v/>
      </c>
      <c r="AI8" s="98">
        <f>IF($B8&lt;&gt;"",COUNTIF($D8:$AH8,'Setting '!$H$2),"")</f>
        <v>1</v>
      </c>
      <c r="AJ8" s="98">
        <f>IF($B8&lt;&gt;"",COUNTIF($D8:$AH8,'Setting '!$H$3)/2,"")</f>
        <v>0</v>
      </c>
      <c r="AK8" s="98">
        <f>IF($B8&lt;&gt;"",COUNTIF($D8:$AH8,'Setting '!$H$4),"")</f>
        <v>0</v>
      </c>
      <c r="AL8" s="98">
        <f t="shared" ref="AL8:AL71" si="13">IF($B8&lt;&gt;"",(AI8+AJ8),"")</f>
        <v>1</v>
      </c>
      <c r="AM8" s="117">
        <f>IF(B8&lt;&gt;"",_xlfn.IFNA(VLOOKUP(B8,'Leave Credit Sheet'!B8:K101,10,0),""),"")</f>
        <v>0</v>
      </c>
      <c r="AN8" s="98">
        <f t="shared" si="2"/>
        <v>30</v>
      </c>
      <c r="AO8" s="106">
        <f>IF(B8&lt;&gt;"",_xlfn.IFNA(INDEX('CTC Sheet'!$C$6:$N$101,MATCH(AttendanceSheet!$B8,'CTC Sheet'!$A$6:$A$101,0),MATCH(AttendanceSheet!$T$1,'CTC Sheet'!$C$5:$N$5,0)),0),"")</f>
        <v>63525</v>
      </c>
      <c r="AP8" s="106">
        <f>IF(B8&lt;&gt;"",_xlfn.IFNA(INDEX('CTC Sheet'!$R$6:$AC$100,MATCH(AttendanceSheet!$B8,'CTC Sheet'!$P$6:$P$100,0),MATCH(AttendanceSheet!$T$1,'CTC Sheet'!$R$5:$AC$5,0)),0),"")</f>
        <v>0</v>
      </c>
      <c r="AQ8" s="106">
        <f t="shared" si="3"/>
        <v>21172.8825</v>
      </c>
      <c r="AR8" s="106">
        <f t="shared" si="4"/>
        <v>10586.44125</v>
      </c>
      <c r="AS8" s="106">
        <f t="shared" si="5"/>
        <v>12703.729499999999</v>
      </c>
      <c r="AT8" s="106">
        <f t="shared" si="6"/>
        <v>8469.1530000000002</v>
      </c>
      <c r="AU8" s="106">
        <f t="shared" si="7"/>
        <v>6351.8647499999997</v>
      </c>
      <c r="AV8" s="106">
        <f t="shared" si="8"/>
        <v>4240.9283647499997</v>
      </c>
      <c r="AW8" s="106">
        <f>IF(B8&lt;&gt;"",_xlfn.IFNA(INDEX('OtherArrear payment'!$A$1:$N$95,MATCH(AttendanceSheet!$B8,'OtherArrear payment'!$A$1:$A$95,0),MATCH(AttendanceSheet!$T$1,'OtherArrear payment'!$A$1:$N$1,0)),0),"")</f>
        <v>0</v>
      </c>
      <c r="AX8" s="106">
        <f t="shared" ref="AX8:AX71" si="14">IF($B8&lt;&gt;"",$AQ8+$AR8+$AS8+$AT8+$AU8+$AV8,"")</f>
        <v>63524.999364749994</v>
      </c>
      <c r="AY8" s="106">
        <f t="shared" si="9"/>
        <v>0</v>
      </c>
      <c r="AZ8" s="106">
        <f t="shared" si="10"/>
        <v>0</v>
      </c>
      <c r="BA8" s="106">
        <f t="shared" si="11"/>
        <v>0</v>
      </c>
      <c r="BB8" s="106">
        <f t="shared" si="12"/>
        <v>0</v>
      </c>
      <c r="BC8" s="106">
        <f>IF($B8&lt;&gt;"",IF(BL8="Yes",IF($BI8="Mr.",IF($AX8&lt;=7500,0,IF(AND($AX8&lt;10000,$AX8&gt;7501),175,IF(AND($AX8&gt;10000,'Setting '!$G$28&lt;&gt;11),200,300))),IF(AND($AX8&lt;=10000,$BI8="Ms."),0,IF(AND($AX8&gt;10000,'Setting '!$G$28&lt;&gt;11),200,300))),0),"")</f>
        <v>200</v>
      </c>
      <c r="BD8" s="42"/>
      <c r="BE8" s="212">
        <f>IF($B8&lt;&gt;"",IF('Advance Sheet'!AF5&gt;=0,INDEX('Advance Sheet'!$Q$3:$AD$100,MATCH(AttendanceSheet!$B8,'Advance Sheet'!$Q$3:$Q$100,0),MATCH(AttendanceSheet!$T$1,'Advance Sheet'!$Q$3:$AD$3,)),0),"")</f>
        <v>0</v>
      </c>
      <c r="BF8" s="137">
        <f t="shared" ref="BF8:BF71" si="15">IF($B8&lt;&gt;"",$AX8+AW8-($AY8+$AZ8+$BA8+$BB8+$BC8+$BD8+$BE8),"")</f>
        <v>63324.999364749994</v>
      </c>
      <c r="BG8" s="97" t="str">
        <f>IF(B8&lt;&gt;"",VLOOKUP(B8,'Employee Details'!A7:S100,17,0),"")</f>
        <v>No</v>
      </c>
      <c r="BH8" s="97" t="str">
        <f>IF(B8&lt;&gt;"",VLOOKUP(B8,'Employee Details'!A7:S100,18,0),"")</f>
        <v>No</v>
      </c>
      <c r="BI8" s="40" t="str">
        <f>IF(B8&lt;&gt;"",VLOOKUP(B8,'Employee Details'!A6:S100,19,0),"")</f>
        <v>Ms.</v>
      </c>
      <c r="BJ8" s="38" t="str">
        <f>IF(B8&lt;&gt;"",VLOOKUP(B8,'Employee Details'!A7:D46,4,0),"")</f>
        <v>ONROLL</v>
      </c>
      <c r="BK8" s="38" t="str">
        <f>IF(B8&lt;&gt;"",VLOOKUP(B8,'Employee Details'!A7:E100,5,0),"")</f>
        <v>FACTORY STAFF</v>
      </c>
      <c r="BL8" s="210" t="str">
        <f>IF(B8&lt;&gt;"",VLOOKUP(B8,'Employee Details'!A7:U100,21,0),"")</f>
        <v>Yes</v>
      </c>
      <c r="BO8" s="104"/>
    </row>
    <row r="9" spans="1:67" ht="24.75" thickTop="1" thickBot="1" x14ac:dyDescent="0.3">
      <c r="B9" s="37" t="str">
        <f>_xlfn.IFNA(INDEX('Employee Details'!$A$7:$A12,MATCH(AttendanceSheet!$C9,'Employee Details'!$B$7:$B18,0)),"")</f>
        <v>Emp_0003</v>
      </c>
      <c r="C9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'!$J$1:J3))),"")</f>
        <v>KUMAR PATIL</v>
      </c>
      <c r="D9" s="39" t="str">
        <f>IFERROR(VLOOKUP($B9&amp;D$5,'Mark Leave'!$A$1:$E$1841,5,0),"")</f>
        <v>A</v>
      </c>
      <c r="E9" s="39" t="str">
        <f>IFERROR(VLOOKUP($B9&amp;E$5,'Mark Leave'!$A$1:$E$1841,5,0),"")</f>
        <v>A</v>
      </c>
      <c r="F9" s="39" t="str">
        <f>IFERROR(VLOOKUP($B9&amp;F$5,'Mark Leave'!$A$1:$E$1841,5,0),"")</f>
        <v>A</v>
      </c>
      <c r="G9" s="39" t="str">
        <f>IFERROR(VLOOKUP($B9&amp;G$5,'Mark Leave'!$A$1:$E$1841,5,0),"")</f>
        <v>"1/2"</v>
      </c>
      <c r="H9" s="39" t="str">
        <f>IFERROR(VLOOKUP($B9&amp;H$5,'Mark Leave'!$A$1:$E$1841,5,0),"")</f>
        <v/>
      </c>
      <c r="I9" s="39" t="str">
        <f>IFERROR(VLOOKUP($B9&amp;I$5,'Mark Leave'!$A$1:$E$1841,5,0),"")</f>
        <v/>
      </c>
      <c r="J9" s="39" t="str">
        <f>IFERROR(VLOOKUP($B9&amp;J$5,'Mark Leave'!$A$1:$E$1841,5,0),"")</f>
        <v/>
      </c>
      <c r="K9" s="39" t="str">
        <f>IFERROR(VLOOKUP($B9&amp;K$5,'Mark Leave'!$A$1:$E$1841,5,0),"")</f>
        <v/>
      </c>
      <c r="L9" s="39" t="str">
        <f>IFERROR(VLOOKUP($B9&amp;L$5,'Mark Leave'!$A$1:$E$1841,5,0),"")</f>
        <v/>
      </c>
      <c r="M9" s="39" t="str">
        <f>IFERROR(VLOOKUP($B9&amp;M$5,'Mark Leave'!$A$1:$E$1841,5,0),"")</f>
        <v/>
      </c>
      <c r="N9" s="39" t="str">
        <f>IFERROR(VLOOKUP($B9&amp;N$5,'Mark Leave'!$A$1:$E$1841,5,0),"")</f>
        <v/>
      </c>
      <c r="O9" s="39" t="str">
        <f>IFERROR(VLOOKUP($B9&amp;O$5,'Mark Leave'!$A$1:$E$1841,5,0),"")</f>
        <v/>
      </c>
      <c r="P9" s="39" t="str">
        <f>IFERROR(VLOOKUP($B9&amp;P$5,'Mark Leave'!$A$1:$E$1841,5,0),"")</f>
        <v/>
      </c>
      <c r="Q9" s="39" t="str">
        <f>IFERROR(VLOOKUP($B9&amp;Q$5,'Mark Leave'!$A$1:$E$1841,5,0),"")</f>
        <v/>
      </c>
      <c r="R9" s="39" t="str">
        <f>IFERROR(VLOOKUP($B9&amp;R$5,'Mark Leave'!$A$1:$E$1841,5,0),"")</f>
        <v/>
      </c>
      <c r="S9" s="39" t="str">
        <f>IFERROR(VLOOKUP($B9&amp;S$5,'Mark Leave'!$A$1:$E$1841,5,0),"")</f>
        <v/>
      </c>
      <c r="T9" s="39" t="str">
        <f>IFERROR(VLOOKUP($B9&amp;T$5,'Mark Leave'!$A$1:$E$1841,5,0),"")</f>
        <v/>
      </c>
      <c r="U9" s="39" t="str">
        <f>IFERROR(VLOOKUP($B9&amp;U$5,'Mark Leave'!$A$1:$E$1841,5,0),"")</f>
        <v/>
      </c>
      <c r="V9" s="39" t="str">
        <f>IFERROR(VLOOKUP($B9&amp;V$5,'Mark Leave'!$A$1:$E$1841,5,0),"")</f>
        <v/>
      </c>
      <c r="W9" s="39" t="str">
        <f>IFERROR(VLOOKUP($B9&amp;W$5,'Mark Leave'!$A$1:$E$1841,5,0),"")</f>
        <v/>
      </c>
      <c r="X9" s="39" t="str">
        <f>IFERROR(VLOOKUP($B9&amp;X$5,'Mark Leave'!$A$1:$E$1841,5,0),"")</f>
        <v/>
      </c>
      <c r="Y9" s="39" t="str">
        <f>IFERROR(VLOOKUP($B9&amp;Y$5,'Mark Leave'!$A$1:$E$1841,5,0),"")</f>
        <v/>
      </c>
      <c r="Z9" s="39" t="str">
        <f>IFERROR(VLOOKUP($B9&amp;Z$5,'Mark Leave'!$A$1:$E$1841,5,0),"")</f>
        <v/>
      </c>
      <c r="AA9" s="39" t="str">
        <f>IFERROR(VLOOKUP($B9&amp;AA$5,'Mark Leave'!$A$1:$E$1841,5,0),"")</f>
        <v/>
      </c>
      <c r="AB9" s="39" t="str">
        <f>IFERROR(VLOOKUP($B9&amp;AB$5,'Mark Leave'!$A$1:$E$1841,5,0),"")</f>
        <v/>
      </c>
      <c r="AC9" s="39" t="str">
        <f>IFERROR(VLOOKUP($B9&amp;AC$5,'Mark Leave'!$A$1:$E$1841,5,0),"")</f>
        <v/>
      </c>
      <c r="AD9" s="39" t="str">
        <f>IFERROR(VLOOKUP($B9&amp;AD$5,'Mark Leave'!$A$1:$E$1841,5,0),"")</f>
        <v/>
      </c>
      <c r="AE9" s="39" t="str">
        <f>IFERROR(VLOOKUP($B9&amp;AE$5,'Mark Leave'!$A$1:$E$1841,5,0),"")</f>
        <v/>
      </c>
      <c r="AF9" s="39" t="str">
        <f>IFERROR(VLOOKUP($B9&amp;AF$5,'Mark Leave'!$A$1:$E$1841,5,0),"")</f>
        <v/>
      </c>
      <c r="AG9" s="39" t="str">
        <f>IFERROR(VLOOKUP($B9&amp;AG$5,'Mark Leave'!$A$1:$E$1841,5,0),"")</f>
        <v/>
      </c>
      <c r="AH9" s="39" t="str">
        <f>IFERROR(VLOOKUP($B9&amp;AH$5,'Mark Leave'!$A$1:$E$1841,5,0),"")</f>
        <v/>
      </c>
      <c r="AI9" s="98">
        <f>IF($B9&lt;&gt;"",COUNTIF($D9:$AH9,'Setting '!$H$2),"")</f>
        <v>3</v>
      </c>
      <c r="AJ9" s="98">
        <f>IF($B9&lt;&gt;"",COUNTIF($D9:$AH9,'Setting '!$H$3)/2,"")</f>
        <v>0.5</v>
      </c>
      <c r="AK9" s="98">
        <f>IF($B9&lt;&gt;"",COUNTIF($D9:$AH9,'Setting '!$H$4),"")</f>
        <v>0</v>
      </c>
      <c r="AL9" s="98">
        <f t="shared" si="13"/>
        <v>3.5</v>
      </c>
      <c r="AM9" s="117">
        <f>IF(B9&lt;&gt;"",_xlfn.IFNA(VLOOKUP(B9,'Leave Credit Sheet'!B9:K102,10,0),""),"")</f>
        <v>0</v>
      </c>
      <c r="AN9" s="98">
        <f t="shared" si="2"/>
        <v>30</v>
      </c>
      <c r="AO9" s="106">
        <f>IF(B9&lt;&gt;"",_xlfn.IFNA(INDEX('CTC Sheet'!$C$6:$N$101,MATCH(AttendanceSheet!$B9,'CTC Sheet'!$A$6:$A$101,0),MATCH(AttendanceSheet!$T$1,'CTC Sheet'!$C$5:$N$5,0)),0),"")</f>
        <v>33275</v>
      </c>
      <c r="AP9" s="106">
        <f>IF(B9&lt;&gt;"",_xlfn.IFNA(INDEX('CTC Sheet'!$R$6:$AC$100,MATCH(AttendanceSheet!$B9,'CTC Sheet'!$P$6:$P$100,0),MATCH(AttendanceSheet!$T$1,'CTC Sheet'!$R$5:$AC$5,0)),0),"")</f>
        <v>0</v>
      </c>
      <c r="AQ9" s="106">
        <f t="shared" si="3"/>
        <v>11090.557499999999</v>
      </c>
      <c r="AR9" s="106">
        <f t="shared" si="4"/>
        <v>5545.2787499999995</v>
      </c>
      <c r="AS9" s="106">
        <f t="shared" si="5"/>
        <v>6654.334499999999</v>
      </c>
      <c r="AT9" s="106">
        <f t="shared" si="6"/>
        <v>4436.223</v>
      </c>
      <c r="AU9" s="106">
        <f t="shared" si="7"/>
        <v>3327.1672499999995</v>
      </c>
      <c r="AV9" s="106">
        <f t="shared" si="8"/>
        <v>2221.43866725</v>
      </c>
      <c r="AW9" s="106">
        <f>IF(B9&lt;&gt;"",_xlfn.IFNA(INDEX('OtherArrear payment'!$A$1:$N$95,MATCH(AttendanceSheet!$B9,'OtherArrear payment'!$A$1:$A$95,0),MATCH(AttendanceSheet!$T$1,'OtherArrear payment'!$A$1:$N$1,0)),0),"")</f>
        <v>0</v>
      </c>
      <c r="AX9" s="106">
        <f t="shared" si="14"/>
        <v>33274.999667249991</v>
      </c>
      <c r="AY9" s="106">
        <f t="shared" si="9"/>
        <v>0</v>
      </c>
      <c r="AZ9" s="106">
        <f t="shared" si="10"/>
        <v>0</v>
      </c>
      <c r="BA9" s="106">
        <f t="shared" si="11"/>
        <v>0</v>
      </c>
      <c r="BB9" s="106">
        <f t="shared" si="12"/>
        <v>0</v>
      </c>
      <c r="BC9" s="106">
        <f>IF($B9&lt;&gt;"",IF(BL9="Yes",IF($BI9="Mr.",IF($AX9&lt;=7500,0,IF(AND($AX9&lt;10000,$AX9&gt;7501),175,IF(AND($AX9&gt;10000,'Setting '!$G$28&lt;&gt;11),200,300))),IF(AND($AX9&lt;=10000,$BI9="Ms."),0,IF(AND($AX9&gt;10000,'Setting '!$G$28&lt;&gt;11),200,300))),0),"")</f>
        <v>200</v>
      </c>
      <c r="BD9" s="42"/>
      <c r="BE9" s="212">
        <f>IF($B9&lt;&gt;"",IF('Advance Sheet'!AF6&gt;=0,INDEX('Advance Sheet'!$Q$3:$AD$100,MATCH(AttendanceSheet!$B9,'Advance Sheet'!$Q$3:$Q$100,0),MATCH(AttendanceSheet!$T$1,'Advance Sheet'!$Q$3:$AD$3,)),0),"")</f>
        <v>0</v>
      </c>
      <c r="BF9" s="137">
        <f t="shared" si="15"/>
        <v>33074.999667249991</v>
      </c>
      <c r="BG9" s="97" t="str">
        <f>IF(B9&lt;&gt;"",VLOOKUP(B9,'Employee Details'!A8:S100,17,0),"")</f>
        <v>NO</v>
      </c>
      <c r="BH9" s="97" t="str">
        <f>IF(B9&lt;&gt;"",VLOOKUP(B9,'Employee Details'!A8:S100,18,0),"")</f>
        <v>NO</v>
      </c>
      <c r="BI9" s="40" t="str">
        <f>IF(B9&lt;&gt;"",VLOOKUP(B9,'Employee Details'!A7:S100,19,0),"")</f>
        <v>Mr.</v>
      </c>
      <c r="BJ9" s="38" t="str">
        <f>IF(B9&lt;&gt;"",VLOOKUP(B9,'Employee Details'!A8:D47,4,0),"")</f>
        <v>ONROLL</v>
      </c>
      <c r="BK9" s="38" t="str">
        <f>IF(B9&lt;&gt;"",VLOOKUP(B9,'Employee Details'!A8:E100,5,0),"")</f>
        <v>HO STAFF</v>
      </c>
      <c r="BL9" s="210" t="str">
        <f>IF(B9&lt;&gt;"",VLOOKUP(B9,'Employee Details'!A8:U100,21,0),"")</f>
        <v>Yes</v>
      </c>
      <c r="BO9" s="104"/>
    </row>
    <row r="10" spans="1:67" ht="16.5" thickTop="1" thickBot="1" x14ac:dyDescent="0.3">
      <c r="B10" s="37" t="str">
        <f>_xlfn.IFNA(INDEX('Employee Details'!$A$7:$A13,MATCH(AttendanceSheet!$C10,'Employee Details'!$B$7:$B19,0)),"")</f>
        <v>Emp_0004</v>
      </c>
      <c r="C10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'!$J$1:J4))),"")</f>
        <v>VINOD MALUSARE</v>
      </c>
      <c r="D10" s="39" t="str">
        <f>IFERROR(VLOOKUP($B10&amp;D$5,'Mark Leave'!$A$1:$E$1841,5,0),"")</f>
        <v>A</v>
      </c>
      <c r="E10" s="39" t="str">
        <f>IFERROR(VLOOKUP($B10&amp;E$5,'Mark Leave'!$A$1:$E$1841,5,0),"")</f>
        <v>A</v>
      </c>
      <c r="F10" s="39" t="str">
        <f>IFERROR(VLOOKUP($B10&amp;F$5,'Mark Leave'!$A$1:$E$1841,5,0),"")</f>
        <v>A</v>
      </c>
      <c r="G10" s="39" t="str">
        <f>IFERROR(VLOOKUP($B10&amp;G$5,'Mark Leave'!$A$1:$E$1841,5,0),"")</f>
        <v>A</v>
      </c>
      <c r="H10" s="39" t="str">
        <f>IFERROR(VLOOKUP($B10&amp;H$5,'Mark Leave'!$A$1:$E$1841,5,0),"")</f>
        <v>A</v>
      </c>
      <c r="I10" s="39" t="str">
        <f>IFERROR(VLOOKUP($B10&amp;I$5,'Mark Leave'!$A$1:$E$1841,5,0),"")</f>
        <v>A</v>
      </c>
      <c r="J10" s="39" t="str">
        <f>IFERROR(VLOOKUP($B10&amp;J$5,'Mark Leave'!$A$1:$E$1841,5,0),"")</f>
        <v>A</v>
      </c>
      <c r="K10" s="39" t="str">
        <f>IFERROR(VLOOKUP($B10&amp;K$5,'Mark Leave'!$A$1:$E$1841,5,0),"")</f>
        <v/>
      </c>
      <c r="L10" s="39" t="str">
        <f>IFERROR(VLOOKUP($B10&amp;L$5,'Mark Leave'!$A$1:$E$1841,5,0),"")</f>
        <v/>
      </c>
      <c r="M10" s="39" t="str">
        <f>IFERROR(VLOOKUP($B10&amp;M$5,'Mark Leave'!$A$1:$E$1841,5,0),"")</f>
        <v/>
      </c>
      <c r="N10" s="39" t="str">
        <f>IFERROR(VLOOKUP($B10&amp;N$5,'Mark Leave'!$A$1:$E$1841,5,0),"")</f>
        <v/>
      </c>
      <c r="O10" s="39" t="str">
        <f>IFERROR(VLOOKUP($B10&amp;O$5,'Mark Leave'!$A$1:$E$1841,5,0),"")</f>
        <v/>
      </c>
      <c r="P10" s="39" t="str">
        <f>IFERROR(VLOOKUP($B10&amp;P$5,'Mark Leave'!$A$1:$E$1841,5,0),"")</f>
        <v/>
      </c>
      <c r="Q10" s="39" t="str">
        <f>IFERROR(VLOOKUP($B10&amp;Q$5,'Mark Leave'!$A$1:$E$1841,5,0),"")</f>
        <v/>
      </c>
      <c r="R10" s="39" t="str">
        <f>IFERROR(VLOOKUP($B10&amp;R$5,'Mark Leave'!$A$1:$E$1841,5,0),"")</f>
        <v/>
      </c>
      <c r="S10" s="39" t="str">
        <f>IFERROR(VLOOKUP($B10&amp;S$5,'Mark Leave'!$A$1:$E$1841,5,0),"")</f>
        <v/>
      </c>
      <c r="T10" s="39" t="str">
        <f>IFERROR(VLOOKUP($B10&amp;T$5,'Mark Leave'!$A$1:$E$1841,5,0),"")</f>
        <v/>
      </c>
      <c r="U10" s="39" t="str">
        <f>IFERROR(VLOOKUP($B10&amp;U$5,'Mark Leave'!$A$1:$E$1841,5,0),"")</f>
        <v/>
      </c>
      <c r="V10" s="39" t="str">
        <f>IFERROR(VLOOKUP($B10&amp;V$5,'Mark Leave'!$A$1:$E$1841,5,0),"")</f>
        <v/>
      </c>
      <c r="W10" s="39" t="str">
        <f>IFERROR(VLOOKUP($B10&amp;W$5,'Mark Leave'!$A$1:$E$1841,5,0),"")</f>
        <v/>
      </c>
      <c r="X10" s="39" t="str">
        <f>IFERROR(VLOOKUP($B10&amp;X$5,'Mark Leave'!$A$1:$E$1841,5,0),"")</f>
        <v/>
      </c>
      <c r="Y10" s="39" t="str">
        <f>IFERROR(VLOOKUP($B10&amp;Y$5,'Mark Leave'!$A$1:$E$1841,5,0),"")</f>
        <v/>
      </c>
      <c r="Z10" s="39" t="str">
        <f>IFERROR(VLOOKUP($B10&amp;Z$5,'Mark Leave'!$A$1:$E$1841,5,0),"")</f>
        <v/>
      </c>
      <c r="AA10" s="39" t="str">
        <f>IFERROR(VLOOKUP($B10&amp;AA$5,'Mark Leave'!$A$1:$E$1841,5,0),"")</f>
        <v/>
      </c>
      <c r="AB10" s="39" t="str">
        <f>IFERROR(VLOOKUP($B10&amp;AB$5,'Mark Leave'!$A$1:$E$1841,5,0),"")</f>
        <v/>
      </c>
      <c r="AC10" s="39" t="str">
        <f>IFERROR(VLOOKUP($B10&amp;AC$5,'Mark Leave'!$A$1:$E$1841,5,0),"")</f>
        <v/>
      </c>
      <c r="AD10" s="39" t="str">
        <f>IFERROR(VLOOKUP($B10&amp;AD$5,'Mark Leave'!$A$1:$E$1841,5,0),"")</f>
        <v/>
      </c>
      <c r="AE10" s="39" t="str">
        <f>IFERROR(VLOOKUP($B10&amp;AE$5,'Mark Leave'!$A$1:$E$1841,5,0),"")</f>
        <v/>
      </c>
      <c r="AF10" s="39" t="str">
        <f>IFERROR(VLOOKUP($B10&amp;AF$5,'Mark Leave'!$A$1:$E$1841,5,0),"")</f>
        <v/>
      </c>
      <c r="AG10" s="39" t="str">
        <f>IFERROR(VLOOKUP($B10&amp;AG$5,'Mark Leave'!$A$1:$E$1841,5,0),"")</f>
        <v/>
      </c>
      <c r="AH10" s="39" t="str">
        <f>IFERROR(VLOOKUP($B10&amp;AH$5,'Mark Leave'!$A$1:$E$1841,5,0),"")</f>
        <v/>
      </c>
      <c r="AI10" s="98">
        <f>IF($B10&lt;&gt;"",COUNTIF($D10:$AH10,'Setting '!$H$2),"")</f>
        <v>7</v>
      </c>
      <c r="AJ10" s="98">
        <f>IF($B10&lt;&gt;"",COUNTIF($D10:$AH10,'Setting '!$H$3)/2,"")</f>
        <v>0</v>
      </c>
      <c r="AK10" s="98">
        <f>IF($B10&lt;&gt;"",COUNTIF($D10:$AH10,'Setting '!$H$4),"")</f>
        <v>0</v>
      </c>
      <c r="AL10" s="98">
        <f t="shared" si="13"/>
        <v>7</v>
      </c>
      <c r="AM10" s="117">
        <f>IF(B10&lt;&gt;"",_xlfn.IFNA(VLOOKUP(B10,'Leave Credit Sheet'!B10:K103,10,0),""),"")</f>
        <v>0</v>
      </c>
      <c r="AN10" s="98">
        <f t="shared" si="2"/>
        <v>30</v>
      </c>
      <c r="AO10" s="106">
        <f>IF(B10&lt;&gt;"",_xlfn.IFNA(INDEX('CTC Sheet'!$C$6:$N$101,MATCH(AttendanceSheet!$B10,'CTC Sheet'!$A$6:$A$101,0),MATCH(AttendanceSheet!$T$1,'CTC Sheet'!$C$5:$N$5,0)),0),"")</f>
        <v>42500</v>
      </c>
      <c r="AP10" s="106">
        <f>IF(B10&lt;&gt;"",_xlfn.IFNA(INDEX('CTC Sheet'!$R$6:$AC$100,MATCH(AttendanceSheet!$B10,'CTC Sheet'!$P$6:$P$100,0),MATCH(AttendanceSheet!$T$1,'CTC Sheet'!$R$5:$AC$5,0)),0),"")</f>
        <v>0</v>
      </c>
      <c r="AQ10" s="106">
        <f t="shared" si="3"/>
        <v>14165.25</v>
      </c>
      <c r="AR10" s="106">
        <f t="shared" si="4"/>
        <v>7082.625</v>
      </c>
      <c r="AS10" s="106">
        <f t="shared" si="5"/>
        <v>8499.15</v>
      </c>
      <c r="AT10" s="106">
        <f t="shared" si="6"/>
        <v>5666.1</v>
      </c>
      <c r="AU10" s="106">
        <f t="shared" si="7"/>
        <v>4249.5749999999998</v>
      </c>
      <c r="AV10" s="106">
        <f t="shared" si="8"/>
        <v>2837.299575</v>
      </c>
      <c r="AW10" s="106">
        <f>IF(B10&lt;&gt;"",_xlfn.IFNA(INDEX('OtherArrear payment'!$A$1:$N$95,MATCH(AttendanceSheet!$B10,'OtherArrear payment'!$A$1:$A$95,0),MATCH(AttendanceSheet!$T$1,'OtherArrear payment'!$A$1:$N$1,0)),0),"")</f>
        <v>0</v>
      </c>
      <c r="AX10" s="106">
        <f t="shared" si="14"/>
        <v>42499.999574999994</v>
      </c>
      <c r="AY10" s="106">
        <f t="shared" si="9"/>
        <v>0</v>
      </c>
      <c r="AZ10" s="106">
        <f t="shared" si="10"/>
        <v>0</v>
      </c>
      <c r="BA10" s="106">
        <f t="shared" si="11"/>
        <v>0</v>
      </c>
      <c r="BB10" s="106">
        <f t="shared" si="12"/>
        <v>0</v>
      </c>
      <c r="BC10" s="106">
        <f>IF($B10&lt;&gt;"",IF(BL10="Yes",IF($BI10="Mr.",IF($AX10&lt;=7500,0,IF(AND($AX10&lt;10000,$AX10&gt;7501),175,IF(AND($AX10&gt;10000,'Setting '!$G$28&lt;&gt;11),200,300))),IF(AND($AX10&lt;=10000,$BI10="Ms."),0,IF(AND($AX10&gt;10000,'Setting '!$G$28&lt;&gt;11),200,300))),0),"")</f>
        <v>200</v>
      </c>
      <c r="BD10" s="42"/>
      <c r="BE10" s="212">
        <f>IF($B10&lt;&gt;"",IF('Advance Sheet'!AF7&gt;=0,INDEX('Advance Sheet'!$Q$3:$AD$100,MATCH(AttendanceSheet!$B10,'Advance Sheet'!$Q$3:$Q$100,0),MATCH(AttendanceSheet!$T$1,'Advance Sheet'!$Q$3:$AD$3,)),0),"")</f>
        <v>0</v>
      </c>
      <c r="BF10" s="137">
        <f t="shared" si="15"/>
        <v>42299.999574999994</v>
      </c>
      <c r="BG10" s="97" t="str">
        <f>IF(B10&lt;&gt;"",VLOOKUP(B10,'Employee Details'!A9:S100,17,0),"")</f>
        <v>NO</v>
      </c>
      <c r="BH10" s="97" t="str">
        <f>IF(B10&lt;&gt;"",VLOOKUP(B10,'Employee Details'!A9:S100,18,0),"")</f>
        <v>NO</v>
      </c>
      <c r="BI10" s="40" t="str">
        <f>IF(B10&lt;&gt;"",VLOOKUP(B10,'Employee Details'!A8:S100,19,0),"")</f>
        <v>Mr.</v>
      </c>
      <c r="BJ10" s="38" t="str">
        <f>IF(B10&lt;&gt;"",VLOOKUP(B10,'Employee Details'!A9:D48,4,0),"")</f>
        <v>ONROLL</v>
      </c>
      <c r="BK10" s="38" t="str">
        <f>IF(B10&lt;&gt;"",VLOOKUP(B10,'Employee Details'!A9:E100,5,0),"")</f>
        <v>HO STAFF</v>
      </c>
      <c r="BL10" s="210" t="str">
        <f>IF(B10&lt;&gt;"",VLOOKUP(B10,'Employee Details'!A9:U100,21,0),"")</f>
        <v>Yes</v>
      </c>
      <c r="BO10" s="104"/>
    </row>
    <row r="11" spans="1:67" ht="16.5" thickTop="1" thickBot="1" x14ac:dyDescent="0.3">
      <c r="B11" s="37" t="str">
        <f>_xlfn.IFNA(INDEX('Employee Details'!$A$7:$A14,MATCH(AttendanceSheet!$C11,'Employee Details'!$B$7:$B20,0)),"")</f>
        <v>Emp_0005</v>
      </c>
      <c r="C11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'!$J$1:J5))),"")</f>
        <v>VAHILE</v>
      </c>
      <c r="D11" s="39" t="str">
        <f>IFERROR(VLOOKUP($B11&amp;D$5,'Mark Leave'!$A$1:$E$1841,5,0),"")</f>
        <v>OT</v>
      </c>
      <c r="E11" s="39" t="str">
        <f>IFERROR(VLOOKUP($B11&amp;E$5,'Mark Leave'!$A$1:$E$1841,5,0),"")</f>
        <v/>
      </c>
      <c r="F11" s="39" t="str">
        <f>IFERROR(VLOOKUP($B11&amp;F$5,'Mark Leave'!$A$1:$E$1841,5,0),"")</f>
        <v/>
      </c>
      <c r="G11" s="39" t="str">
        <f>IFERROR(VLOOKUP($B11&amp;G$5,'Mark Leave'!$A$1:$E$1841,5,0),"")</f>
        <v/>
      </c>
      <c r="H11" s="39" t="str">
        <f>IFERROR(VLOOKUP($B11&amp;H$5,'Mark Leave'!$A$1:$E$1841,5,0),"")</f>
        <v/>
      </c>
      <c r="I11" s="39" t="str">
        <f>IFERROR(VLOOKUP($B11&amp;I$5,'Mark Leave'!$A$1:$E$1841,5,0),"")</f>
        <v/>
      </c>
      <c r="J11" s="39" t="str">
        <f>IFERROR(VLOOKUP($B11&amp;J$5,'Mark Leave'!$A$1:$E$1841,5,0),"")</f>
        <v/>
      </c>
      <c r="K11" s="39" t="str">
        <f>IFERROR(VLOOKUP($B11&amp;K$5,'Mark Leave'!$A$1:$E$1841,5,0),"")</f>
        <v/>
      </c>
      <c r="L11" s="39" t="str">
        <f>IFERROR(VLOOKUP($B11&amp;L$5,'Mark Leave'!$A$1:$E$1841,5,0),"")</f>
        <v/>
      </c>
      <c r="M11" s="39" t="str">
        <f>IFERROR(VLOOKUP($B11&amp;M$5,'Mark Leave'!$A$1:$E$1841,5,0),"")</f>
        <v/>
      </c>
      <c r="N11" s="39" t="str">
        <f>IFERROR(VLOOKUP($B11&amp;N$5,'Mark Leave'!$A$1:$E$1841,5,0),"")</f>
        <v/>
      </c>
      <c r="O11" s="39" t="str">
        <f>IFERROR(VLOOKUP($B11&amp;O$5,'Mark Leave'!$A$1:$E$1841,5,0),"")</f>
        <v/>
      </c>
      <c r="P11" s="39" t="str">
        <f>IFERROR(VLOOKUP($B11&amp;P$5,'Mark Leave'!$A$1:$E$1841,5,0),"")</f>
        <v/>
      </c>
      <c r="Q11" s="39" t="str">
        <f>IFERROR(VLOOKUP($B11&amp;Q$5,'Mark Leave'!$A$1:$E$1841,5,0),"")</f>
        <v/>
      </c>
      <c r="R11" s="39" t="str">
        <f>IFERROR(VLOOKUP($B11&amp;R$5,'Mark Leave'!$A$1:$E$1841,5,0),"")</f>
        <v/>
      </c>
      <c r="S11" s="39" t="str">
        <f>IFERROR(VLOOKUP($B11&amp;S$5,'Mark Leave'!$A$1:$E$1841,5,0),"")</f>
        <v/>
      </c>
      <c r="T11" s="39" t="str">
        <f>IFERROR(VLOOKUP($B11&amp;T$5,'Mark Leave'!$A$1:$E$1841,5,0),"")</f>
        <v/>
      </c>
      <c r="U11" s="39" t="str">
        <f>IFERROR(VLOOKUP($B11&amp;U$5,'Mark Leave'!$A$1:$E$1841,5,0),"")</f>
        <v/>
      </c>
      <c r="V11" s="39" t="str">
        <f>IFERROR(VLOOKUP($B11&amp;V$5,'Mark Leave'!$A$1:$E$1841,5,0),"")</f>
        <v/>
      </c>
      <c r="W11" s="39" t="str">
        <f>IFERROR(VLOOKUP($B11&amp;W$5,'Mark Leave'!$A$1:$E$1841,5,0),"")</f>
        <v/>
      </c>
      <c r="X11" s="39" t="str">
        <f>IFERROR(VLOOKUP($B11&amp;X$5,'Mark Leave'!$A$1:$E$1841,5,0),"")</f>
        <v/>
      </c>
      <c r="Y11" s="39" t="str">
        <f>IFERROR(VLOOKUP($B11&amp;Y$5,'Mark Leave'!$A$1:$E$1841,5,0),"")</f>
        <v/>
      </c>
      <c r="Z11" s="39" t="str">
        <f>IFERROR(VLOOKUP($B11&amp;Z$5,'Mark Leave'!$A$1:$E$1841,5,0),"")</f>
        <v/>
      </c>
      <c r="AA11" s="39" t="str">
        <f>IFERROR(VLOOKUP($B11&amp;AA$5,'Mark Leave'!$A$1:$E$1841,5,0),"")</f>
        <v/>
      </c>
      <c r="AB11" s="39" t="str">
        <f>IFERROR(VLOOKUP($B11&amp;AB$5,'Mark Leave'!$A$1:$E$1841,5,0),"")</f>
        <v/>
      </c>
      <c r="AC11" s="39" t="str">
        <f>IFERROR(VLOOKUP($B11&amp;AC$5,'Mark Leave'!$A$1:$E$1841,5,0),"")</f>
        <v/>
      </c>
      <c r="AD11" s="39" t="str">
        <f>IFERROR(VLOOKUP($B11&amp;AD$5,'Mark Leave'!$A$1:$E$1841,5,0),"")</f>
        <v/>
      </c>
      <c r="AE11" s="39" t="str">
        <f>IFERROR(VLOOKUP($B11&amp;AE$5,'Mark Leave'!$A$1:$E$1841,5,0),"")</f>
        <v/>
      </c>
      <c r="AF11" s="39" t="str">
        <f>IFERROR(VLOOKUP($B11&amp;AF$5,'Mark Leave'!$A$1:$E$1841,5,0),"")</f>
        <v/>
      </c>
      <c r="AG11" s="39" t="str">
        <f>IFERROR(VLOOKUP($B11&amp;AG$5,'Mark Leave'!$A$1:$E$1841,5,0),"")</f>
        <v/>
      </c>
      <c r="AH11" s="39" t="str">
        <f>IFERROR(VLOOKUP($B11&amp;AH$5,'Mark Leave'!$A$1:$E$1841,5,0),"")</f>
        <v/>
      </c>
      <c r="AI11" s="98">
        <f>IF($B11&lt;&gt;"",COUNTIF($D11:$AH11,'Setting '!$H$2),"")</f>
        <v>0</v>
      </c>
      <c r="AJ11" s="98">
        <f>IF($B11&lt;&gt;"",COUNTIF($D11:$AH11,'Setting '!$H$3)/2,"")</f>
        <v>0</v>
      </c>
      <c r="AK11" s="98">
        <f>IF($B11&lt;&gt;"",COUNTIF($D11:$AH11,'Setting '!$H$4),"")</f>
        <v>1</v>
      </c>
      <c r="AL11" s="98">
        <f t="shared" si="13"/>
        <v>0</v>
      </c>
      <c r="AM11" s="117">
        <f>IF(B11&lt;&gt;"",_xlfn.IFNA(VLOOKUP(B11,'Leave Credit Sheet'!B11:K104,10,0),""),"")</f>
        <v>0</v>
      </c>
      <c r="AN11" s="98">
        <f t="shared" si="2"/>
        <v>30</v>
      </c>
      <c r="AO11" s="106">
        <f>IF(B11&lt;&gt;"",_xlfn.IFNA(INDEX('CTC Sheet'!$C$6:$N$101,MATCH(AttendanceSheet!$B11,'CTC Sheet'!$A$6:$A$101,0),MATCH(AttendanceSheet!$T$1,'CTC Sheet'!$C$5:$N$5,0)),0),"")</f>
        <v>160000</v>
      </c>
      <c r="AP11" s="106">
        <f>IF(B11&lt;&gt;"",_xlfn.IFNA(INDEX('CTC Sheet'!$R$6:$AC$100,MATCH(AttendanceSheet!$B11,'CTC Sheet'!$P$6:$P$100,0),MATCH(AttendanceSheet!$T$1,'CTC Sheet'!$R$5:$AC$5,0)),0),"")</f>
        <v>0</v>
      </c>
      <c r="AQ11" s="106">
        <f t="shared" si="3"/>
        <v>53328</v>
      </c>
      <c r="AR11" s="106">
        <f t="shared" si="4"/>
        <v>26664</v>
      </c>
      <c r="AS11" s="106">
        <f t="shared" si="5"/>
        <v>31996.799999999999</v>
      </c>
      <c r="AT11" s="106">
        <f t="shared" si="6"/>
        <v>21331.200000000001</v>
      </c>
      <c r="AU11" s="106">
        <f t="shared" si="7"/>
        <v>15998.4</v>
      </c>
      <c r="AV11" s="106">
        <f t="shared" si="8"/>
        <v>10681.598400000001</v>
      </c>
      <c r="AW11" s="106">
        <f>IF(B11&lt;&gt;"",_xlfn.IFNA(INDEX('OtherArrear payment'!$A$1:$N$95,MATCH(AttendanceSheet!$B11,'OtherArrear payment'!$A$1:$A$95,0),MATCH(AttendanceSheet!$T$1,'OtherArrear payment'!$A$1:$N$1,0)),0),"")</f>
        <v>0</v>
      </c>
      <c r="AX11" s="106">
        <f t="shared" si="14"/>
        <v>159999.99839999998</v>
      </c>
      <c r="AY11" s="106">
        <f t="shared" si="9"/>
        <v>0</v>
      </c>
      <c r="AZ11" s="106">
        <f t="shared" si="10"/>
        <v>0</v>
      </c>
      <c r="BA11" s="106">
        <f t="shared" si="11"/>
        <v>0</v>
      </c>
      <c r="BB11" s="106">
        <f t="shared" si="12"/>
        <v>0</v>
      </c>
      <c r="BC11" s="106">
        <f>IF($B11&lt;&gt;"",IF(BL11="Yes",IF($BI11="Mr.",IF($AX11&lt;=7500,0,IF(AND($AX11&lt;10000,$AX11&gt;7501),175,IF(AND($AX11&gt;10000,'Setting '!$G$28&lt;&gt;11),200,300))),IF(AND($AX11&lt;=10000,$BI11="Ms."),0,IF(AND($AX11&gt;10000,'Setting '!$G$28&lt;&gt;11),200,300))),0),"")</f>
        <v>200</v>
      </c>
      <c r="BD11" s="42">
        <v>21140</v>
      </c>
      <c r="BE11" s="212">
        <f>IF($B11&lt;&gt;"",IF('Advance Sheet'!AF8&gt;=0,INDEX('Advance Sheet'!$Q$3:$AD$100,MATCH(AttendanceSheet!$B11,'Advance Sheet'!$Q$3:$Q$100,0),MATCH(AttendanceSheet!$T$1,'Advance Sheet'!$Q$3:$AD$3,)),0),"")</f>
        <v>0</v>
      </c>
      <c r="BF11" s="137">
        <f t="shared" si="15"/>
        <v>138659.99839999998</v>
      </c>
      <c r="BG11" s="97" t="str">
        <f>IF(B11&lt;&gt;"",VLOOKUP(B11,'Employee Details'!A10:S100,17,0),"")</f>
        <v>No</v>
      </c>
      <c r="BH11" s="97" t="str">
        <f>IF(B11&lt;&gt;"",VLOOKUP(B11,'Employee Details'!A10:S100,18,0),"")</f>
        <v>No</v>
      </c>
      <c r="BI11" s="40" t="str">
        <f>IF(B11&lt;&gt;"",VLOOKUP(B11,'Employee Details'!A9:S100,19,0),"")</f>
        <v>Mr.</v>
      </c>
      <c r="BJ11" s="38" t="str">
        <f>IF(B11&lt;&gt;"",VLOOKUP(B11,'Employee Details'!A10:D49,4,0),"")</f>
        <v>ONROLL</v>
      </c>
      <c r="BK11" s="38" t="str">
        <f>IF(B11&lt;&gt;"",VLOOKUP(B11,'Employee Details'!A10:E100,5,0),"")</f>
        <v>FACTORY STAFF</v>
      </c>
      <c r="BL11" s="210" t="str">
        <f>IF(B11&lt;&gt;"",VLOOKUP(B11,'Employee Details'!A10:U100,21,0),"")</f>
        <v>Yes</v>
      </c>
      <c r="BO11" s="104"/>
    </row>
    <row r="12" spans="1:67" ht="16.5" thickTop="1" thickBot="1" x14ac:dyDescent="0.3">
      <c r="B12" s="37" t="str">
        <f>_xlfn.IFNA(INDEX('Employee Details'!$A$7:$A15,MATCH(AttendanceSheet!$C12,'Employee Details'!$B$7:$B21,0)),"")</f>
        <v>Emp_0006</v>
      </c>
      <c r="C12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'!$J$1:J6))),"")</f>
        <v>SWAPNIL J</v>
      </c>
      <c r="D12" s="39" t="str">
        <f>IFERROR(VLOOKUP($B12&amp;D$5,'Mark Leave'!$A$1:$E$1841,5,0),"")</f>
        <v/>
      </c>
      <c r="E12" s="39" t="str">
        <f>IFERROR(VLOOKUP($B12&amp;E$5,'Mark Leave'!$A$1:$E$1841,5,0),"")</f>
        <v/>
      </c>
      <c r="F12" s="39" t="str">
        <f>IFERROR(VLOOKUP($B12&amp;F$5,'Mark Leave'!$A$1:$E$1841,5,0),"")</f>
        <v/>
      </c>
      <c r="G12" s="39" t="str">
        <f>IFERROR(VLOOKUP($B12&amp;G$5,'Mark Leave'!$A$1:$E$1841,5,0),"")</f>
        <v/>
      </c>
      <c r="H12" s="39" t="str">
        <f>IFERROR(VLOOKUP($B12&amp;H$5,'Mark Leave'!$A$1:$E$1841,5,0),"")</f>
        <v/>
      </c>
      <c r="I12" s="39" t="str">
        <f>IFERROR(VLOOKUP($B12&amp;I$5,'Mark Leave'!$A$1:$E$1841,5,0),"")</f>
        <v/>
      </c>
      <c r="J12" s="39" t="str">
        <f>IFERROR(VLOOKUP($B12&amp;J$5,'Mark Leave'!$A$1:$E$1841,5,0),"")</f>
        <v/>
      </c>
      <c r="K12" s="39" t="str">
        <f>IFERROR(VLOOKUP($B12&amp;K$5,'Mark Leave'!$A$1:$E$1841,5,0),"")</f>
        <v/>
      </c>
      <c r="L12" s="39" t="str">
        <f>IFERROR(VLOOKUP($B12&amp;L$5,'Mark Leave'!$A$1:$E$1841,5,0),"")</f>
        <v/>
      </c>
      <c r="M12" s="39" t="str">
        <f>IFERROR(VLOOKUP($B12&amp;M$5,'Mark Leave'!$A$1:$E$1841,5,0),"")</f>
        <v/>
      </c>
      <c r="N12" s="39" t="str">
        <f>IFERROR(VLOOKUP($B12&amp;N$5,'Mark Leave'!$A$1:$E$1841,5,0),"")</f>
        <v/>
      </c>
      <c r="O12" s="39" t="str">
        <f>IFERROR(VLOOKUP($B12&amp;O$5,'Mark Leave'!$A$1:$E$1841,5,0),"")</f>
        <v/>
      </c>
      <c r="P12" s="39" t="str">
        <f>IFERROR(VLOOKUP($B12&amp;P$5,'Mark Leave'!$A$1:$E$1841,5,0),"")</f>
        <v/>
      </c>
      <c r="Q12" s="39" t="str">
        <f>IFERROR(VLOOKUP($B12&amp;Q$5,'Mark Leave'!$A$1:$E$1841,5,0),"")</f>
        <v/>
      </c>
      <c r="R12" s="39" t="str">
        <f>IFERROR(VLOOKUP($B12&amp;R$5,'Mark Leave'!$A$1:$E$1841,5,0),"")</f>
        <v/>
      </c>
      <c r="S12" s="39" t="str">
        <f>IFERROR(VLOOKUP($B12&amp;S$5,'Mark Leave'!$A$1:$E$1841,5,0),"")</f>
        <v/>
      </c>
      <c r="T12" s="39" t="str">
        <f>IFERROR(VLOOKUP($B12&amp;T$5,'Mark Leave'!$A$1:$E$1841,5,0),"")</f>
        <v/>
      </c>
      <c r="U12" s="39" t="str">
        <f>IFERROR(VLOOKUP($B12&amp;U$5,'Mark Leave'!$A$1:$E$1841,5,0),"")</f>
        <v/>
      </c>
      <c r="V12" s="39" t="str">
        <f>IFERROR(VLOOKUP($B12&amp;V$5,'Mark Leave'!$A$1:$E$1841,5,0),"")</f>
        <v/>
      </c>
      <c r="W12" s="39" t="str">
        <f>IFERROR(VLOOKUP($B12&amp;W$5,'Mark Leave'!$A$1:$E$1841,5,0),"")</f>
        <v/>
      </c>
      <c r="X12" s="39" t="str">
        <f>IFERROR(VLOOKUP($B12&amp;X$5,'Mark Leave'!$A$1:$E$1841,5,0),"")</f>
        <v/>
      </c>
      <c r="Y12" s="39" t="str">
        <f>IFERROR(VLOOKUP($B12&amp;Y$5,'Mark Leave'!$A$1:$E$1841,5,0),"")</f>
        <v/>
      </c>
      <c r="Z12" s="39" t="str">
        <f>IFERROR(VLOOKUP($B12&amp;Z$5,'Mark Leave'!$A$1:$E$1841,5,0),"")</f>
        <v/>
      </c>
      <c r="AA12" s="39" t="str">
        <f>IFERROR(VLOOKUP($B12&amp;AA$5,'Mark Leave'!$A$1:$E$1841,5,0),"")</f>
        <v/>
      </c>
      <c r="AB12" s="39" t="str">
        <f>IFERROR(VLOOKUP($B12&amp;AB$5,'Mark Leave'!$A$1:$E$1841,5,0),"")</f>
        <v/>
      </c>
      <c r="AC12" s="39" t="str">
        <f>IFERROR(VLOOKUP($B12&amp;AC$5,'Mark Leave'!$A$1:$E$1841,5,0),"")</f>
        <v/>
      </c>
      <c r="AD12" s="39" t="str">
        <f>IFERROR(VLOOKUP($B12&amp;AD$5,'Mark Leave'!$A$1:$E$1841,5,0),"")</f>
        <v/>
      </c>
      <c r="AE12" s="39" t="str">
        <f>IFERROR(VLOOKUP($B12&amp;AE$5,'Mark Leave'!$A$1:$E$1841,5,0),"")</f>
        <v/>
      </c>
      <c r="AF12" s="39" t="str">
        <f>IFERROR(VLOOKUP($B12&amp;AF$5,'Mark Leave'!$A$1:$E$1841,5,0),"")</f>
        <v/>
      </c>
      <c r="AG12" s="39" t="str">
        <f>IFERROR(VLOOKUP($B12&amp;AG$5,'Mark Leave'!$A$1:$E$1841,5,0),"")</f>
        <v/>
      </c>
      <c r="AH12" s="39" t="str">
        <f>IFERROR(VLOOKUP($B12&amp;AH$5,'Mark Leave'!$A$1:$E$1841,5,0),"")</f>
        <v/>
      </c>
      <c r="AI12" s="98">
        <f>IF($B12&lt;&gt;"",COUNTIF($D12:$AH12,'Setting '!$H$2),"")</f>
        <v>0</v>
      </c>
      <c r="AJ12" s="98">
        <f>IF($B12&lt;&gt;"",COUNTIF($D12:$AH12,'Setting '!$H$3)/2,"")</f>
        <v>0</v>
      </c>
      <c r="AK12" s="98">
        <f>IF($B12&lt;&gt;"",COUNTIF($D12:$AH12,'Setting '!$H$4),"")</f>
        <v>0</v>
      </c>
      <c r="AL12" s="98">
        <f t="shared" si="13"/>
        <v>0</v>
      </c>
      <c r="AM12" s="117">
        <f>IF(B12&lt;&gt;"",_xlfn.IFNA(VLOOKUP(B12,'Leave Credit Sheet'!B12:K105,10,0),""),"")</f>
        <v>0</v>
      </c>
      <c r="AN12" s="98">
        <f t="shared" si="2"/>
        <v>30</v>
      </c>
      <c r="AO12" s="106">
        <f>IF(B12&lt;&gt;"",_xlfn.IFNA(INDEX('CTC Sheet'!$C$6:$N$101,MATCH(AttendanceSheet!$B12,'CTC Sheet'!$A$6:$A$101,0),MATCH(AttendanceSheet!$T$1,'CTC Sheet'!$C$5:$N$5,0)),0),"")</f>
        <v>30000</v>
      </c>
      <c r="AP12" s="106">
        <f>IF(B12&lt;&gt;"",_xlfn.IFNA(INDEX('CTC Sheet'!$R$6:$AC$100,MATCH(AttendanceSheet!$B12,'CTC Sheet'!$P$6:$P$100,0),MATCH(AttendanceSheet!$T$1,'CTC Sheet'!$R$5:$AC$5,0)),0),"")</f>
        <v>0</v>
      </c>
      <c r="AQ12" s="106">
        <f t="shared" si="3"/>
        <v>9999</v>
      </c>
      <c r="AR12" s="106">
        <f t="shared" si="4"/>
        <v>4999.5</v>
      </c>
      <c r="AS12" s="106">
        <f t="shared" si="5"/>
        <v>5999.4</v>
      </c>
      <c r="AT12" s="106">
        <f t="shared" si="6"/>
        <v>3999.6000000000004</v>
      </c>
      <c r="AU12" s="106">
        <f t="shared" si="7"/>
        <v>2999.7</v>
      </c>
      <c r="AV12" s="106">
        <f t="shared" si="8"/>
        <v>2002.7997</v>
      </c>
      <c r="AW12" s="106">
        <f>IF(B12&lt;&gt;"",_xlfn.IFNA(INDEX('OtherArrear payment'!$A$1:$N$95,MATCH(AttendanceSheet!$B12,'OtherArrear payment'!$A$1:$A$95,0),MATCH(AttendanceSheet!$T$1,'OtherArrear payment'!$A$1:$N$1,0)),0),"")</f>
        <v>0</v>
      </c>
      <c r="AX12" s="106">
        <f t="shared" si="14"/>
        <v>29999.9997</v>
      </c>
      <c r="AY12" s="106">
        <f t="shared" si="9"/>
        <v>0</v>
      </c>
      <c r="AZ12" s="106">
        <f t="shared" si="10"/>
        <v>0</v>
      </c>
      <c r="BA12" s="106">
        <f t="shared" si="11"/>
        <v>0</v>
      </c>
      <c r="BB12" s="106">
        <f t="shared" si="12"/>
        <v>0</v>
      </c>
      <c r="BC12" s="106">
        <f>IF($B12&lt;&gt;"",IF(BL12="Yes",IF($BI12="Mr.",IF($AX12&lt;=7500,0,IF(AND($AX12&lt;10000,$AX12&gt;7501),175,IF(AND($AX12&gt;10000,'Setting '!$G$28&lt;&gt;11),200,300))),IF(AND($AX12&lt;=10000,$BI12="Ms."),0,IF(AND($AX12&gt;10000,'Setting '!$G$28&lt;&gt;11),200,300))),0),"")</f>
        <v>200</v>
      </c>
      <c r="BD12" s="42"/>
      <c r="BE12" s="212">
        <f>IF($B12&lt;&gt;"",IF('Advance Sheet'!AF9&gt;=0,INDEX('Advance Sheet'!$Q$3:$AD$100,MATCH(AttendanceSheet!$B12,'Advance Sheet'!$Q$3:$Q$100,0),MATCH(AttendanceSheet!$T$1,'Advance Sheet'!$Q$3:$AD$3,)),0),"")</f>
        <v>0</v>
      </c>
      <c r="BF12" s="137">
        <f t="shared" si="15"/>
        <v>29799.9997</v>
      </c>
      <c r="BG12" s="97" t="str">
        <f>IF(B12&lt;&gt;"",VLOOKUP(B12,'Employee Details'!A11:S100,17,0),"")</f>
        <v>NO</v>
      </c>
      <c r="BH12" s="97" t="str">
        <f>IF(B12&lt;&gt;"",VLOOKUP(B12,'Employee Details'!A11:S100,18,0),"")</f>
        <v>NO</v>
      </c>
      <c r="BI12" s="40" t="str">
        <f>IF(B12&lt;&gt;"",VLOOKUP(B12,'Employee Details'!A10:S100,19,0),"")</f>
        <v>Mr.</v>
      </c>
      <c r="BJ12" s="38" t="str">
        <f>IF(B12&lt;&gt;"",VLOOKUP(B12,'Employee Details'!A11:D50,4,0),"")</f>
        <v>ONROLL</v>
      </c>
      <c r="BK12" s="38" t="str">
        <f>IF(B12&lt;&gt;"",VLOOKUP(B12,'Employee Details'!A11:E100,5,0),"")</f>
        <v>HO STAFF</v>
      </c>
      <c r="BL12" s="210" t="str">
        <f>IF(B12&lt;&gt;"",VLOOKUP(B12,'Employee Details'!A11:U100,21,0),"")</f>
        <v>Yes</v>
      </c>
      <c r="BO12" s="104"/>
    </row>
    <row r="13" spans="1:67" ht="16.5" thickTop="1" thickBot="1" x14ac:dyDescent="0.3">
      <c r="B13" s="37" t="str">
        <f>_xlfn.IFNA(INDEX('Employee Details'!$A$7:$A16,MATCH(AttendanceSheet!$C13,'Employee Details'!$B$7:$B22,0)),"")</f>
        <v>Emp_0007</v>
      </c>
      <c r="C13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'!$J$1:J7))),"")</f>
        <v xml:space="preserve">MAHADEV </v>
      </c>
      <c r="D13" s="39" t="str">
        <f>IFERROR(VLOOKUP($B13&amp;D$5,'Mark Leave'!$A$1:$E$1841,5,0),"")</f>
        <v/>
      </c>
      <c r="E13" s="39" t="str">
        <f>IFERROR(VLOOKUP($B13&amp;E$5,'Mark Leave'!$A$1:$E$1841,5,0),"")</f>
        <v/>
      </c>
      <c r="F13" s="39" t="str">
        <f>IFERROR(VLOOKUP($B13&amp;F$5,'Mark Leave'!$A$1:$E$1841,5,0),"")</f>
        <v/>
      </c>
      <c r="G13" s="39" t="str">
        <f>IFERROR(VLOOKUP($B13&amp;G$5,'Mark Leave'!$A$1:$E$1841,5,0),"")</f>
        <v/>
      </c>
      <c r="H13" s="39" t="str">
        <f>IFERROR(VLOOKUP($B13&amp;H$5,'Mark Leave'!$A$1:$E$1841,5,0),"")</f>
        <v/>
      </c>
      <c r="I13" s="39" t="str">
        <f>IFERROR(VLOOKUP($B13&amp;I$5,'Mark Leave'!$A$1:$E$1841,5,0),"")</f>
        <v/>
      </c>
      <c r="J13" s="39" t="str">
        <f>IFERROR(VLOOKUP($B13&amp;J$5,'Mark Leave'!$A$1:$E$1841,5,0),"")</f>
        <v/>
      </c>
      <c r="K13" s="39" t="str">
        <f>IFERROR(VLOOKUP($B13&amp;K$5,'Mark Leave'!$A$1:$E$1841,5,0),"")</f>
        <v/>
      </c>
      <c r="L13" s="39" t="str">
        <f>IFERROR(VLOOKUP($B13&amp;L$5,'Mark Leave'!$A$1:$E$1841,5,0),"")</f>
        <v/>
      </c>
      <c r="M13" s="39" t="str">
        <f>IFERROR(VLOOKUP($B13&amp;M$5,'Mark Leave'!$A$1:$E$1841,5,0),"")</f>
        <v/>
      </c>
      <c r="N13" s="39" t="str">
        <f>IFERROR(VLOOKUP($B13&amp;N$5,'Mark Leave'!$A$1:$E$1841,5,0),"")</f>
        <v/>
      </c>
      <c r="O13" s="39" t="str">
        <f>IFERROR(VLOOKUP($B13&amp;O$5,'Mark Leave'!$A$1:$E$1841,5,0),"")</f>
        <v/>
      </c>
      <c r="P13" s="39" t="str">
        <f>IFERROR(VLOOKUP($B13&amp;P$5,'Mark Leave'!$A$1:$E$1841,5,0),"")</f>
        <v/>
      </c>
      <c r="Q13" s="39" t="str">
        <f>IFERROR(VLOOKUP($B13&amp;Q$5,'Mark Leave'!$A$1:$E$1841,5,0),"")</f>
        <v/>
      </c>
      <c r="R13" s="39" t="str">
        <f>IFERROR(VLOOKUP($B13&amp;R$5,'Mark Leave'!$A$1:$E$1841,5,0),"")</f>
        <v/>
      </c>
      <c r="S13" s="39" t="str">
        <f>IFERROR(VLOOKUP($B13&amp;S$5,'Mark Leave'!$A$1:$E$1841,5,0),"")</f>
        <v/>
      </c>
      <c r="T13" s="39" t="str">
        <f>IFERROR(VLOOKUP($B13&amp;T$5,'Mark Leave'!$A$1:$E$1841,5,0),"")</f>
        <v/>
      </c>
      <c r="U13" s="39" t="str">
        <f>IFERROR(VLOOKUP($B13&amp;U$5,'Mark Leave'!$A$1:$E$1841,5,0),"")</f>
        <v/>
      </c>
      <c r="V13" s="39" t="str">
        <f>IFERROR(VLOOKUP($B13&amp;V$5,'Mark Leave'!$A$1:$E$1841,5,0),"")</f>
        <v/>
      </c>
      <c r="W13" s="39" t="str">
        <f>IFERROR(VLOOKUP($B13&amp;W$5,'Mark Leave'!$A$1:$E$1841,5,0),"")</f>
        <v/>
      </c>
      <c r="X13" s="39" t="str">
        <f>IFERROR(VLOOKUP($B13&amp;X$5,'Mark Leave'!$A$1:$E$1841,5,0),"")</f>
        <v/>
      </c>
      <c r="Y13" s="39" t="str">
        <f>IFERROR(VLOOKUP($B13&amp;Y$5,'Mark Leave'!$A$1:$E$1841,5,0),"")</f>
        <v/>
      </c>
      <c r="Z13" s="39" t="str">
        <f>IFERROR(VLOOKUP($B13&amp;Z$5,'Mark Leave'!$A$1:$E$1841,5,0),"")</f>
        <v/>
      </c>
      <c r="AA13" s="39" t="str">
        <f>IFERROR(VLOOKUP($B13&amp;AA$5,'Mark Leave'!$A$1:$E$1841,5,0),"")</f>
        <v/>
      </c>
      <c r="AB13" s="39" t="str">
        <f>IFERROR(VLOOKUP($B13&amp;AB$5,'Mark Leave'!$A$1:$E$1841,5,0),"")</f>
        <v/>
      </c>
      <c r="AC13" s="39" t="str">
        <f>IFERROR(VLOOKUP($B13&amp;AC$5,'Mark Leave'!$A$1:$E$1841,5,0),"")</f>
        <v/>
      </c>
      <c r="AD13" s="39" t="str">
        <f>IFERROR(VLOOKUP($B13&amp;AD$5,'Mark Leave'!$A$1:$E$1841,5,0),"")</f>
        <v/>
      </c>
      <c r="AE13" s="39" t="str">
        <f>IFERROR(VLOOKUP($B13&amp;AE$5,'Mark Leave'!$A$1:$E$1841,5,0),"")</f>
        <v/>
      </c>
      <c r="AF13" s="39" t="str">
        <f>IFERROR(VLOOKUP($B13&amp;AF$5,'Mark Leave'!$A$1:$E$1841,5,0),"")</f>
        <v/>
      </c>
      <c r="AG13" s="39" t="str">
        <f>IFERROR(VLOOKUP($B13&amp;AG$5,'Mark Leave'!$A$1:$E$1841,5,0),"")</f>
        <v/>
      </c>
      <c r="AH13" s="39" t="str">
        <f>IFERROR(VLOOKUP($B13&amp;AH$5,'Mark Leave'!$A$1:$E$1841,5,0),"")</f>
        <v/>
      </c>
      <c r="AI13" s="98">
        <f>IF($B13&lt;&gt;"",COUNTIF($D13:$AH13,'Setting '!$H$2),"")</f>
        <v>0</v>
      </c>
      <c r="AJ13" s="98">
        <f>IF($B13&lt;&gt;"",COUNTIF($D13:$AH13,'Setting '!$H$3)/2,"")</f>
        <v>0</v>
      </c>
      <c r="AK13" s="98">
        <f>IF($B13&lt;&gt;"",COUNTIF($D13:$AH13,'Setting '!$H$4),"")</f>
        <v>0</v>
      </c>
      <c r="AL13" s="98">
        <f t="shared" si="13"/>
        <v>0</v>
      </c>
      <c r="AM13" s="117">
        <f>IF(B13&lt;&gt;"",_xlfn.IFNA(VLOOKUP(B13,'Leave Credit Sheet'!B13:K106,10,0),""),"")</f>
        <v>0</v>
      </c>
      <c r="AN13" s="98">
        <f t="shared" si="2"/>
        <v>30</v>
      </c>
      <c r="AO13" s="106">
        <f>IF(B13&lt;&gt;"",_xlfn.IFNA(INDEX('CTC Sheet'!$C$6:$N$101,MATCH(AttendanceSheet!$B13,'CTC Sheet'!$A$6:$A$101,0),MATCH(AttendanceSheet!$T$1,'CTC Sheet'!$C$5:$N$5,0)),0),"")</f>
        <v>9500</v>
      </c>
      <c r="AP13" s="106">
        <f>IF(B13&lt;&gt;"",_xlfn.IFNA(INDEX('CTC Sheet'!$R$6:$AC$100,MATCH(AttendanceSheet!$B13,'CTC Sheet'!$P$6:$P$100,0),MATCH(AttendanceSheet!$T$1,'CTC Sheet'!$R$5:$AC$5,0)),0),"")</f>
        <v>0</v>
      </c>
      <c r="AQ13" s="106">
        <f t="shared" si="3"/>
        <v>3166.35</v>
      </c>
      <c r="AR13" s="106">
        <f t="shared" si="4"/>
        <v>1583.175</v>
      </c>
      <c r="AS13" s="106">
        <f t="shared" si="5"/>
        <v>1899.81</v>
      </c>
      <c r="AT13" s="106">
        <f t="shared" si="6"/>
        <v>1266.54</v>
      </c>
      <c r="AU13" s="106">
        <f t="shared" si="7"/>
        <v>949.90499999999997</v>
      </c>
      <c r="AV13" s="106">
        <f t="shared" si="8"/>
        <v>634.21990500000004</v>
      </c>
      <c r="AW13" s="106">
        <f>IF(B13&lt;&gt;"",_xlfn.IFNA(INDEX('OtherArrear payment'!$A$1:$N$95,MATCH(AttendanceSheet!$B13,'OtherArrear payment'!$A$1:$A$95,0),MATCH(AttendanceSheet!$T$1,'OtherArrear payment'!$A$1:$N$1,0)),0),"")</f>
        <v>0</v>
      </c>
      <c r="AX13" s="106">
        <f t="shared" si="14"/>
        <v>9499.9999049999988</v>
      </c>
      <c r="AY13" s="106">
        <f t="shared" si="9"/>
        <v>0</v>
      </c>
      <c r="AZ13" s="106">
        <f t="shared" si="10"/>
        <v>0</v>
      </c>
      <c r="BA13" s="106">
        <f t="shared" si="11"/>
        <v>0</v>
      </c>
      <c r="BB13" s="106">
        <f t="shared" si="12"/>
        <v>0</v>
      </c>
      <c r="BC13" s="106">
        <f>IF($B13&lt;&gt;"",IF(BL13="Yes",IF($BI13="Mr.",IF($AX13&lt;=7500,0,IF(AND($AX13&lt;10000,$AX13&gt;7501),175,IF(AND($AX13&gt;10000,'Setting '!$G$28&lt;&gt;11),200,300))),IF(AND($AX13&lt;=10000,$BI13="Ms."),0,IF(AND($AX13&gt;10000,'Setting '!$G$28&lt;&gt;11),200,300))),0),"")</f>
        <v>175</v>
      </c>
      <c r="BD13" s="42"/>
      <c r="BE13" s="212">
        <f>IF($B13&lt;&gt;"",IF('Advance Sheet'!AF10&gt;=0,INDEX('Advance Sheet'!$Q$3:$AD$100,MATCH(AttendanceSheet!$B13,'Advance Sheet'!$Q$3:$Q$100,0),MATCH(AttendanceSheet!$T$1,'Advance Sheet'!$Q$3:$AD$3,)),0),"")</f>
        <v>0</v>
      </c>
      <c r="BF13" s="137">
        <f t="shared" si="15"/>
        <v>9324.9999049999988</v>
      </c>
      <c r="BG13" s="97" t="str">
        <f>IF(B13&lt;&gt;"",VLOOKUP(B13,'Employee Details'!A12:S100,17,0),"")</f>
        <v>NO</v>
      </c>
      <c r="BH13" s="97" t="str">
        <f>IF(B13&lt;&gt;"",VLOOKUP(B13,'Employee Details'!A12:S100,18,0),"")</f>
        <v>NO</v>
      </c>
      <c r="BI13" s="40" t="str">
        <f>IF(B13&lt;&gt;"",VLOOKUP(B13,'Employee Details'!A11:S100,19,0),"")</f>
        <v>Mr.</v>
      </c>
      <c r="BJ13" s="38" t="str">
        <f>IF(B13&lt;&gt;"",VLOOKUP(B13,'Employee Details'!A12:D51,4,0),"")</f>
        <v>ONROLL</v>
      </c>
      <c r="BK13" s="38" t="str">
        <f>IF(B13&lt;&gt;"",VLOOKUP(B13,'Employee Details'!A12:E100,5,0),"")</f>
        <v>HO STAFF</v>
      </c>
      <c r="BL13" s="210" t="str">
        <f>IF(B13&lt;&gt;"",VLOOKUP(B13,'Employee Details'!A12:U100,21,0),"")</f>
        <v>Yes</v>
      </c>
      <c r="BO13" s="104"/>
    </row>
    <row r="14" spans="1:67" ht="16.5" thickTop="1" thickBot="1" x14ac:dyDescent="0.3">
      <c r="B14" s="37" t="str">
        <f>_xlfn.IFNA(INDEX('Employee Details'!$A$7:$A17,MATCH(AttendanceSheet!$C14,'Employee Details'!$B$7:$B23,0)),"")</f>
        <v>Emp_0008</v>
      </c>
      <c r="C14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'!$J$1:J8))),"")</f>
        <v>GANESH IYER</v>
      </c>
      <c r="D14" s="39" t="str">
        <f>IFERROR(VLOOKUP($B14&amp;D$5,'Mark Leave'!$A$1:$E$1841,5,0),"")</f>
        <v/>
      </c>
      <c r="E14" s="39" t="str">
        <f>IFERROR(VLOOKUP($B14&amp;E$5,'Mark Leave'!$A$1:$E$1841,5,0),"")</f>
        <v/>
      </c>
      <c r="F14" s="39" t="str">
        <f>IFERROR(VLOOKUP($B14&amp;F$5,'Mark Leave'!$A$1:$E$1841,5,0),"")</f>
        <v/>
      </c>
      <c r="G14" s="39" t="str">
        <f>IFERROR(VLOOKUP($B14&amp;G$5,'Mark Leave'!$A$1:$E$1841,5,0),"")</f>
        <v/>
      </c>
      <c r="H14" s="39" t="str">
        <f>IFERROR(VLOOKUP($B14&amp;H$5,'Mark Leave'!$A$1:$E$1841,5,0),"")</f>
        <v/>
      </c>
      <c r="I14" s="39" t="str">
        <f>IFERROR(VLOOKUP($B14&amp;I$5,'Mark Leave'!$A$1:$E$1841,5,0),"")</f>
        <v/>
      </c>
      <c r="J14" s="39" t="str">
        <f>IFERROR(VLOOKUP($B14&amp;J$5,'Mark Leave'!$A$1:$E$1841,5,0),"")</f>
        <v/>
      </c>
      <c r="K14" s="39" t="str">
        <f>IFERROR(VLOOKUP($B14&amp;K$5,'Mark Leave'!$A$1:$E$1841,5,0),"")</f>
        <v/>
      </c>
      <c r="L14" s="39" t="str">
        <f>IFERROR(VLOOKUP($B14&amp;L$5,'Mark Leave'!$A$1:$E$1841,5,0),"")</f>
        <v/>
      </c>
      <c r="M14" s="39" t="str">
        <f>IFERROR(VLOOKUP($B14&amp;M$5,'Mark Leave'!$A$1:$E$1841,5,0),"")</f>
        <v/>
      </c>
      <c r="N14" s="39" t="str">
        <f>IFERROR(VLOOKUP($B14&amp;N$5,'Mark Leave'!$A$1:$E$1841,5,0),"")</f>
        <v/>
      </c>
      <c r="O14" s="39" t="str">
        <f>IFERROR(VLOOKUP($B14&amp;O$5,'Mark Leave'!$A$1:$E$1841,5,0),"")</f>
        <v/>
      </c>
      <c r="P14" s="39" t="str">
        <f>IFERROR(VLOOKUP($B14&amp;P$5,'Mark Leave'!$A$1:$E$1841,5,0),"")</f>
        <v/>
      </c>
      <c r="Q14" s="39" t="str">
        <f>IFERROR(VLOOKUP($B14&amp;Q$5,'Mark Leave'!$A$1:$E$1841,5,0),"")</f>
        <v/>
      </c>
      <c r="R14" s="39" t="str">
        <f>IFERROR(VLOOKUP($B14&amp;R$5,'Mark Leave'!$A$1:$E$1841,5,0),"")</f>
        <v/>
      </c>
      <c r="S14" s="39" t="str">
        <f>IFERROR(VLOOKUP($B14&amp;S$5,'Mark Leave'!$A$1:$E$1841,5,0),"")</f>
        <v/>
      </c>
      <c r="T14" s="39" t="str">
        <f>IFERROR(VLOOKUP($B14&amp;T$5,'Mark Leave'!$A$1:$E$1841,5,0),"")</f>
        <v/>
      </c>
      <c r="U14" s="39" t="str">
        <f>IFERROR(VLOOKUP($B14&amp;U$5,'Mark Leave'!$A$1:$E$1841,5,0),"")</f>
        <v/>
      </c>
      <c r="V14" s="39" t="str">
        <f>IFERROR(VLOOKUP($B14&amp;V$5,'Mark Leave'!$A$1:$E$1841,5,0),"")</f>
        <v/>
      </c>
      <c r="W14" s="39" t="str">
        <f>IFERROR(VLOOKUP($B14&amp;W$5,'Mark Leave'!$A$1:$E$1841,5,0),"")</f>
        <v/>
      </c>
      <c r="X14" s="39" t="str">
        <f>IFERROR(VLOOKUP($B14&amp;X$5,'Mark Leave'!$A$1:$E$1841,5,0),"")</f>
        <v/>
      </c>
      <c r="Y14" s="39" t="str">
        <f>IFERROR(VLOOKUP($B14&amp;Y$5,'Mark Leave'!$A$1:$E$1841,5,0),"")</f>
        <v/>
      </c>
      <c r="Z14" s="39" t="str">
        <f>IFERROR(VLOOKUP($B14&amp;Z$5,'Mark Leave'!$A$1:$E$1841,5,0),"")</f>
        <v/>
      </c>
      <c r="AA14" s="39" t="str">
        <f>IFERROR(VLOOKUP($B14&amp;AA$5,'Mark Leave'!$A$1:$E$1841,5,0),"")</f>
        <v/>
      </c>
      <c r="AB14" s="39" t="str">
        <f>IFERROR(VLOOKUP($B14&amp;AB$5,'Mark Leave'!$A$1:$E$1841,5,0),"")</f>
        <v/>
      </c>
      <c r="AC14" s="39" t="str">
        <f>IFERROR(VLOOKUP($B14&amp;AC$5,'Mark Leave'!$A$1:$E$1841,5,0),"")</f>
        <v/>
      </c>
      <c r="AD14" s="39" t="str">
        <f>IFERROR(VLOOKUP($B14&amp;AD$5,'Mark Leave'!$A$1:$E$1841,5,0),"")</f>
        <v/>
      </c>
      <c r="AE14" s="39" t="str">
        <f>IFERROR(VLOOKUP($B14&amp;AE$5,'Mark Leave'!$A$1:$E$1841,5,0),"")</f>
        <v/>
      </c>
      <c r="AF14" s="39" t="str">
        <f>IFERROR(VLOOKUP($B14&amp;AF$5,'Mark Leave'!$A$1:$E$1841,5,0),"")</f>
        <v/>
      </c>
      <c r="AG14" s="39" t="str">
        <f>IFERROR(VLOOKUP($B14&amp;AG$5,'Mark Leave'!$A$1:$E$1841,5,0),"")</f>
        <v/>
      </c>
      <c r="AH14" s="39" t="str">
        <f>IFERROR(VLOOKUP($B14&amp;AH$5,'Mark Leave'!$A$1:$E$1841,5,0),"")</f>
        <v/>
      </c>
      <c r="AI14" s="98">
        <f>IF($B14&lt;&gt;"",COUNTIF($D14:$AH14,'Setting '!$H$2),"")</f>
        <v>0</v>
      </c>
      <c r="AJ14" s="98">
        <f>IF($B14&lt;&gt;"",COUNTIF($D14:$AH14,'Setting '!$H$3)/2,"")</f>
        <v>0</v>
      </c>
      <c r="AK14" s="98">
        <f>IF($B14&lt;&gt;"",COUNTIF($D14:$AH14,'Setting '!$H$4),"")</f>
        <v>0</v>
      </c>
      <c r="AL14" s="98">
        <f t="shared" si="13"/>
        <v>0</v>
      </c>
      <c r="AM14" s="117">
        <f>IF(B14&lt;&gt;"",_xlfn.IFNA(VLOOKUP(B14,'Leave Credit Sheet'!B14:K107,10,0),""),"")</f>
        <v>0</v>
      </c>
      <c r="AN14" s="98">
        <f t="shared" si="2"/>
        <v>30</v>
      </c>
      <c r="AO14" s="106">
        <f>IF(B14&lt;&gt;"",_xlfn.IFNA(INDEX('CTC Sheet'!$C$6:$N$101,MATCH(AttendanceSheet!$B14,'CTC Sheet'!$A$6:$A$101,0),MATCH(AttendanceSheet!$T$1,'CTC Sheet'!$C$5:$N$5,0)),0),"")</f>
        <v>30000</v>
      </c>
      <c r="AP14" s="106">
        <f>IF(B14&lt;&gt;"",_xlfn.IFNA(INDEX('CTC Sheet'!$R$6:$AC$100,MATCH(AttendanceSheet!$B14,'CTC Sheet'!$P$6:$P$100,0),MATCH(AttendanceSheet!$T$1,'CTC Sheet'!$R$5:$AC$5,0)),0),"")</f>
        <v>0</v>
      </c>
      <c r="AQ14" s="106">
        <f t="shared" si="3"/>
        <v>9999</v>
      </c>
      <c r="AR14" s="106">
        <f t="shared" si="4"/>
        <v>4999.5</v>
      </c>
      <c r="AS14" s="106">
        <f t="shared" si="5"/>
        <v>5999.4</v>
      </c>
      <c r="AT14" s="106">
        <f t="shared" si="6"/>
        <v>3999.6000000000004</v>
      </c>
      <c r="AU14" s="106">
        <f t="shared" si="7"/>
        <v>2999.7</v>
      </c>
      <c r="AV14" s="106">
        <f t="shared" si="8"/>
        <v>2002.7997</v>
      </c>
      <c r="AW14" s="106">
        <f>IF(B14&lt;&gt;"",_xlfn.IFNA(INDEX('OtherArrear payment'!$A$1:$N$95,MATCH(AttendanceSheet!$B14,'OtherArrear payment'!$A$1:$A$95,0),MATCH(AttendanceSheet!$T$1,'OtherArrear payment'!$A$1:$N$1,0)),0),"")</f>
        <v>0</v>
      </c>
      <c r="AX14" s="106">
        <f t="shared" si="14"/>
        <v>29999.9997</v>
      </c>
      <c r="AY14" s="106">
        <f t="shared" si="9"/>
        <v>0</v>
      </c>
      <c r="AZ14" s="106">
        <f t="shared" si="10"/>
        <v>0</v>
      </c>
      <c r="BA14" s="106">
        <f t="shared" si="11"/>
        <v>0</v>
      </c>
      <c r="BB14" s="106">
        <f t="shared" si="12"/>
        <v>0</v>
      </c>
      <c r="BC14" s="106">
        <f>IF($B14&lt;&gt;"",IF(BL14="Yes",IF($BI14="Mr.",IF($AX14&lt;=7500,0,IF(AND($AX14&lt;10000,$AX14&gt;7501),175,IF(AND($AX14&gt;10000,'Setting '!$G$28&lt;&gt;11),200,300))),IF(AND($AX14&lt;=10000,$BI14="Ms."),0,IF(AND($AX14&gt;10000,'Setting '!$G$28&lt;&gt;11),200,300))),0),"")</f>
        <v>200</v>
      </c>
      <c r="BD14" s="42"/>
      <c r="BE14" s="212">
        <f>IF($B14&lt;&gt;"",IF('Advance Sheet'!AF11&gt;=0,INDEX('Advance Sheet'!$Q$3:$AD$100,MATCH(AttendanceSheet!$B14,'Advance Sheet'!$Q$3:$Q$100,0),MATCH(AttendanceSheet!$T$1,'Advance Sheet'!$Q$3:$AD$3,)),0),"")</f>
        <v>0</v>
      </c>
      <c r="BF14" s="137">
        <f t="shared" si="15"/>
        <v>29799.9997</v>
      </c>
      <c r="BG14" s="97" t="str">
        <f>IF(B14&lt;&gt;"",VLOOKUP(B14,'Employee Details'!A13:S100,17,0),"")</f>
        <v>NO</v>
      </c>
      <c r="BH14" s="97" t="str">
        <f>IF(B14&lt;&gt;"",VLOOKUP(B14,'Employee Details'!A13:S100,18,0),"")</f>
        <v>NO</v>
      </c>
      <c r="BI14" s="40" t="str">
        <f>IF(B14&lt;&gt;"",VLOOKUP(B14,'Employee Details'!A12:S100,19,0),"")</f>
        <v>Mr.</v>
      </c>
      <c r="BJ14" s="38" t="str">
        <f>IF(B14&lt;&gt;"",VLOOKUP(B14,'Employee Details'!A13:D52,4,0),"")</f>
        <v>ONROLL</v>
      </c>
      <c r="BK14" s="38" t="str">
        <f>IF(B14&lt;&gt;"",VLOOKUP(B14,'Employee Details'!A13:E100,5,0),"")</f>
        <v>HO STAFF</v>
      </c>
      <c r="BL14" s="210" t="str">
        <f>IF(B14&lt;&gt;"",VLOOKUP(B14,'Employee Details'!A13:U100,21,0),"")</f>
        <v>Yes</v>
      </c>
      <c r="BO14" s="104"/>
    </row>
    <row r="15" spans="1:67" ht="16.5" thickTop="1" thickBot="1" x14ac:dyDescent="0.3">
      <c r="B15" s="37" t="str">
        <f>_xlfn.IFNA(INDEX('Employee Details'!$A$7:$A18,MATCH(AttendanceSheet!$C15,'Employee Details'!$B$7:$B24,0)),"")</f>
        <v>Emp_0010</v>
      </c>
      <c r="C15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'!$J$1:J9))),"")</f>
        <v>RAJEEV</v>
      </c>
      <c r="D15" s="39" t="str">
        <f>IFERROR(VLOOKUP($B15&amp;D$5,'Mark Leave'!$A$1:$E$1841,5,0),"")</f>
        <v>A</v>
      </c>
      <c r="E15" s="39" t="str">
        <f>IFERROR(VLOOKUP($B15&amp;E$5,'Mark Leave'!$A$1:$E$1841,5,0),"")</f>
        <v/>
      </c>
      <c r="F15" s="39" t="str">
        <f>IFERROR(VLOOKUP($B15&amp;F$5,'Mark Leave'!$A$1:$E$1841,5,0),"")</f>
        <v/>
      </c>
      <c r="G15" s="39" t="str">
        <f>IFERROR(VLOOKUP($B15&amp;G$5,'Mark Leave'!$A$1:$E$1841,5,0),"")</f>
        <v/>
      </c>
      <c r="H15" s="39" t="str">
        <f>IFERROR(VLOOKUP($B15&amp;H$5,'Mark Leave'!$A$1:$E$1841,5,0),"")</f>
        <v/>
      </c>
      <c r="I15" s="39" t="str">
        <f>IFERROR(VLOOKUP($B15&amp;I$5,'Mark Leave'!$A$1:$E$1841,5,0),"")</f>
        <v/>
      </c>
      <c r="J15" s="39" t="str">
        <f>IFERROR(VLOOKUP($B15&amp;J$5,'Mark Leave'!$A$1:$E$1841,5,0),"")</f>
        <v/>
      </c>
      <c r="K15" s="39" t="str">
        <f>IFERROR(VLOOKUP($B15&amp;K$5,'Mark Leave'!$A$1:$E$1841,5,0),"")</f>
        <v/>
      </c>
      <c r="L15" s="39" t="str">
        <f>IFERROR(VLOOKUP($B15&amp;L$5,'Mark Leave'!$A$1:$E$1841,5,0),"")</f>
        <v/>
      </c>
      <c r="M15" s="39" t="str">
        <f>IFERROR(VLOOKUP($B15&amp;M$5,'Mark Leave'!$A$1:$E$1841,5,0),"")</f>
        <v/>
      </c>
      <c r="N15" s="39" t="str">
        <f>IFERROR(VLOOKUP($B15&amp;N$5,'Mark Leave'!$A$1:$E$1841,5,0),"")</f>
        <v/>
      </c>
      <c r="O15" s="39" t="str">
        <f>IFERROR(VLOOKUP($B15&amp;O$5,'Mark Leave'!$A$1:$E$1841,5,0),"")</f>
        <v/>
      </c>
      <c r="P15" s="39" t="str">
        <f>IFERROR(VLOOKUP($B15&amp;P$5,'Mark Leave'!$A$1:$E$1841,5,0),"")</f>
        <v/>
      </c>
      <c r="Q15" s="39" t="str">
        <f>IFERROR(VLOOKUP($B15&amp;Q$5,'Mark Leave'!$A$1:$E$1841,5,0),"")</f>
        <v/>
      </c>
      <c r="R15" s="39" t="str">
        <f>IFERROR(VLOOKUP($B15&amp;R$5,'Mark Leave'!$A$1:$E$1841,5,0),"")</f>
        <v/>
      </c>
      <c r="S15" s="39" t="str">
        <f>IFERROR(VLOOKUP($B15&amp;S$5,'Mark Leave'!$A$1:$E$1841,5,0),"")</f>
        <v/>
      </c>
      <c r="T15" s="39" t="str">
        <f>IFERROR(VLOOKUP($B15&amp;T$5,'Mark Leave'!$A$1:$E$1841,5,0),"")</f>
        <v/>
      </c>
      <c r="U15" s="39" t="str">
        <f>IFERROR(VLOOKUP($B15&amp;U$5,'Mark Leave'!$A$1:$E$1841,5,0),"")</f>
        <v/>
      </c>
      <c r="V15" s="39" t="str">
        <f>IFERROR(VLOOKUP($B15&amp;V$5,'Mark Leave'!$A$1:$E$1841,5,0),"")</f>
        <v/>
      </c>
      <c r="W15" s="39" t="str">
        <f>IFERROR(VLOOKUP($B15&amp;W$5,'Mark Leave'!$A$1:$E$1841,5,0),"")</f>
        <v/>
      </c>
      <c r="X15" s="39" t="str">
        <f>IFERROR(VLOOKUP($B15&amp;X$5,'Mark Leave'!$A$1:$E$1841,5,0),"")</f>
        <v/>
      </c>
      <c r="Y15" s="39" t="str">
        <f>IFERROR(VLOOKUP($B15&amp;Y$5,'Mark Leave'!$A$1:$E$1841,5,0),"")</f>
        <v/>
      </c>
      <c r="Z15" s="39" t="str">
        <f>IFERROR(VLOOKUP($B15&amp;Z$5,'Mark Leave'!$A$1:$E$1841,5,0),"")</f>
        <v/>
      </c>
      <c r="AA15" s="39" t="str">
        <f>IFERROR(VLOOKUP($B15&amp;AA$5,'Mark Leave'!$A$1:$E$1841,5,0),"")</f>
        <v/>
      </c>
      <c r="AB15" s="39" t="str">
        <f>IFERROR(VLOOKUP($B15&amp;AB$5,'Mark Leave'!$A$1:$E$1841,5,0),"")</f>
        <v/>
      </c>
      <c r="AC15" s="39" t="str">
        <f>IFERROR(VLOOKUP($B15&amp;AC$5,'Mark Leave'!$A$1:$E$1841,5,0),"")</f>
        <v/>
      </c>
      <c r="AD15" s="39" t="str">
        <f>IFERROR(VLOOKUP($B15&amp;AD$5,'Mark Leave'!$A$1:$E$1841,5,0),"")</f>
        <v/>
      </c>
      <c r="AE15" s="39" t="str">
        <f>IFERROR(VLOOKUP($B15&amp;AE$5,'Mark Leave'!$A$1:$E$1841,5,0),"")</f>
        <v/>
      </c>
      <c r="AF15" s="39" t="str">
        <f>IFERROR(VLOOKUP($B15&amp;AF$5,'Mark Leave'!$A$1:$E$1841,5,0),"")</f>
        <v/>
      </c>
      <c r="AG15" s="39" t="str">
        <f>IFERROR(VLOOKUP($B15&amp;AG$5,'Mark Leave'!$A$1:$E$1841,5,0),"")</f>
        <v/>
      </c>
      <c r="AH15" s="39" t="str">
        <f>IFERROR(VLOOKUP($B15&amp;AH$5,'Mark Leave'!$A$1:$E$1841,5,0),"")</f>
        <v/>
      </c>
      <c r="AI15" s="98">
        <f>IF($B15&lt;&gt;"",COUNTIF($D15:$AH15,'Setting '!$H$2),"")</f>
        <v>1</v>
      </c>
      <c r="AJ15" s="98">
        <f>IF($B15&lt;&gt;"",COUNTIF($D15:$AH15,'Setting '!$H$3)/2,"")</f>
        <v>0</v>
      </c>
      <c r="AK15" s="98">
        <f>IF($B15&lt;&gt;"",COUNTIF($D15:$AH15,'Setting '!$H$4),"")</f>
        <v>0</v>
      </c>
      <c r="AL15" s="98">
        <f t="shared" si="13"/>
        <v>1</v>
      </c>
      <c r="AM15" s="117">
        <f>IF(B15&lt;&gt;"",_xlfn.IFNA(VLOOKUP(B15,'Leave Credit Sheet'!B15:K108,10,0),""),"")</f>
        <v>0</v>
      </c>
      <c r="AN15" s="98">
        <f t="shared" si="2"/>
        <v>30</v>
      </c>
      <c r="AO15" s="106">
        <f>IF(B15&lt;&gt;"",_xlfn.IFNA(INDEX('CTC Sheet'!$C$6:$N$101,MATCH(AttendanceSheet!$B15,'CTC Sheet'!$A$6:$A$101,0),MATCH(AttendanceSheet!$T$1,'CTC Sheet'!$C$5:$N$5,0)),0),"")</f>
        <v>24200</v>
      </c>
      <c r="AP15" s="106">
        <f>IF(B15&lt;&gt;"",_xlfn.IFNA(INDEX('CTC Sheet'!$R$6:$AC$100,MATCH(AttendanceSheet!$B15,'CTC Sheet'!$P$6:$P$100,0),MATCH(AttendanceSheet!$T$1,'CTC Sheet'!$R$5:$AC$5,0)),0),"")</f>
        <v>0</v>
      </c>
      <c r="AQ15" s="106">
        <f t="shared" si="3"/>
        <v>8065.86</v>
      </c>
      <c r="AR15" s="106">
        <f t="shared" si="4"/>
        <v>4032.93</v>
      </c>
      <c r="AS15" s="106">
        <f t="shared" si="5"/>
        <v>4839.5159999999996</v>
      </c>
      <c r="AT15" s="106">
        <f t="shared" si="6"/>
        <v>3226.3440000000001</v>
      </c>
      <c r="AU15" s="106">
        <f t="shared" si="7"/>
        <v>2419.7579999999998</v>
      </c>
      <c r="AV15" s="106">
        <f t="shared" si="8"/>
        <v>1615.591758</v>
      </c>
      <c r="AW15" s="106">
        <f>IF(B15&lt;&gt;"",_xlfn.IFNA(INDEX('OtherArrear payment'!$A$1:$N$95,MATCH(AttendanceSheet!$B15,'OtherArrear payment'!$A$1:$A$95,0),MATCH(AttendanceSheet!$T$1,'OtherArrear payment'!$A$1:$N$1,0)),0),"")</f>
        <v>0</v>
      </c>
      <c r="AX15" s="106">
        <f t="shared" si="14"/>
        <v>24199.999757999994</v>
      </c>
      <c r="AY15" s="106">
        <f t="shared" si="9"/>
        <v>0</v>
      </c>
      <c r="AZ15" s="106">
        <f t="shared" si="10"/>
        <v>0</v>
      </c>
      <c r="BA15" s="106">
        <f t="shared" si="11"/>
        <v>0</v>
      </c>
      <c r="BB15" s="106">
        <f t="shared" si="12"/>
        <v>0</v>
      </c>
      <c r="BC15" s="106">
        <f>IF($B15&lt;&gt;"",IF(BL15="Yes",IF($BI15="Mr.",IF($AX15&lt;=7500,0,IF(AND($AX15&lt;10000,$AX15&gt;7501),175,IF(AND($AX15&gt;10000,'Setting '!$G$28&lt;&gt;11),200,300))),IF(AND($AX15&lt;=10000,$BI15="Ms."),0,IF(AND($AX15&gt;10000,'Setting '!$G$28&lt;&gt;11),200,300))),0),"")</f>
        <v>200</v>
      </c>
      <c r="BD15" s="42"/>
      <c r="BE15" s="212">
        <f>IF($B15&lt;&gt;"",IF('Advance Sheet'!AF12&gt;=0,INDEX('Advance Sheet'!$Q$3:$AD$100,MATCH(AttendanceSheet!$B15,'Advance Sheet'!$Q$3:$Q$100,0),MATCH(AttendanceSheet!$T$1,'Advance Sheet'!$Q$3:$AD$3,)),0),"")</f>
        <v>0</v>
      </c>
      <c r="BF15" s="137">
        <f t="shared" si="15"/>
        <v>23999.999757999994</v>
      </c>
      <c r="BG15" s="97" t="str">
        <f>IF(B15&lt;&gt;"",VLOOKUP(B15,'Employee Details'!A14:S100,17,0),"")</f>
        <v>NO</v>
      </c>
      <c r="BH15" s="97" t="str">
        <f>IF(B15&lt;&gt;"",VLOOKUP(B15,'Employee Details'!A14:S100,18,0),"")</f>
        <v>NO</v>
      </c>
      <c r="BI15" s="40" t="str">
        <f>IF(B15&lt;&gt;"",VLOOKUP(B15,'Employee Details'!A13:S100,19,0),"")</f>
        <v>Ms.</v>
      </c>
      <c r="BJ15" s="38" t="str">
        <f>IF(B15&lt;&gt;"",VLOOKUP(B15,'Employee Details'!A14:D53,4,0),"")</f>
        <v>ONROLL</v>
      </c>
      <c r="BK15" s="38" t="str">
        <f>IF(B15&lt;&gt;"",VLOOKUP(B15,'Employee Details'!A14:E100,5,0),"")</f>
        <v>HO STAFF</v>
      </c>
      <c r="BL15" s="210" t="str">
        <f>IF(B15&lt;&gt;"",VLOOKUP(B15,'Employee Details'!A14:U100,21,0),"")</f>
        <v>Yes</v>
      </c>
      <c r="BO15" s="104"/>
    </row>
    <row r="16" spans="1:67" ht="16.5" thickTop="1" thickBot="1" x14ac:dyDescent="0.3">
      <c r="B16" s="37" t="str">
        <f>_xlfn.IFNA(INDEX('Employee Details'!$A$7:$A19,MATCH(AttendanceSheet!$C16,'Employee Details'!$B$7:$B25,0)),"")</f>
        <v>Emp_0011</v>
      </c>
      <c r="C16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'!$J$1:J10))),"")</f>
        <v>MANISH KADAM</v>
      </c>
      <c r="D16" s="39" t="str">
        <f>IFERROR(VLOOKUP($B16&amp;D$5,'Mark Leave'!$A$1:$E$1841,5,0),"")</f>
        <v/>
      </c>
      <c r="E16" s="39" t="str">
        <f>IFERROR(VLOOKUP($B16&amp;E$5,'Mark Leave'!$A$1:$E$1841,5,0),"")</f>
        <v/>
      </c>
      <c r="F16" s="39" t="str">
        <f>IFERROR(VLOOKUP($B16&amp;F$5,'Mark Leave'!$A$1:$E$1841,5,0),"")</f>
        <v/>
      </c>
      <c r="G16" s="39" t="str">
        <f>IFERROR(VLOOKUP($B16&amp;G$5,'Mark Leave'!$A$1:$E$1841,5,0),"")</f>
        <v/>
      </c>
      <c r="H16" s="39" t="str">
        <f>IFERROR(VLOOKUP($B16&amp;H$5,'Mark Leave'!$A$1:$E$1841,5,0),"")</f>
        <v/>
      </c>
      <c r="I16" s="39" t="str">
        <f>IFERROR(VLOOKUP($B16&amp;I$5,'Mark Leave'!$A$1:$E$1841,5,0),"")</f>
        <v/>
      </c>
      <c r="J16" s="39" t="str">
        <f>IFERROR(VLOOKUP($B16&amp;J$5,'Mark Leave'!$A$1:$E$1841,5,0),"")</f>
        <v/>
      </c>
      <c r="K16" s="39" t="str">
        <f>IFERROR(VLOOKUP($B16&amp;K$5,'Mark Leave'!$A$1:$E$1841,5,0),"")</f>
        <v/>
      </c>
      <c r="L16" s="39" t="str">
        <f>IFERROR(VLOOKUP($B16&amp;L$5,'Mark Leave'!$A$1:$E$1841,5,0),"")</f>
        <v/>
      </c>
      <c r="M16" s="39" t="str">
        <f>IFERROR(VLOOKUP($B16&amp;M$5,'Mark Leave'!$A$1:$E$1841,5,0),"")</f>
        <v/>
      </c>
      <c r="N16" s="39" t="str">
        <f>IFERROR(VLOOKUP($B16&amp;N$5,'Mark Leave'!$A$1:$E$1841,5,0),"")</f>
        <v/>
      </c>
      <c r="O16" s="39" t="str">
        <f>IFERROR(VLOOKUP($B16&amp;O$5,'Mark Leave'!$A$1:$E$1841,5,0),"")</f>
        <v/>
      </c>
      <c r="P16" s="39" t="str">
        <f>IFERROR(VLOOKUP($B16&amp;P$5,'Mark Leave'!$A$1:$E$1841,5,0),"")</f>
        <v/>
      </c>
      <c r="Q16" s="39" t="str">
        <f>IFERROR(VLOOKUP($B16&amp;Q$5,'Mark Leave'!$A$1:$E$1841,5,0),"")</f>
        <v/>
      </c>
      <c r="R16" s="39" t="str">
        <f>IFERROR(VLOOKUP($B16&amp;R$5,'Mark Leave'!$A$1:$E$1841,5,0),"")</f>
        <v/>
      </c>
      <c r="S16" s="39" t="str">
        <f>IFERROR(VLOOKUP($B16&amp;S$5,'Mark Leave'!$A$1:$E$1841,5,0),"")</f>
        <v/>
      </c>
      <c r="T16" s="39" t="str">
        <f>IFERROR(VLOOKUP($B16&amp;T$5,'Mark Leave'!$A$1:$E$1841,5,0),"")</f>
        <v/>
      </c>
      <c r="U16" s="39" t="str">
        <f>IFERROR(VLOOKUP($B16&amp;U$5,'Mark Leave'!$A$1:$E$1841,5,0),"")</f>
        <v/>
      </c>
      <c r="V16" s="39" t="str">
        <f>IFERROR(VLOOKUP($B16&amp;V$5,'Mark Leave'!$A$1:$E$1841,5,0),"")</f>
        <v/>
      </c>
      <c r="W16" s="39" t="str">
        <f>IFERROR(VLOOKUP($B16&amp;W$5,'Mark Leave'!$A$1:$E$1841,5,0),"")</f>
        <v/>
      </c>
      <c r="X16" s="39" t="str">
        <f>IFERROR(VLOOKUP($B16&amp;X$5,'Mark Leave'!$A$1:$E$1841,5,0),"")</f>
        <v/>
      </c>
      <c r="Y16" s="39" t="str">
        <f>IFERROR(VLOOKUP($B16&amp;Y$5,'Mark Leave'!$A$1:$E$1841,5,0),"")</f>
        <v/>
      </c>
      <c r="Z16" s="39" t="str">
        <f>IFERROR(VLOOKUP($B16&amp;Z$5,'Mark Leave'!$A$1:$E$1841,5,0),"")</f>
        <v/>
      </c>
      <c r="AA16" s="39" t="str">
        <f>IFERROR(VLOOKUP($B16&amp;AA$5,'Mark Leave'!$A$1:$E$1841,5,0),"")</f>
        <v/>
      </c>
      <c r="AB16" s="39" t="str">
        <f>IFERROR(VLOOKUP($B16&amp;AB$5,'Mark Leave'!$A$1:$E$1841,5,0),"")</f>
        <v/>
      </c>
      <c r="AC16" s="39" t="str">
        <f>IFERROR(VLOOKUP($B16&amp;AC$5,'Mark Leave'!$A$1:$E$1841,5,0),"")</f>
        <v/>
      </c>
      <c r="AD16" s="39" t="str">
        <f>IFERROR(VLOOKUP($B16&amp;AD$5,'Mark Leave'!$A$1:$E$1841,5,0),"")</f>
        <v/>
      </c>
      <c r="AE16" s="39" t="str">
        <f>IFERROR(VLOOKUP($B16&amp;AE$5,'Mark Leave'!$A$1:$E$1841,5,0),"")</f>
        <v/>
      </c>
      <c r="AF16" s="39" t="str">
        <f>IFERROR(VLOOKUP($B16&amp;AF$5,'Mark Leave'!$A$1:$E$1841,5,0),"")</f>
        <v/>
      </c>
      <c r="AG16" s="39" t="str">
        <f>IFERROR(VLOOKUP($B16&amp;AG$5,'Mark Leave'!$A$1:$E$1841,5,0),"")</f>
        <v/>
      </c>
      <c r="AH16" s="39">
        <f>IFERROR(VLOOKUP($B16&amp;AH$5,'Mark Leave'!$A$1:$E$1841,5,0),"")</f>
        <v>0</v>
      </c>
      <c r="AI16" s="98">
        <f>IF($B16&lt;&gt;"",COUNTIF($D16:$AH16,'Setting '!$H$2),"")</f>
        <v>0</v>
      </c>
      <c r="AJ16" s="98">
        <f>IF($B16&lt;&gt;"",COUNTIF($D16:$AH16,'Setting '!$H$3)/2,"")</f>
        <v>0</v>
      </c>
      <c r="AK16" s="98">
        <f>IF($B16&lt;&gt;"",COUNTIF($D16:$AH16,'Setting '!$H$4),"")</f>
        <v>0</v>
      </c>
      <c r="AL16" s="98">
        <f t="shared" si="13"/>
        <v>0</v>
      </c>
      <c r="AM16" s="117">
        <f>IF(B16&lt;&gt;"",_xlfn.IFNA(VLOOKUP(B16,'Leave Credit Sheet'!B16:K109,10,0),""),"")</f>
        <v>0</v>
      </c>
      <c r="AN16" s="98">
        <f t="shared" si="2"/>
        <v>30</v>
      </c>
      <c r="AO16" s="106">
        <f>IF(B16&lt;&gt;"",_xlfn.IFNA(INDEX('CTC Sheet'!$C$6:$N$101,MATCH(AttendanceSheet!$B16,'CTC Sheet'!$A$6:$A$101,0),MATCH(AttendanceSheet!$T$1,'CTC Sheet'!$C$5:$N$5,0)),0),"")</f>
        <v>25000</v>
      </c>
      <c r="AP16" s="106">
        <f>IF(B16&lt;&gt;"",_xlfn.IFNA(INDEX('CTC Sheet'!$R$6:$AC$100,MATCH(AttendanceSheet!$B16,'CTC Sheet'!$P$6:$P$100,0),MATCH(AttendanceSheet!$T$1,'CTC Sheet'!$R$5:$AC$5,0)),0),"")</f>
        <v>0</v>
      </c>
      <c r="AQ16" s="106">
        <f t="shared" si="3"/>
        <v>8332.5</v>
      </c>
      <c r="AR16" s="106">
        <f t="shared" si="4"/>
        <v>4166.25</v>
      </c>
      <c r="AS16" s="106">
        <f t="shared" si="5"/>
        <v>4999.5</v>
      </c>
      <c r="AT16" s="106">
        <f t="shared" si="6"/>
        <v>3333</v>
      </c>
      <c r="AU16" s="106">
        <f t="shared" si="7"/>
        <v>2499.75</v>
      </c>
      <c r="AV16" s="106">
        <f t="shared" si="8"/>
        <v>1668.9997499999999</v>
      </c>
      <c r="AW16" s="106">
        <f>IF(B16&lt;&gt;"",_xlfn.IFNA(INDEX('OtherArrear payment'!$A$1:$N$95,MATCH(AttendanceSheet!$B16,'OtherArrear payment'!$A$1:$A$95,0),MATCH(AttendanceSheet!$T$1,'OtherArrear payment'!$A$1:$N$1,0)),0),"")</f>
        <v>0</v>
      </c>
      <c r="AX16" s="106">
        <f t="shared" si="14"/>
        <v>24999.999749999999</v>
      </c>
      <c r="AY16" s="106">
        <f t="shared" si="9"/>
        <v>1624.8375000000001</v>
      </c>
      <c r="AZ16" s="106">
        <f t="shared" si="10"/>
        <v>1499.85</v>
      </c>
      <c r="BA16" s="106">
        <f t="shared" si="11"/>
        <v>0</v>
      </c>
      <c r="BB16" s="106">
        <f t="shared" si="12"/>
        <v>0</v>
      </c>
      <c r="BC16" s="106">
        <f>IF($B16&lt;&gt;"",IF(BL16="Yes",IF($BI16="Mr.",IF($AX16&lt;=7500,0,IF(AND($AX16&lt;10000,$AX16&gt;7501),175,IF(AND($AX16&gt;10000,'Setting '!$G$28&lt;&gt;11),200,300))),IF(AND($AX16&lt;=10000,$BI16="Ms."),0,IF(AND($AX16&gt;10000,'Setting '!$G$28&lt;&gt;11),200,300))),0),"")</f>
        <v>200</v>
      </c>
      <c r="BD16" s="42"/>
      <c r="BE16" s="212">
        <f>IF($B16&lt;&gt;"",IF('Advance Sheet'!AF13&gt;=0,INDEX('Advance Sheet'!$Q$3:$AD$100,MATCH(AttendanceSheet!$B16,'Advance Sheet'!$Q$3:$Q$100,0),MATCH(AttendanceSheet!$T$1,'Advance Sheet'!$Q$3:$AD$3,)),0),"")</f>
        <v>0</v>
      </c>
      <c r="BF16" s="137">
        <f t="shared" si="15"/>
        <v>21675.312249999999</v>
      </c>
      <c r="BG16" s="97" t="str">
        <f>IF(B16&lt;&gt;"",VLOOKUP(B16,'Employee Details'!A15:S100,17,0),"")</f>
        <v>Yes</v>
      </c>
      <c r="BH16" s="97" t="str">
        <f>IF(B16&lt;&gt;"",VLOOKUP(B16,'Employee Details'!A15:S100,18,0),"")</f>
        <v>NO</v>
      </c>
      <c r="BI16" s="40" t="str">
        <f>IF(B16&lt;&gt;"",VLOOKUP(B16,'Employee Details'!A14:S100,19,0),"")</f>
        <v>Mr.</v>
      </c>
      <c r="BJ16" s="38" t="str">
        <f>IF(B16&lt;&gt;"",VLOOKUP(B16,'Employee Details'!A15:D54,4,0),"")</f>
        <v>ONROLL</v>
      </c>
      <c r="BK16" s="38" t="str">
        <f>IF(B16&lt;&gt;"",VLOOKUP(B16,'Employee Details'!A15:E100,5,0),"")</f>
        <v>HO STAFF</v>
      </c>
      <c r="BL16" s="210" t="str">
        <f>IF(B16&lt;&gt;"",VLOOKUP(B16,'Employee Details'!A15:U100,21,0),"")</f>
        <v>Yes</v>
      </c>
      <c r="BO16" s="104"/>
    </row>
    <row r="17" spans="2:68" ht="16.5" thickTop="1" thickBot="1" x14ac:dyDescent="0.3">
      <c r="B17" s="37" t="str">
        <f>_xlfn.IFNA(INDEX('Employee Details'!$A$7:$A20,MATCH(AttendanceSheet!$C17,'Employee Details'!$B$7:$B26,0)),"")</f>
        <v>Emp_0012</v>
      </c>
      <c r="C17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'!$J$1:J11))),"")</f>
        <v>VIRENDRA ETHAPE</v>
      </c>
      <c r="D17" s="39" t="str">
        <f>IFERROR(VLOOKUP($B17&amp;D$5,'Mark Leave'!$A$1:$E$1841,5,0),"")</f>
        <v>A</v>
      </c>
      <c r="E17" s="39" t="str">
        <f>IFERROR(VLOOKUP($B17&amp;E$5,'Mark Leave'!$A$1:$E$1841,5,0),"")</f>
        <v>A</v>
      </c>
      <c r="F17" s="39" t="str">
        <f>IFERROR(VLOOKUP($B17&amp;F$5,'Mark Leave'!$A$1:$E$1841,5,0),"")</f>
        <v>"1/2"</v>
      </c>
      <c r="G17" s="39" t="str">
        <f>IFERROR(VLOOKUP($B17&amp;G$5,'Mark Leave'!$A$1:$E$1841,5,0),"")</f>
        <v/>
      </c>
      <c r="H17" s="39" t="str">
        <f>IFERROR(VLOOKUP($B17&amp;H$5,'Mark Leave'!$A$1:$E$1841,5,0),"")</f>
        <v/>
      </c>
      <c r="I17" s="39" t="str">
        <f>IFERROR(VLOOKUP($B17&amp;I$5,'Mark Leave'!$A$1:$E$1841,5,0),"")</f>
        <v/>
      </c>
      <c r="J17" s="39" t="str">
        <f>IFERROR(VLOOKUP($B17&amp;J$5,'Mark Leave'!$A$1:$E$1841,5,0),"")</f>
        <v/>
      </c>
      <c r="K17" s="39" t="str">
        <f>IFERROR(VLOOKUP($B17&amp;K$5,'Mark Leave'!$A$1:$E$1841,5,0),"")</f>
        <v/>
      </c>
      <c r="L17" s="39" t="str">
        <f>IFERROR(VLOOKUP($B17&amp;L$5,'Mark Leave'!$A$1:$E$1841,5,0),"")</f>
        <v/>
      </c>
      <c r="M17" s="39" t="str">
        <f>IFERROR(VLOOKUP($B17&amp;M$5,'Mark Leave'!$A$1:$E$1841,5,0),"")</f>
        <v/>
      </c>
      <c r="N17" s="39" t="str">
        <f>IFERROR(VLOOKUP($B17&amp;N$5,'Mark Leave'!$A$1:$E$1841,5,0),"")</f>
        <v/>
      </c>
      <c r="O17" s="39" t="str">
        <f>IFERROR(VLOOKUP($B17&amp;O$5,'Mark Leave'!$A$1:$E$1841,5,0),"")</f>
        <v/>
      </c>
      <c r="P17" s="39" t="str">
        <f>IFERROR(VLOOKUP($B17&amp;P$5,'Mark Leave'!$A$1:$E$1841,5,0),"")</f>
        <v/>
      </c>
      <c r="Q17" s="39" t="str">
        <f>IFERROR(VLOOKUP($B17&amp;Q$5,'Mark Leave'!$A$1:$E$1841,5,0),"")</f>
        <v/>
      </c>
      <c r="R17" s="39" t="str">
        <f>IFERROR(VLOOKUP($B17&amp;R$5,'Mark Leave'!$A$1:$E$1841,5,0),"")</f>
        <v/>
      </c>
      <c r="S17" s="39" t="str">
        <f>IFERROR(VLOOKUP($B17&amp;S$5,'Mark Leave'!$A$1:$E$1841,5,0),"")</f>
        <v/>
      </c>
      <c r="T17" s="39" t="str">
        <f>IFERROR(VLOOKUP($B17&amp;T$5,'Mark Leave'!$A$1:$E$1841,5,0),"")</f>
        <v/>
      </c>
      <c r="U17" s="39" t="str">
        <f>IFERROR(VLOOKUP($B17&amp;U$5,'Mark Leave'!$A$1:$E$1841,5,0),"")</f>
        <v/>
      </c>
      <c r="V17" s="39" t="str">
        <f>IFERROR(VLOOKUP($B17&amp;V$5,'Mark Leave'!$A$1:$E$1841,5,0),"")</f>
        <v/>
      </c>
      <c r="W17" s="39" t="str">
        <f>IFERROR(VLOOKUP($B17&amp;W$5,'Mark Leave'!$A$1:$E$1841,5,0),"")</f>
        <v/>
      </c>
      <c r="X17" s="39" t="str">
        <f>IFERROR(VLOOKUP($B17&amp;X$5,'Mark Leave'!$A$1:$E$1841,5,0),"")</f>
        <v/>
      </c>
      <c r="Y17" s="39" t="str">
        <f>IFERROR(VLOOKUP($B17&amp;Y$5,'Mark Leave'!$A$1:$E$1841,5,0),"")</f>
        <v/>
      </c>
      <c r="Z17" s="39" t="str">
        <f>IFERROR(VLOOKUP($B17&amp;Z$5,'Mark Leave'!$A$1:$E$1841,5,0),"")</f>
        <v/>
      </c>
      <c r="AA17" s="39" t="str">
        <f>IFERROR(VLOOKUP($B17&amp;AA$5,'Mark Leave'!$A$1:$E$1841,5,0),"")</f>
        <v/>
      </c>
      <c r="AB17" s="39" t="str">
        <f>IFERROR(VLOOKUP($B17&amp;AB$5,'Mark Leave'!$A$1:$E$1841,5,0),"")</f>
        <v/>
      </c>
      <c r="AC17" s="39" t="str">
        <f>IFERROR(VLOOKUP($B17&amp;AC$5,'Mark Leave'!$A$1:$E$1841,5,0),"")</f>
        <v/>
      </c>
      <c r="AD17" s="39" t="str">
        <f>IFERROR(VLOOKUP($B17&amp;AD$5,'Mark Leave'!$A$1:$E$1841,5,0),"")</f>
        <v/>
      </c>
      <c r="AE17" s="39" t="str">
        <f>IFERROR(VLOOKUP($B17&amp;AE$5,'Mark Leave'!$A$1:$E$1841,5,0),"")</f>
        <v/>
      </c>
      <c r="AF17" s="39" t="str">
        <f>IFERROR(VLOOKUP($B17&amp;AF$5,'Mark Leave'!$A$1:$E$1841,5,0),"")</f>
        <v/>
      </c>
      <c r="AG17" s="39" t="str">
        <f>IFERROR(VLOOKUP($B17&amp;AG$5,'Mark Leave'!$A$1:$E$1841,5,0),"")</f>
        <v/>
      </c>
      <c r="AH17" s="39" t="str">
        <f>IFERROR(VLOOKUP($B17&amp;AH$5,'Mark Leave'!$A$1:$E$1841,5,0),"")</f>
        <v/>
      </c>
      <c r="AI17" s="98">
        <f>IF($B17&lt;&gt;"",COUNTIF($D17:$AH17,'Setting '!$H$2),"")</f>
        <v>2</v>
      </c>
      <c r="AJ17" s="98">
        <f>IF($B17&lt;&gt;"",COUNTIF($D17:$AH17,'Setting '!$H$3)/2,"")</f>
        <v>0.5</v>
      </c>
      <c r="AK17" s="98">
        <f>IF($B17&lt;&gt;"",COUNTIF($D17:$AH17,'Setting '!$H$4),"")</f>
        <v>0</v>
      </c>
      <c r="AL17" s="98">
        <f t="shared" si="13"/>
        <v>2.5</v>
      </c>
      <c r="AM17" s="117">
        <f>IF(B17&lt;&gt;"",_xlfn.IFNA(VLOOKUP(B17,'Leave Credit Sheet'!B17:K110,10,0),""),"")</f>
        <v>1</v>
      </c>
      <c r="AN17" s="98">
        <f t="shared" si="2"/>
        <v>29</v>
      </c>
      <c r="AO17" s="106">
        <f>IF(B17&lt;&gt;"",_xlfn.IFNA(INDEX('CTC Sheet'!$C$6:$N$101,MATCH(AttendanceSheet!$B17,'CTC Sheet'!$A$6:$A$101,0),MATCH(AttendanceSheet!$T$1,'CTC Sheet'!$C$5:$N$5,0)),0),"")</f>
        <v>12000</v>
      </c>
      <c r="AP17" s="106">
        <f>IF(B17&lt;&gt;"",_xlfn.IFNA(INDEX('CTC Sheet'!$R$6:$AC$100,MATCH(AttendanceSheet!$B17,'CTC Sheet'!$P$6:$P$100,0),MATCH(AttendanceSheet!$T$1,'CTC Sheet'!$R$5:$AC$5,0)),0),"")</f>
        <v>0</v>
      </c>
      <c r="AQ17" s="106">
        <f t="shared" si="3"/>
        <v>3866.2799999999997</v>
      </c>
      <c r="AR17" s="106">
        <f t="shared" si="4"/>
        <v>1933.1399999999999</v>
      </c>
      <c r="AS17" s="106">
        <f t="shared" si="5"/>
        <v>2319.7679999999996</v>
      </c>
      <c r="AT17" s="106">
        <f t="shared" si="6"/>
        <v>1546.5119999999999</v>
      </c>
      <c r="AU17" s="106">
        <f t="shared" si="7"/>
        <v>1159.8839999999998</v>
      </c>
      <c r="AV17" s="106">
        <f t="shared" si="8"/>
        <v>774.41588400000001</v>
      </c>
      <c r="AW17" s="106">
        <f>IF(B17&lt;&gt;"",_xlfn.IFNA(INDEX('OtherArrear payment'!$A$1:$N$95,MATCH(AttendanceSheet!$B17,'OtherArrear payment'!$A$1:$A$95,0),MATCH(AttendanceSheet!$T$1,'OtherArrear payment'!$A$1:$N$1,0)),0),"")</f>
        <v>1548</v>
      </c>
      <c r="AX17" s="106">
        <f t="shared" si="14"/>
        <v>11599.999884000001</v>
      </c>
      <c r="AY17" s="106">
        <f t="shared" si="9"/>
        <v>0</v>
      </c>
      <c r="AZ17" s="106">
        <f t="shared" si="10"/>
        <v>0</v>
      </c>
      <c r="BA17" s="106">
        <f t="shared" si="11"/>
        <v>0</v>
      </c>
      <c r="BB17" s="106">
        <f t="shared" si="12"/>
        <v>0</v>
      </c>
      <c r="BC17" s="106">
        <f>IF($B17&lt;&gt;"",IF(BL17="Yes",IF($BI17="Mr.",IF($AX17&lt;=7500,0,IF(AND($AX17&lt;10000,$AX17&gt;7501),175,IF(AND($AX17&gt;10000,'Setting '!$G$28&lt;&gt;11),200,300))),IF(AND($AX17&lt;=10000,$BI17="Ms."),0,IF(AND($AX17&gt;10000,'Setting '!$G$28&lt;&gt;11),200,300))),0),"")</f>
        <v>200</v>
      </c>
      <c r="BD17" s="42"/>
      <c r="BE17" s="212">
        <f>IF($B17&lt;&gt;"",IF('Advance Sheet'!AF14&gt;=0,INDEX('Advance Sheet'!$Q$3:$AD$100,MATCH(AttendanceSheet!$B17,'Advance Sheet'!$Q$3:$Q$100,0),MATCH(AttendanceSheet!$T$1,'Advance Sheet'!$Q$3:$AD$3,)),0),"")</f>
        <v>0</v>
      </c>
      <c r="BF17" s="137">
        <f t="shared" si="15"/>
        <v>12947.999884000001</v>
      </c>
      <c r="BG17" s="97" t="str">
        <f>IF(B17&lt;&gt;"",VLOOKUP(B17,'Employee Details'!A16:S100,17,0),"")</f>
        <v>NO</v>
      </c>
      <c r="BH17" s="97" t="str">
        <f>IF(B17&lt;&gt;"",VLOOKUP(B17,'Employee Details'!A16:S100,18,0),"")</f>
        <v>NO</v>
      </c>
      <c r="BI17" s="40" t="str">
        <f>IF(B17&lt;&gt;"",VLOOKUP(B17,'Employee Details'!A15:S100,19,0),"")</f>
        <v>Mr.</v>
      </c>
      <c r="BJ17" s="38" t="str">
        <f>IF(B17&lt;&gt;"",VLOOKUP(B17,'Employee Details'!A16:D55,4,0),"")</f>
        <v>ONROLL</v>
      </c>
      <c r="BK17" s="38" t="str">
        <f>IF(B17&lt;&gt;"",VLOOKUP(B17,'Employee Details'!A16:E100,5,0),"")</f>
        <v>HO STAFF</v>
      </c>
      <c r="BL17" s="210" t="str">
        <f>IF(B17&lt;&gt;"",VLOOKUP(B17,'Employee Details'!A16:U100,21,0),"")</f>
        <v>Yes</v>
      </c>
      <c r="BO17" s="104"/>
    </row>
    <row r="18" spans="2:68" ht="24.75" thickTop="1" thickBot="1" x14ac:dyDescent="0.3">
      <c r="B18" s="37" t="str">
        <f>_xlfn.IFNA(INDEX('Employee Details'!$A$7:$A21,MATCH(AttendanceSheet!$C18,'Employee Details'!$B$7:$B27,0)),"")</f>
        <v>Emp_0013</v>
      </c>
      <c r="C18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'!$J$1:J12))),"")</f>
        <v>KALPESH SHELAR</v>
      </c>
      <c r="D18" s="39" t="str">
        <f>IFERROR(VLOOKUP($B18&amp;D$5,'Mark Leave'!$A$1:$E$1841,5,0),"")</f>
        <v/>
      </c>
      <c r="E18" s="39" t="str">
        <f>IFERROR(VLOOKUP($B18&amp;E$5,'Mark Leave'!$A$1:$E$1841,5,0),"")</f>
        <v/>
      </c>
      <c r="F18" s="39" t="str">
        <f>IFERROR(VLOOKUP($B18&amp;F$5,'Mark Leave'!$A$1:$E$1841,5,0),"")</f>
        <v/>
      </c>
      <c r="G18" s="39" t="str">
        <f>IFERROR(VLOOKUP($B18&amp;G$5,'Mark Leave'!$A$1:$E$1841,5,0),"")</f>
        <v/>
      </c>
      <c r="H18" s="39" t="str">
        <f>IFERROR(VLOOKUP($B18&amp;H$5,'Mark Leave'!$A$1:$E$1841,5,0),"")</f>
        <v>OT</v>
      </c>
      <c r="I18" s="39" t="str">
        <f>IFERROR(VLOOKUP($B18&amp;I$5,'Mark Leave'!$A$1:$E$1841,5,0),"")</f>
        <v>OT</v>
      </c>
      <c r="J18" s="39" t="str">
        <f>IFERROR(VLOOKUP($B18&amp;J$5,'Mark Leave'!$A$1:$E$1841,5,0),"")</f>
        <v/>
      </c>
      <c r="K18" s="39" t="str">
        <f>IFERROR(VLOOKUP($B18&amp;K$5,'Mark Leave'!$A$1:$E$1841,5,0),"")</f>
        <v/>
      </c>
      <c r="L18" s="39" t="str">
        <f>IFERROR(VLOOKUP($B18&amp;L$5,'Mark Leave'!$A$1:$E$1841,5,0),"")</f>
        <v/>
      </c>
      <c r="M18" s="39" t="str">
        <f>IFERROR(VLOOKUP($B18&amp;M$5,'Mark Leave'!$A$1:$E$1841,5,0),"")</f>
        <v/>
      </c>
      <c r="N18" s="39" t="str">
        <f>IFERROR(VLOOKUP($B18&amp;N$5,'Mark Leave'!$A$1:$E$1841,5,0),"")</f>
        <v/>
      </c>
      <c r="O18" s="39" t="str">
        <f>IFERROR(VLOOKUP($B18&amp;O$5,'Mark Leave'!$A$1:$E$1841,5,0),"")</f>
        <v/>
      </c>
      <c r="P18" s="39" t="str">
        <f>IFERROR(VLOOKUP($B18&amp;P$5,'Mark Leave'!$A$1:$E$1841,5,0),"")</f>
        <v/>
      </c>
      <c r="Q18" s="39" t="str">
        <f>IFERROR(VLOOKUP($B18&amp;Q$5,'Mark Leave'!$A$1:$E$1841,5,0),"")</f>
        <v/>
      </c>
      <c r="R18" s="39" t="str">
        <f>IFERROR(VLOOKUP($B18&amp;R$5,'Mark Leave'!$A$1:$E$1841,5,0),"")</f>
        <v/>
      </c>
      <c r="S18" s="39" t="str">
        <f>IFERROR(VLOOKUP($B18&amp;S$5,'Mark Leave'!$A$1:$E$1841,5,0),"")</f>
        <v/>
      </c>
      <c r="T18" s="39" t="str">
        <f>IFERROR(VLOOKUP($B18&amp;T$5,'Mark Leave'!$A$1:$E$1841,5,0),"")</f>
        <v/>
      </c>
      <c r="U18" s="39" t="str">
        <f>IFERROR(VLOOKUP($B18&amp;U$5,'Mark Leave'!$A$1:$E$1841,5,0),"")</f>
        <v/>
      </c>
      <c r="V18" s="39" t="str">
        <f>IFERROR(VLOOKUP($B18&amp;V$5,'Mark Leave'!$A$1:$E$1841,5,0),"")</f>
        <v/>
      </c>
      <c r="W18" s="39" t="str">
        <f>IFERROR(VLOOKUP($B18&amp;W$5,'Mark Leave'!$A$1:$E$1841,5,0),"")</f>
        <v/>
      </c>
      <c r="X18" s="39" t="str">
        <f>IFERROR(VLOOKUP($B18&amp;X$5,'Mark Leave'!$A$1:$E$1841,5,0),"")</f>
        <v/>
      </c>
      <c r="Y18" s="39" t="str">
        <f>IFERROR(VLOOKUP($B18&amp;Y$5,'Mark Leave'!$A$1:$E$1841,5,0),"")</f>
        <v/>
      </c>
      <c r="Z18" s="39" t="str">
        <f>IFERROR(VLOOKUP($B18&amp;Z$5,'Mark Leave'!$A$1:$E$1841,5,0),"")</f>
        <v/>
      </c>
      <c r="AA18" s="39" t="str">
        <f>IFERROR(VLOOKUP($B18&amp;AA$5,'Mark Leave'!$A$1:$E$1841,5,0),"")</f>
        <v/>
      </c>
      <c r="AB18" s="39" t="str">
        <f>IFERROR(VLOOKUP($B18&amp;AB$5,'Mark Leave'!$A$1:$E$1841,5,0),"")</f>
        <v/>
      </c>
      <c r="AC18" s="39" t="str">
        <f>IFERROR(VLOOKUP($B18&amp;AC$5,'Mark Leave'!$A$1:$E$1841,5,0),"")</f>
        <v/>
      </c>
      <c r="AD18" s="39" t="str">
        <f>IFERROR(VLOOKUP($B18&amp;AD$5,'Mark Leave'!$A$1:$E$1841,5,0),"")</f>
        <v/>
      </c>
      <c r="AE18" s="39" t="str">
        <f>IFERROR(VLOOKUP($B18&amp;AE$5,'Mark Leave'!$A$1:$E$1841,5,0),"")</f>
        <v/>
      </c>
      <c r="AF18" s="39" t="str">
        <f>IFERROR(VLOOKUP($B18&amp;AF$5,'Mark Leave'!$A$1:$E$1841,5,0),"")</f>
        <v/>
      </c>
      <c r="AG18" s="39" t="str">
        <f>IFERROR(VLOOKUP($B18&amp;AG$5,'Mark Leave'!$A$1:$E$1841,5,0),"")</f>
        <v/>
      </c>
      <c r="AH18" s="39" t="str">
        <f>IFERROR(VLOOKUP($B18&amp;AH$5,'Mark Leave'!$A$1:$E$1841,5,0),"")</f>
        <v/>
      </c>
      <c r="AI18" s="98">
        <f>IF($B18&lt;&gt;"",COUNTIF($D18:$AH18,'Setting '!$H$2),"")</f>
        <v>0</v>
      </c>
      <c r="AJ18" s="98">
        <f>IF($B18&lt;&gt;"",COUNTIF($D18:$AH18,'Setting '!$H$3)/2,"")</f>
        <v>0</v>
      </c>
      <c r="AK18" s="98">
        <f>IF($B18&lt;&gt;"",COUNTIF($D18:$AH18,'Setting '!$H$4),"")</f>
        <v>2</v>
      </c>
      <c r="AL18" s="98">
        <f t="shared" si="13"/>
        <v>0</v>
      </c>
      <c r="AM18" s="117">
        <f>IF(B18&lt;&gt;"",_xlfn.IFNA(VLOOKUP(B18,'Leave Credit Sheet'!B18:K111,10,0),""),"")</f>
        <v>0</v>
      </c>
      <c r="AN18" s="98">
        <f t="shared" si="2"/>
        <v>30</v>
      </c>
      <c r="AO18" s="106">
        <f>IF(B18&lt;&gt;"",_xlfn.IFNA(INDEX('CTC Sheet'!$C$6:$N$101,MATCH(AttendanceSheet!$B18,'CTC Sheet'!$A$6:$A$101,0),MATCH(AttendanceSheet!$T$1,'CTC Sheet'!$C$5:$N$5,0)),0),"")</f>
        <v>9500</v>
      </c>
      <c r="AP18" s="106">
        <f>IF(B18&lt;&gt;"",_xlfn.IFNA(INDEX('CTC Sheet'!$R$6:$AC$100,MATCH(AttendanceSheet!$B18,'CTC Sheet'!$P$6:$P$100,0),MATCH(AttendanceSheet!$T$1,'CTC Sheet'!$R$5:$AC$5,0)),0),"")</f>
        <v>0</v>
      </c>
      <c r="AQ18" s="106">
        <f t="shared" si="3"/>
        <v>3166.35</v>
      </c>
      <c r="AR18" s="106">
        <f t="shared" si="4"/>
        <v>1583.175</v>
      </c>
      <c r="AS18" s="106">
        <f t="shared" si="5"/>
        <v>1899.81</v>
      </c>
      <c r="AT18" s="106">
        <f t="shared" si="6"/>
        <v>1266.54</v>
      </c>
      <c r="AU18" s="106">
        <f t="shared" si="7"/>
        <v>949.90499999999997</v>
      </c>
      <c r="AV18" s="106">
        <f t="shared" si="8"/>
        <v>634.21990500000004</v>
      </c>
      <c r="AW18" s="106">
        <f>IF(B18&lt;&gt;"",_xlfn.IFNA(INDEX('OtherArrear payment'!$A$1:$N$95,MATCH(AttendanceSheet!$B18,'OtherArrear payment'!$A$1:$A$95,0),MATCH(AttendanceSheet!$T$1,'OtherArrear payment'!$A$1:$N$1,0)),0),"")</f>
        <v>0</v>
      </c>
      <c r="AX18" s="106">
        <f t="shared" si="14"/>
        <v>9499.9999049999988</v>
      </c>
      <c r="AY18" s="106">
        <f t="shared" si="9"/>
        <v>0</v>
      </c>
      <c r="AZ18" s="106">
        <f t="shared" si="10"/>
        <v>0</v>
      </c>
      <c r="BA18" s="106">
        <f t="shared" si="11"/>
        <v>0</v>
      </c>
      <c r="BB18" s="106">
        <f t="shared" si="12"/>
        <v>0</v>
      </c>
      <c r="BC18" s="106">
        <f>IF($B18&lt;&gt;"",IF(BL18="Yes",IF($BI18="Mr.",IF($AX18&lt;=7500,0,IF(AND($AX18&lt;10000,$AX18&gt;7501),175,IF(AND($AX18&gt;10000,'Setting '!$G$28&lt;&gt;11),200,300))),IF(AND($AX18&lt;=10000,$BI18="Ms."),0,IF(AND($AX18&gt;10000,'Setting '!$G$28&lt;&gt;11),200,300))),0),"")</f>
        <v>175</v>
      </c>
      <c r="BD18" s="42"/>
      <c r="BE18" s="212">
        <f>IF($B18&lt;&gt;"",IF('Advance Sheet'!AF15&gt;=0,INDEX('Advance Sheet'!$Q$3:$AD$100,MATCH(AttendanceSheet!$B18,'Advance Sheet'!$Q$3:$Q$100,0),MATCH(AttendanceSheet!$T$1,'Advance Sheet'!$Q$3:$AD$3,)),0),"")</f>
        <v>0</v>
      </c>
      <c r="BF18" s="137">
        <f t="shared" si="15"/>
        <v>9324.9999049999988</v>
      </c>
      <c r="BG18" s="97" t="str">
        <f>IF(B18&lt;&gt;"",VLOOKUP(B18,'Employee Details'!A17:S100,17,0),"")</f>
        <v>No</v>
      </c>
      <c r="BH18" s="97" t="str">
        <f>IF(C18&lt;&gt;"",VLOOKUP(C18,'Employee Details'!B17:T100,17,0),"")</f>
        <v>No</v>
      </c>
      <c r="BI18" s="40" t="str">
        <f>IF(B18&lt;&gt;"",VLOOKUP(B18,'Employee Details'!A16:S100,19,0),"")</f>
        <v>Mr.</v>
      </c>
      <c r="BJ18" s="38" t="str">
        <f>IF(B18&lt;&gt;"",VLOOKUP(B18,'Employee Details'!A17:D56,4,0),"")</f>
        <v>ONROLL</v>
      </c>
      <c r="BK18" s="38" t="str">
        <f>IF(B18&lt;&gt;"",VLOOKUP(B18,'Employee Details'!A17:E100,5,0),"")</f>
        <v>FACTORY STAFF</v>
      </c>
      <c r="BL18" s="210" t="str">
        <f>IF(B18&lt;&gt;"",VLOOKUP(B18,'Employee Details'!A17:U100,21,0),"")</f>
        <v>Yes</v>
      </c>
      <c r="BO18" s="104"/>
    </row>
    <row r="19" spans="2:68" ht="16.5" thickTop="1" thickBot="1" x14ac:dyDescent="0.3">
      <c r="B19" s="37" t="str">
        <f>_xlfn.IFNA(INDEX('Employee Details'!$A$7:$A22,MATCH(AttendanceSheet!$C19,'Employee Details'!$B$7:$B28,0)),"")</f>
        <v>Emp_0014</v>
      </c>
      <c r="C19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'!$J$1:J13))),"")</f>
        <v>AJAY SAVARA</v>
      </c>
      <c r="D19" s="39" t="str">
        <f>IFERROR(VLOOKUP($B19&amp;D$5,'Mark Leave'!$A$1:$E$1841,5,0),"")</f>
        <v>A</v>
      </c>
      <c r="E19" s="39" t="str">
        <f>IFERROR(VLOOKUP($B19&amp;E$5,'Mark Leave'!$A$1:$E$1841,5,0),"")</f>
        <v>A</v>
      </c>
      <c r="F19" s="39" t="str">
        <f>IFERROR(VLOOKUP($B19&amp;F$5,'Mark Leave'!$A$1:$E$1841,5,0),"")</f>
        <v/>
      </c>
      <c r="G19" s="39" t="str">
        <f>IFERROR(VLOOKUP($B19&amp;G$5,'Mark Leave'!$A$1:$E$1841,5,0),"")</f>
        <v/>
      </c>
      <c r="H19" s="39" t="str">
        <f>IFERROR(VLOOKUP($B19&amp;H$5,'Mark Leave'!$A$1:$E$1841,5,0),"")</f>
        <v/>
      </c>
      <c r="I19" s="39" t="str">
        <f>IFERROR(VLOOKUP($B19&amp;I$5,'Mark Leave'!$A$1:$E$1841,5,0),"")</f>
        <v/>
      </c>
      <c r="J19" s="39" t="str">
        <f>IFERROR(VLOOKUP($B19&amp;J$5,'Mark Leave'!$A$1:$E$1841,5,0),"")</f>
        <v/>
      </c>
      <c r="K19" s="39" t="str">
        <f>IFERROR(VLOOKUP($B19&amp;K$5,'Mark Leave'!$A$1:$E$1841,5,0),"")</f>
        <v/>
      </c>
      <c r="L19" s="39" t="str">
        <f>IFERROR(VLOOKUP($B19&amp;L$5,'Mark Leave'!$A$1:$E$1841,5,0),"")</f>
        <v/>
      </c>
      <c r="M19" s="39" t="str">
        <f>IFERROR(VLOOKUP($B19&amp;M$5,'Mark Leave'!$A$1:$E$1841,5,0),"")</f>
        <v/>
      </c>
      <c r="N19" s="39" t="str">
        <f>IFERROR(VLOOKUP($B19&amp;N$5,'Mark Leave'!$A$1:$E$1841,5,0),"")</f>
        <v/>
      </c>
      <c r="O19" s="39" t="str">
        <f>IFERROR(VLOOKUP($B19&amp;O$5,'Mark Leave'!$A$1:$E$1841,5,0),"")</f>
        <v/>
      </c>
      <c r="P19" s="39" t="str">
        <f>IFERROR(VLOOKUP($B19&amp;P$5,'Mark Leave'!$A$1:$E$1841,5,0),"")</f>
        <v/>
      </c>
      <c r="Q19" s="39" t="str">
        <f>IFERROR(VLOOKUP($B19&amp;Q$5,'Mark Leave'!$A$1:$E$1841,5,0),"")</f>
        <v/>
      </c>
      <c r="R19" s="39" t="str">
        <f>IFERROR(VLOOKUP($B19&amp;R$5,'Mark Leave'!$A$1:$E$1841,5,0),"")</f>
        <v/>
      </c>
      <c r="S19" s="39" t="str">
        <f>IFERROR(VLOOKUP($B19&amp;S$5,'Mark Leave'!$A$1:$E$1841,5,0),"")</f>
        <v/>
      </c>
      <c r="T19" s="39" t="str">
        <f>IFERROR(VLOOKUP($B19&amp;T$5,'Mark Leave'!$A$1:$E$1841,5,0),"")</f>
        <v/>
      </c>
      <c r="U19" s="39" t="str">
        <f>IFERROR(VLOOKUP($B19&amp;U$5,'Mark Leave'!$A$1:$E$1841,5,0),"")</f>
        <v/>
      </c>
      <c r="V19" s="39" t="str">
        <f>IFERROR(VLOOKUP($B19&amp;V$5,'Mark Leave'!$A$1:$E$1841,5,0),"")</f>
        <v/>
      </c>
      <c r="W19" s="39" t="str">
        <f>IFERROR(VLOOKUP($B19&amp;W$5,'Mark Leave'!$A$1:$E$1841,5,0),"")</f>
        <v/>
      </c>
      <c r="X19" s="39" t="str">
        <f>IFERROR(VLOOKUP($B19&amp;X$5,'Mark Leave'!$A$1:$E$1841,5,0),"")</f>
        <v/>
      </c>
      <c r="Y19" s="39" t="str">
        <f>IFERROR(VLOOKUP($B19&amp;Y$5,'Mark Leave'!$A$1:$E$1841,5,0),"")</f>
        <v/>
      </c>
      <c r="Z19" s="39" t="str">
        <f>IFERROR(VLOOKUP($B19&amp;Z$5,'Mark Leave'!$A$1:$E$1841,5,0),"")</f>
        <v/>
      </c>
      <c r="AA19" s="39" t="str">
        <f>IFERROR(VLOOKUP($B19&amp;AA$5,'Mark Leave'!$A$1:$E$1841,5,0),"")</f>
        <v/>
      </c>
      <c r="AB19" s="39" t="str">
        <f>IFERROR(VLOOKUP($B19&amp;AB$5,'Mark Leave'!$A$1:$E$1841,5,0),"")</f>
        <v/>
      </c>
      <c r="AC19" s="39" t="str">
        <f>IFERROR(VLOOKUP($B19&amp;AC$5,'Mark Leave'!$A$1:$E$1841,5,0),"")</f>
        <v/>
      </c>
      <c r="AD19" s="39" t="str">
        <f>IFERROR(VLOOKUP($B19&amp;AD$5,'Mark Leave'!$A$1:$E$1841,5,0),"")</f>
        <v/>
      </c>
      <c r="AE19" s="39" t="str">
        <f>IFERROR(VLOOKUP($B19&amp;AE$5,'Mark Leave'!$A$1:$E$1841,5,0),"")</f>
        <v/>
      </c>
      <c r="AF19" s="39" t="str">
        <f>IFERROR(VLOOKUP($B19&amp;AF$5,'Mark Leave'!$A$1:$E$1841,5,0),"")</f>
        <v/>
      </c>
      <c r="AG19" s="39" t="str">
        <f>IFERROR(VLOOKUP($B19&amp;AG$5,'Mark Leave'!$A$1:$E$1841,5,0),"")</f>
        <v/>
      </c>
      <c r="AH19" s="39" t="str">
        <f>IFERROR(VLOOKUP($B19&amp;AH$5,'Mark Leave'!$A$1:$E$1841,5,0),"")</f>
        <v/>
      </c>
      <c r="AI19" s="98">
        <f>IF($B19&lt;&gt;"",COUNTIF($D19:$AH19,'Setting '!$H$2),"")</f>
        <v>2</v>
      </c>
      <c r="AJ19" s="98">
        <f>IF($B19&lt;&gt;"",COUNTIF($D19:$AH19,'Setting '!$H$3)/2,"")</f>
        <v>0</v>
      </c>
      <c r="AK19" s="98">
        <f>IF($B19&lt;&gt;"",COUNTIF($D19:$AH19,'Setting '!$H$4),"")</f>
        <v>0</v>
      </c>
      <c r="AL19" s="98">
        <f t="shared" si="13"/>
        <v>2</v>
      </c>
      <c r="AM19" s="117">
        <f>IF(B19&lt;&gt;"",_xlfn.IFNA(VLOOKUP(B19,'Leave Credit Sheet'!B19:K112,10,0),""),"")</f>
        <v>0</v>
      </c>
      <c r="AN19" s="98">
        <f t="shared" si="2"/>
        <v>30</v>
      </c>
      <c r="AO19" s="106">
        <f>IF(B19&lt;&gt;"",_xlfn.IFNA(INDEX('CTC Sheet'!$C$6:$N$101,MATCH(AttendanceSheet!$B19,'CTC Sheet'!$A$6:$A$101,0),MATCH(AttendanceSheet!$T$1,'CTC Sheet'!$C$5:$N$5,0)),0),"")</f>
        <v>11400</v>
      </c>
      <c r="AP19" s="106">
        <f>IF(B19&lt;&gt;"",_xlfn.IFNA(INDEX('CTC Sheet'!$R$6:$AC$100,MATCH(AttendanceSheet!$B19,'CTC Sheet'!$P$6:$P$100,0),MATCH(AttendanceSheet!$T$1,'CTC Sheet'!$R$5:$AC$5,0)),0),"")</f>
        <v>0</v>
      </c>
      <c r="AQ19" s="106">
        <f t="shared" si="3"/>
        <v>3799.62</v>
      </c>
      <c r="AR19" s="106">
        <f t="shared" si="4"/>
        <v>1899.81</v>
      </c>
      <c r="AS19" s="106">
        <f t="shared" si="5"/>
        <v>2279.7719999999999</v>
      </c>
      <c r="AT19" s="106">
        <f t="shared" si="6"/>
        <v>1519.848</v>
      </c>
      <c r="AU19" s="106">
        <f t="shared" si="7"/>
        <v>1139.886</v>
      </c>
      <c r="AV19" s="106">
        <f t="shared" si="8"/>
        <v>761.06388600000002</v>
      </c>
      <c r="AW19" s="106">
        <f>IF(B19&lt;&gt;"",_xlfn.IFNA(INDEX('OtherArrear payment'!$A$1:$N$95,MATCH(AttendanceSheet!$B19,'OtherArrear payment'!$A$1:$A$95,0),MATCH(AttendanceSheet!$T$1,'OtherArrear payment'!$A$1:$N$1,0)),0),"")</f>
        <v>0</v>
      </c>
      <c r="AX19" s="106">
        <f t="shared" si="14"/>
        <v>11399.999886</v>
      </c>
      <c r="AY19" s="106">
        <f t="shared" si="9"/>
        <v>740.92590000000007</v>
      </c>
      <c r="AZ19" s="106">
        <f t="shared" si="10"/>
        <v>683.9316</v>
      </c>
      <c r="BA19" s="106">
        <f t="shared" si="11"/>
        <v>370.49999629500002</v>
      </c>
      <c r="BB19" s="106">
        <f t="shared" si="12"/>
        <v>85.49999914499999</v>
      </c>
      <c r="BC19" s="106">
        <f>IF($B19&lt;&gt;"",IF(BL19="Yes",IF($BI19="Mr.",IF($AX19&lt;=7500,0,IF(AND($AX19&lt;10000,$AX19&gt;7501),175,IF(AND($AX19&gt;10000,'Setting '!$G$28&lt;&gt;11),200,300))),IF(AND($AX19&lt;=10000,$BI19="Ms."),0,IF(AND($AX19&gt;10000,'Setting '!$G$28&lt;&gt;11),200,300))),0),"")</f>
        <v>200</v>
      </c>
      <c r="BD19" s="42"/>
      <c r="BE19" s="212">
        <f>IF($B19&lt;&gt;"",IF('Advance Sheet'!AF16&gt;=0,INDEX('Advance Sheet'!$Q$3:$AD$100,MATCH(AttendanceSheet!$B19,'Advance Sheet'!$Q$3:$Q$100,0),MATCH(AttendanceSheet!$T$1,'Advance Sheet'!$Q$3:$AD$3,)),0),"")</f>
        <v>0</v>
      </c>
      <c r="BF19" s="137">
        <f t="shared" si="15"/>
        <v>9319.1423905599986</v>
      </c>
      <c r="BG19" s="97" t="str">
        <f>IF(B19&lt;&gt;"",VLOOKUP(B19,'Employee Details'!A18:S101,17,0),"")</f>
        <v>Yes</v>
      </c>
      <c r="BH19" s="97" t="str">
        <f>IF(B19&lt;&gt;"",VLOOKUP(B19,'Employee Details'!A18:S101,18,0),"")</f>
        <v>Yes</v>
      </c>
      <c r="BI19" s="40" t="str">
        <f>IF(B19&lt;&gt;"",VLOOKUP(B19,'Employee Details'!A17:S100,19,0),"")</f>
        <v>Mr.</v>
      </c>
      <c r="BJ19" s="38" t="str">
        <f>IF(B19&lt;&gt;"",VLOOKUP(B19,'Employee Details'!A18:D57,4,0),"")</f>
        <v>ONROLL</v>
      </c>
      <c r="BK19" s="38" t="str">
        <f>IF(B19&lt;&gt;"",VLOOKUP(B19,'Employee Details'!A18:E101,5,0),"")</f>
        <v>FACTORY STAFF</v>
      </c>
      <c r="BL19" s="210" t="str">
        <f>IF(B19&lt;&gt;"",VLOOKUP(B19,'Employee Details'!A18:U101,21,0),"")</f>
        <v>Yes</v>
      </c>
      <c r="BO19" s="104"/>
    </row>
    <row r="20" spans="2:68" ht="16.5" thickTop="1" thickBot="1" x14ac:dyDescent="0.3">
      <c r="B20" s="37" t="str">
        <f>_xlfn.IFNA(INDEX('Employee Details'!$A$7:$A23,MATCH(AttendanceSheet!$C20,'Employee Details'!$B$7:$B29,0)),"")</f>
        <v>Emp_0015</v>
      </c>
      <c r="C20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'!$J$1:J14))),"")</f>
        <v>AKSHAY SHELAR</v>
      </c>
      <c r="D20" s="39" t="str">
        <f>IFERROR(VLOOKUP($B20&amp;D$5,'Mark Leave'!$A$1:$E$1841,5,0),"")</f>
        <v>OT</v>
      </c>
      <c r="E20" s="39" t="str">
        <f>IFERROR(VLOOKUP($B20&amp;E$5,'Mark Leave'!$A$1:$E$1841,5,0),"")</f>
        <v>OT</v>
      </c>
      <c r="F20" s="39" t="str">
        <f>IFERROR(VLOOKUP($B20&amp;F$5,'Mark Leave'!$A$1:$E$1841,5,0),"")</f>
        <v/>
      </c>
      <c r="G20" s="39" t="str">
        <f>IFERROR(VLOOKUP($B20&amp;G$5,'Mark Leave'!$A$1:$E$1841,5,0),"")</f>
        <v/>
      </c>
      <c r="H20" s="39" t="str">
        <f>IFERROR(VLOOKUP($B20&amp;H$5,'Mark Leave'!$A$1:$E$1841,5,0),"")</f>
        <v/>
      </c>
      <c r="I20" s="39" t="str">
        <f>IFERROR(VLOOKUP($B20&amp;I$5,'Mark Leave'!$A$1:$E$1841,5,0),"")</f>
        <v/>
      </c>
      <c r="J20" s="39" t="str">
        <f>IFERROR(VLOOKUP($B20&amp;J$5,'Mark Leave'!$A$1:$E$1841,5,0),"")</f>
        <v/>
      </c>
      <c r="K20" s="39" t="str">
        <f>IFERROR(VLOOKUP($B20&amp;K$5,'Mark Leave'!$A$1:$E$1841,5,0),"")</f>
        <v/>
      </c>
      <c r="L20" s="39" t="str">
        <f>IFERROR(VLOOKUP($B20&amp;L$5,'Mark Leave'!$A$1:$E$1841,5,0),"")</f>
        <v/>
      </c>
      <c r="M20" s="39" t="str">
        <f>IFERROR(VLOOKUP($B20&amp;M$5,'Mark Leave'!$A$1:$E$1841,5,0),"")</f>
        <v/>
      </c>
      <c r="N20" s="39" t="str">
        <f>IFERROR(VLOOKUP($B20&amp;N$5,'Mark Leave'!$A$1:$E$1841,5,0),"")</f>
        <v/>
      </c>
      <c r="O20" s="39" t="str">
        <f>IFERROR(VLOOKUP($B20&amp;O$5,'Mark Leave'!$A$1:$E$1841,5,0),"")</f>
        <v/>
      </c>
      <c r="P20" s="39" t="str">
        <f>IFERROR(VLOOKUP($B20&amp;P$5,'Mark Leave'!$A$1:$E$1841,5,0),"")</f>
        <v/>
      </c>
      <c r="Q20" s="39" t="str">
        <f>IFERROR(VLOOKUP($B20&amp;Q$5,'Mark Leave'!$A$1:$E$1841,5,0),"")</f>
        <v/>
      </c>
      <c r="R20" s="39" t="str">
        <f>IFERROR(VLOOKUP($B20&amp;R$5,'Mark Leave'!$A$1:$E$1841,5,0),"")</f>
        <v/>
      </c>
      <c r="S20" s="39" t="str">
        <f>IFERROR(VLOOKUP($B20&amp;S$5,'Mark Leave'!$A$1:$E$1841,5,0),"")</f>
        <v/>
      </c>
      <c r="T20" s="39" t="str">
        <f>IFERROR(VLOOKUP($B20&amp;T$5,'Mark Leave'!$A$1:$E$1841,5,0),"")</f>
        <v/>
      </c>
      <c r="U20" s="39" t="str">
        <f>IFERROR(VLOOKUP($B20&amp;U$5,'Mark Leave'!$A$1:$E$1841,5,0),"")</f>
        <v/>
      </c>
      <c r="V20" s="39" t="str">
        <f>IFERROR(VLOOKUP($B20&amp;V$5,'Mark Leave'!$A$1:$E$1841,5,0),"")</f>
        <v/>
      </c>
      <c r="W20" s="39" t="str">
        <f>IFERROR(VLOOKUP($B20&amp;W$5,'Mark Leave'!$A$1:$E$1841,5,0),"")</f>
        <v/>
      </c>
      <c r="X20" s="39" t="str">
        <f>IFERROR(VLOOKUP($B20&amp;X$5,'Mark Leave'!$A$1:$E$1841,5,0),"")</f>
        <v/>
      </c>
      <c r="Y20" s="39" t="str">
        <f>IFERROR(VLOOKUP($B20&amp;Y$5,'Mark Leave'!$A$1:$E$1841,5,0),"")</f>
        <v/>
      </c>
      <c r="Z20" s="39" t="str">
        <f>IFERROR(VLOOKUP($B20&amp;Z$5,'Mark Leave'!$A$1:$E$1841,5,0),"")</f>
        <v/>
      </c>
      <c r="AA20" s="39" t="str">
        <f>IFERROR(VLOOKUP($B20&amp;AA$5,'Mark Leave'!$A$1:$E$1841,5,0),"")</f>
        <v/>
      </c>
      <c r="AB20" s="39" t="str">
        <f>IFERROR(VLOOKUP($B20&amp;AB$5,'Mark Leave'!$A$1:$E$1841,5,0),"")</f>
        <v/>
      </c>
      <c r="AC20" s="39" t="str">
        <f>IFERROR(VLOOKUP($B20&amp;AC$5,'Mark Leave'!$A$1:$E$1841,5,0),"")</f>
        <v/>
      </c>
      <c r="AD20" s="39" t="str">
        <f>IFERROR(VLOOKUP($B20&amp;AD$5,'Mark Leave'!$A$1:$E$1841,5,0),"")</f>
        <v/>
      </c>
      <c r="AE20" s="39" t="str">
        <f>IFERROR(VLOOKUP($B20&amp;AE$5,'Mark Leave'!$A$1:$E$1841,5,0),"")</f>
        <v/>
      </c>
      <c r="AF20" s="39" t="str">
        <f>IFERROR(VLOOKUP($B20&amp;AF$5,'Mark Leave'!$A$1:$E$1841,5,0),"")</f>
        <v/>
      </c>
      <c r="AG20" s="39" t="str">
        <f>IFERROR(VLOOKUP($B20&amp;AG$5,'Mark Leave'!$A$1:$E$1841,5,0),"")</f>
        <v/>
      </c>
      <c r="AH20" s="39" t="str">
        <f>IFERROR(VLOOKUP($B20&amp;AH$5,'Mark Leave'!$A$1:$E$1841,5,0),"")</f>
        <v/>
      </c>
      <c r="AI20" s="98">
        <f>IF($B20&lt;&gt;"",COUNTIF($D20:$AH20,'Setting '!$H$2),"")</f>
        <v>0</v>
      </c>
      <c r="AJ20" s="98">
        <f>IF($B20&lt;&gt;"",COUNTIF($D20:$AH20,'Setting '!$H$3)/2,"")</f>
        <v>0</v>
      </c>
      <c r="AK20" s="98">
        <f>IF($B20&lt;&gt;"",COUNTIF($D20:$AH20,'Setting '!$H$4),"")</f>
        <v>2</v>
      </c>
      <c r="AL20" s="98">
        <f t="shared" si="13"/>
        <v>0</v>
      </c>
      <c r="AM20" s="117">
        <f>IF(B20&lt;&gt;"",_xlfn.IFNA(VLOOKUP(B20,'Leave Credit Sheet'!B20:K113,10,0),""),"")</f>
        <v>0</v>
      </c>
      <c r="AN20" s="98">
        <f t="shared" si="2"/>
        <v>30</v>
      </c>
      <c r="AO20" s="106">
        <f>IF(B20&lt;&gt;"",_xlfn.IFNA(INDEX('CTC Sheet'!$C$6:$N$101,MATCH(AttendanceSheet!$B20,'CTC Sheet'!$A$6:$A$101,0),MATCH(AttendanceSheet!$T$1,'CTC Sheet'!$C$5:$N$5,0)),0),"")</f>
        <v>13300</v>
      </c>
      <c r="AP20" s="106">
        <f>IF(B20&lt;&gt;"",_xlfn.IFNA(INDEX('CTC Sheet'!$R$6:$AC$100,MATCH(AttendanceSheet!$B20,'CTC Sheet'!$P$6:$P$100,0),MATCH(AttendanceSheet!$T$1,'CTC Sheet'!$R$5:$AC$5,0)),0),"")</f>
        <v>0</v>
      </c>
      <c r="AQ20" s="106">
        <f t="shared" si="3"/>
        <v>4432.8899999999994</v>
      </c>
      <c r="AR20" s="106">
        <f t="shared" si="4"/>
        <v>2216.4449999999997</v>
      </c>
      <c r="AS20" s="106">
        <f t="shared" si="5"/>
        <v>2659.7339999999995</v>
      </c>
      <c r="AT20" s="106">
        <f t="shared" si="6"/>
        <v>1773.1559999999999</v>
      </c>
      <c r="AU20" s="106">
        <f t="shared" si="7"/>
        <v>1329.8669999999997</v>
      </c>
      <c r="AV20" s="106">
        <f t="shared" si="8"/>
        <v>887.9078669999999</v>
      </c>
      <c r="AW20" s="106">
        <f>IF(B20&lt;&gt;"",_xlfn.IFNA(INDEX('OtherArrear payment'!$A$1:$N$95,MATCH(AttendanceSheet!$B20,'OtherArrear payment'!$A$1:$A$95,0),MATCH(AttendanceSheet!$T$1,'OtherArrear payment'!$A$1:$N$1,0)),0),"")</f>
        <v>10</v>
      </c>
      <c r="AX20" s="106">
        <f t="shared" si="14"/>
        <v>13299.999866999999</v>
      </c>
      <c r="AY20" s="106">
        <f t="shared" si="9"/>
        <v>864.41354999999987</v>
      </c>
      <c r="AZ20" s="106">
        <f t="shared" si="10"/>
        <v>797.92019999999991</v>
      </c>
      <c r="BA20" s="106">
        <f t="shared" si="11"/>
        <v>432.24999567749995</v>
      </c>
      <c r="BB20" s="106">
        <f t="shared" si="12"/>
        <v>99.74999900249999</v>
      </c>
      <c r="BC20" s="106">
        <f>IF($B20&lt;&gt;"",IF(BL20="Yes",IF($BI20="Mr.",IF($AX20&lt;=7500,0,IF(AND($AX20&lt;10000,$AX20&gt;7501),175,IF(AND($AX20&gt;10000,'Setting '!$G$28&lt;&gt;11),200,300))),IF(AND($AX20&lt;=10000,$BI20="Ms."),0,IF(AND($AX20&gt;10000,'Setting '!$G$28&lt;&gt;11),200,300))),0),"")</f>
        <v>200</v>
      </c>
      <c r="BD20" s="42"/>
      <c r="BE20" s="212">
        <f>IF($B20&lt;&gt;"",IF('Advance Sheet'!AF17&gt;=0,INDEX('Advance Sheet'!$Q$3:$AD$100,MATCH(AttendanceSheet!$B20,'Advance Sheet'!$Q$3:$Q$100,0),MATCH(AttendanceSheet!$T$1,'Advance Sheet'!$Q$3:$AD$3,)),0),"")</f>
        <v>0</v>
      </c>
      <c r="BF20" s="137">
        <f t="shared" si="15"/>
        <v>10915.666122319999</v>
      </c>
      <c r="BG20" s="97" t="str">
        <f>IF(B20&lt;&gt;"",VLOOKUP(B20,'Employee Details'!A19:S102,17,0),"")</f>
        <v>Yes</v>
      </c>
      <c r="BH20" s="97" t="str">
        <f>IF(B20&lt;&gt;"",VLOOKUP(B20,'Employee Details'!A19:S102,18,0),"")</f>
        <v>Yes</v>
      </c>
      <c r="BI20" s="40" t="str">
        <f>IF(B20&lt;&gt;"",VLOOKUP(B20,'Employee Details'!A18:S101,19,0),"")</f>
        <v>Mr.</v>
      </c>
      <c r="BJ20" s="38" t="str">
        <f>IF(B20&lt;&gt;"",VLOOKUP(B20,'Employee Details'!A19:D58,4,0),"")</f>
        <v>ONROLL</v>
      </c>
      <c r="BK20" s="38" t="str">
        <f>IF(B20&lt;&gt;"",VLOOKUP(B20,'Employee Details'!A19:E102,5,0),"")</f>
        <v>FACTORY STAFF</v>
      </c>
      <c r="BL20" s="210" t="str">
        <f>IF(B20&lt;&gt;"",VLOOKUP(B20,'Employee Details'!A19:U102,21,0),"")</f>
        <v>Yes</v>
      </c>
      <c r="BO20" s="104"/>
    </row>
    <row r="21" spans="2:68" ht="16.5" thickTop="1" thickBot="1" x14ac:dyDescent="0.3">
      <c r="B21" s="37" t="str">
        <f>_xlfn.IFNA(INDEX('Employee Details'!$A$7:$A24,MATCH(AttendanceSheet!$C21,'Employee Details'!$B$7:$B30,0)),"")</f>
        <v>Emp_0016</v>
      </c>
      <c r="C21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'!$J$1:J15))),"")</f>
        <v>MILIND PAWAR</v>
      </c>
      <c r="D21" s="39" t="str">
        <f>IFERROR(VLOOKUP($B21&amp;D$5,'Mark Leave'!$A$1:$E$1841,5,0),"")</f>
        <v>A</v>
      </c>
      <c r="E21" s="39" t="str">
        <f>IFERROR(VLOOKUP($B21&amp;E$5,'Mark Leave'!$A$1:$E$1841,5,0),"")</f>
        <v/>
      </c>
      <c r="F21" s="39" t="str">
        <f>IFERROR(VLOOKUP($B21&amp;F$5,'Mark Leave'!$A$1:$E$1841,5,0),"")</f>
        <v/>
      </c>
      <c r="G21" s="39" t="str">
        <f>IFERROR(VLOOKUP($B21&amp;G$5,'Mark Leave'!$A$1:$E$1841,5,0),"")</f>
        <v/>
      </c>
      <c r="H21" s="39" t="str">
        <f>IFERROR(VLOOKUP($B21&amp;H$5,'Mark Leave'!$A$1:$E$1841,5,0),"")</f>
        <v/>
      </c>
      <c r="I21" s="39" t="str">
        <f>IFERROR(VLOOKUP($B21&amp;I$5,'Mark Leave'!$A$1:$E$1841,5,0),"")</f>
        <v/>
      </c>
      <c r="J21" s="39" t="str">
        <f>IFERROR(VLOOKUP($B21&amp;J$5,'Mark Leave'!$A$1:$E$1841,5,0),"")</f>
        <v/>
      </c>
      <c r="K21" s="39" t="str">
        <f>IFERROR(VLOOKUP($B21&amp;K$5,'Mark Leave'!$A$1:$E$1841,5,0),"")</f>
        <v/>
      </c>
      <c r="L21" s="39" t="str">
        <f>IFERROR(VLOOKUP($B21&amp;L$5,'Mark Leave'!$A$1:$E$1841,5,0),"")</f>
        <v/>
      </c>
      <c r="M21" s="39" t="str">
        <f>IFERROR(VLOOKUP($B21&amp;M$5,'Mark Leave'!$A$1:$E$1841,5,0),"")</f>
        <v/>
      </c>
      <c r="N21" s="39" t="str">
        <f>IFERROR(VLOOKUP($B21&amp;N$5,'Mark Leave'!$A$1:$E$1841,5,0),"")</f>
        <v/>
      </c>
      <c r="O21" s="39" t="str">
        <f>IFERROR(VLOOKUP($B21&amp;O$5,'Mark Leave'!$A$1:$E$1841,5,0),"")</f>
        <v/>
      </c>
      <c r="P21" s="39" t="str">
        <f>IFERROR(VLOOKUP($B21&amp;P$5,'Mark Leave'!$A$1:$E$1841,5,0),"")</f>
        <v/>
      </c>
      <c r="Q21" s="39" t="str">
        <f>IFERROR(VLOOKUP($B21&amp;Q$5,'Mark Leave'!$A$1:$E$1841,5,0),"")</f>
        <v/>
      </c>
      <c r="R21" s="39" t="str">
        <f>IFERROR(VLOOKUP($B21&amp;R$5,'Mark Leave'!$A$1:$E$1841,5,0),"")</f>
        <v/>
      </c>
      <c r="S21" s="39" t="str">
        <f>IFERROR(VLOOKUP($B21&amp;S$5,'Mark Leave'!$A$1:$E$1841,5,0),"")</f>
        <v/>
      </c>
      <c r="T21" s="39" t="str">
        <f>IFERROR(VLOOKUP($B21&amp;T$5,'Mark Leave'!$A$1:$E$1841,5,0),"")</f>
        <v/>
      </c>
      <c r="U21" s="39" t="str">
        <f>IFERROR(VLOOKUP($B21&amp;U$5,'Mark Leave'!$A$1:$E$1841,5,0),"")</f>
        <v/>
      </c>
      <c r="V21" s="39" t="str">
        <f>IFERROR(VLOOKUP($B21&amp;V$5,'Mark Leave'!$A$1:$E$1841,5,0),"")</f>
        <v/>
      </c>
      <c r="W21" s="39" t="str">
        <f>IFERROR(VLOOKUP($B21&amp;W$5,'Mark Leave'!$A$1:$E$1841,5,0),"")</f>
        <v/>
      </c>
      <c r="X21" s="39" t="str">
        <f>IFERROR(VLOOKUP($B21&amp;X$5,'Mark Leave'!$A$1:$E$1841,5,0),"")</f>
        <v/>
      </c>
      <c r="Y21" s="39" t="str">
        <f>IFERROR(VLOOKUP($B21&amp;Y$5,'Mark Leave'!$A$1:$E$1841,5,0),"")</f>
        <v/>
      </c>
      <c r="Z21" s="39" t="str">
        <f>IFERROR(VLOOKUP($B21&amp;Z$5,'Mark Leave'!$A$1:$E$1841,5,0),"")</f>
        <v/>
      </c>
      <c r="AA21" s="39" t="str">
        <f>IFERROR(VLOOKUP($B21&amp;AA$5,'Mark Leave'!$A$1:$E$1841,5,0),"")</f>
        <v/>
      </c>
      <c r="AB21" s="39" t="str">
        <f>IFERROR(VLOOKUP($B21&amp;AB$5,'Mark Leave'!$A$1:$E$1841,5,0),"")</f>
        <v/>
      </c>
      <c r="AC21" s="39" t="str">
        <f>IFERROR(VLOOKUP($B21&amp;AC$5,'Mark Leave'!$A$1:$E$1841,5,0),"")</f>
        <v/>
      </c>
      <c r="AD21" s="39" t="str">
        <f>IFERROR(VLOOKUP($B21&amp;AD$5,'Mark Leave'!$A$1:$E$1841,5,0),"")</f>
        <v/>
      </c>
      <c r="AE21" s="39" t="str">
        <f>IFERROR(VLOOKUP($B21&amp;AE$5,'Mark Leave'!$A$1:$E$1841,5,0),"")</f>
        <v/>
      </c>
      <c r="AF21" s="39" t="str">
        <f>IFERROR(VLOOKUP($B21&amp;AF$5,'Mark Leave'!$A$1:$E$1841,5,0),"")</f>
        <v/>
      </c>
      <c r="AG21" s="39" t="str">
        <f>IFERROR(VLOOKUP($B21&amp;AG$5,'Mark Leave'!$A$1:$E$1841,5,0),"")</f>
        <v/>
      </c>
      <c r="AH21" s="39" t="str">
        <f>IFERROR(VLOOKUP($B21&amp;AH$5,'Mark Leave'!$A$1:$E$1841,5,0),"")</f>
        <v/>
      </c>
      <c r="AI21" s="98">
        <f>IF($B21&lt;&gt;"",COUNTIF($D21:$AH21,'Setting '!$H$2),"")</f>
        <v>1</v>
      </c>
      <c r="AJ21" s="98">
        <f>IF($B21&lt;&gt;"",COUNTIF($D21:$AH21,'Setting '!$H$3)/2,"")</f>
        <v>0</v>
      </c>
      <c r="AK21" s="98">
        <f>IF($B21&lt;&gt;"",COUNTIF($D21:$AH21,'Setting '!$H$4),"")</f>
        <v>0</v>
      </c>
      <c r="AL21" s="98">
        <f t="shared" si="13"/>
        <v>1</v>
      </c>
      <c r="AM21" s="117">
        <f>IF(B21&lt;&gt;"",_xlfn.IFNA(VLOOKUP(B21,'Leave Credit Sheet'!B21:K114,10,0),""),"")</f>
        <v>0</v>
      </c>
      <c r="AN21" s="98">
        <f t="shared" si="2"/>
        <v>30</v>
      </c>
      <c r="AO21" s="106">
        <f>IF(B21&lt;&gt;"",_xlfn.IFNA(INDEX('CTC Sheet'!$C$6:$N$101,MATCH(AttendanceSheet!$B21,'CTC Sheet'!$A$6:$A$101,0),MATCH(AttendanceSheet!$T$1,'CTC Sheet'!$C$5:$N$5,0)),0),"")</f>
        <v>12050</v>
      </c>
      <c r="AP21" s="106">
        <f>IF(B21&lt;&gt;"",_xlfn.IFNA(INDEX('CTC Sheet'!$R$6:$AC$100,MATCH(AttendanceSheet!$B21,'CTC Sheet'!$P$6:$P$100,0),MATCH(AttendanceSheet!$T$1,'CTC Sheet'!$R$5:$AC$5,0)),0),"")</f>
        <v>0</v>
      </c>
      <c r="AQ21" s="106">
        <f t="shared" si="3"/>
        <v>4016.2649999999999</v>
      </c>
      <c r="AR21" s="106">
        <f t="shared" si="4"/>
        <v>2008.1324999999999</v>
      </c>
      <c r="AS21" s="106">
        <f t="shared" si="5"/>
        <v>2409.759</v>
      </c>
      <c r="AT21" s="106">
        <f t="shared" si="6"/>
        <v>1606.5060000000001</v>
      </c>
      <c r="AU21" s="106">
        <f t="shared" si="7"/>
        <v>1204.8795</v>
      </c>
      <c r="AV21" s="106">
        <f t="shared" si="8"/>
        <v>804.45787949999999</v>
      </c>
      <c r="AW21" s="106">
        <f>IF(B21&lt;&gt;"",_xlfn.IFNA(INDEX('OtherArrear payment'!$A$1:$N$95,MATCH(AttendanceSheet!$B21,'OtherArrear payment'!$A$1:$A$95,0),MATCH(AttendanceSheet!$T$1,'OtherArrear payment'!$A$1:$N$1,0)),0),"")</f>
        <v>10</v>
      </c>
      <c r="AX21" s="106">
        <f t="shared" si="14"/>
        <v>12049.999879500001</v>
      </c>
      <c r="AY21" s="106">
        <f t="shared" si="9"/>
        <v>783.17167500000005</v>
      </c>
      <c r="AZ21" s="106">
        <f t="shared" si="10"/>
        <v>722.92769999999996</v>
      </c>
      <c r="BA21" s="106">
        <f t="shared" si="11"/>
        <v>391.62499608375003</v>
      </c>
      <c r="BB21" s="106">
        <f t="shared" si="12"/>
        <v>90.374999096250008</v>
      </c>
      <c r="BC21" s="106">
        <f>IF($B21&lt;&gt;"",IF(BL21="Yes",IF($BI21="Mr.",IF($AX21&lt;=7500,0,IF(AND($AX21&lt;10000,$AX21&gt;7501),175,IF(AND($AX21&gt;10000,'Setting '!$G$28&lt;&gt;11),200,300))),IF(AND($AX21&lt;=10000,$BI21="Ms."),0,IF(AND($AX21&gt;10000,'Setting '!$G$28&lt;&gt;11),200,300))),0),"")</f>
        <v>200</v>
      </c>
      <c r="BD21" s="42"/>
      <c r="BE21" s="212">
        <f>IF($B21&lt;&gt;"",IF('Advance Sheet'!AF18&gt;=0,INDEX('Advance Sheet'!$Q$3:$AD$100,MATCH(AttendanceSheet!$B21,'Advance Sheet'!$Q$3:$Q$100,0),MATCH(AttendanceSheet!$T$1,'Advance Sheet'!$Q$3:$AD$3,)),0),"")</f>
        <v>0</v>
      </c>
      <c r="BF21" s="137">
        <f t="shared" si="15"/>
        <v>9871.9005093200012</v>
      </c>
      <c r="BG21" s="97" t="str">
        <f>IF(B21&lt;&gt;"",VLOOKUP(B21,'Employee Details'!A20:S103,17,0),"")</f>
        <v>Yes</v>
      </c>
      <c r="BH21" s="97" t="str">
        <f>IF(B21&lt;&gt;"",VLOOKUP(B21,'Employee Details'!A20:S103,18,0),"")</f>
        <v>Yes</v>
      </c>
      <c r="BI21" s="40" t="str">
        <f>IF(B21&lt;&gt;"",VLOOKUP(B21,'Employee Details'!A19:S102,19,0),"")</f>
        <v>Mr.</v>
      </c>
      <c r="BJ21" s="38" t="str">
        <f>IF(B21&lt;&gt;"",VLOOKUP(B21,'Employee Details'!A20:D59,4,0),"")</f>
        <v>ONROLL</v>
      </c>
      <c r="BK21" s="38" t="str">
        <f>IF(B21&lt;&gt;"",VLOOKUP(B21,'Employee Details'!A20:E103,5,0),"")</f>
        <v>FACTORY STAFF</v>
      </c>
      <c r="BL21" s="210" t="str">
        <f>IF(B21&lt;&gt;"",VLOOKUP(B21,'Employee Details'!A20:U103,21,0),"")</f>
        <v>Yes</v>
      </c>
      <c r="BO21" s="104"/>
    </row>
    <row r="22" spans="2:68" ht="16.5" thickTop="1" thickBot="1" x14ac:dyDescent="0.3">
      <c r="B22" s="37" t="str">
        <f>_xlfn.IFNA(INDEX('Employee Details'!$A$7:$A25,MATCH(AttendanceSheet!$C22,'Employee Details'!$B$7:$B31,0)),"")</f>
        <v>Emp_0017</v>
      </c>
      <c r="C22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'!$J$1:J16))),"")</f>
        <v>PRATIK PATIL</v>
      </c>
      <c r="D22" s="39" t="str">
        <f>IFERROR(VLOOKUP($B22&amp;D$5,'Mark Leave'!$A$1:$E$1841,5,0),"")</f>
        <v>A</v>
      </c>
      <c r="E22" s="39" t="str">
        <f>IFERROR(VLOOKUP($B22&amp;E$5,'Mark Leave'!$A$1:$E$1841,5,0),"")</f>
        <v/>
      </c>
      <c r="F22" s="39" t="str">
        <f>IFERROR(VLOOKUP($B22&amp;F$5,'Mark Leave'!$A$1:$E$1841,5,0),"")</f>
        <v/>
      </c>
      <c r="G22" s="39" t="str">
        <f>IFERROR(VLOOKUP($B22&amp;G$5,'Mark Leave'!$A$1:$E$1841,5,0),"")</f>
        <v/>
      </c>
      <c r="H22" s="39" t="str">
        <f>IFERROR(VLOOKUP($B22&amp;H$5,'Mark Leave'!$A$1:$E$1841,5,0),"")</f>
        <v/>
      </c>
      <c r="I22" s="39" t="str">
        <f>IFERROR(VLOOKUP($B22&amp;I$5,'Mark Leave'!$A$1:$E$1841,5,0),"")</f>
        <v/>
      </c>
      <c r="J22" s="39" t="str">
        <f>IFERROR(VLOOKUP($B22&amp;J$5,'Mark Leave'!$A$1:$E$1841,5,0),"")</f>
        <v/>
      </c>
      <c r="K22" s="39" t="str">
        <f>IFERROR(VLOOKUP($B22&amp;K$5,'Mark Leave'!$A$1:$E$1841,5,0),"")</f>
        <v/>
      </c>
      <c r="L22" s="39" t="str">
        <f>IFERROR(VLOOKUP($B22&amp;L$5,'Mark Leave'!$A$1:$E$1841,5,0),"")</f>
        <v/>
      </c>
      <c r="M22" s="39" t="str">
        <f>IFERROR(VLOOKUP($B22&amp;M$5,'Mark Leave'!$A$1:$E$1841,5,0),"")</f>
        <v/>
      </c>
      <c r="N22" s="39" t="str">
        <f>IFERROR(VLOOKUP($B22&amp;N$5,'Mark Leave'!$A$1:$E$1841,5,0),"")</f>
        <v/>
      </c>
      <c r="O22" s="39" t="str">
        <f>IFERROR(VLOOKUP($B22&amp;O$5,'Mark Leave'!$A$1:$E$1841,5,0),"")</f>
        <v/>
      </c>
      <c r="P22" s="39" t="str">
        <f>IFERROR(VLOOKUP($B22&amp;P$5,'Mark Leave'!$A$1:$E$1841,5,0),"")</f>
        <v/>
      </c>
      <c r="Q22" s="39" t="str">
        <f>IFERROR(VLOOKUP($B22&amp;Q$5,'Mark Leave'!$A$1:$E$1841,5,0),"")</f>
        <v/>
      </c>
      <c r="R22" s="39" t="str">
        <f>IFERROR(VLOOKUP($B22&amp;R$5,'Mark Leave'!$A$1:$E$1841,5,0),"")</f>
        <v/>
      </c>
      <c r="S22" s="39" t="str">
        <f>IFERROR(VLOOKUP($B22&amp;S$5,'Mark Leave'!$A$1:$E$1841,5,0),"")</f>
        <v/>
      </c>
      <c r="T22" s="39" t="str">
        <f>IFERROR(VLOOKUP($B22&amp;T$5,'Mark Leave'!$A$1:$E$1841,5,0),"")</f>
        <v/>
      </c>
      <c r="U22" s="39" t="str">
        <f>IFERROR(VLOOKUP($B22&amp;U$5,'Mark Leave'!$A$1:$E$1841,5,0),"")</f>
        <v/>
      </c>
      <c r="V22" s="39" t="str">
        <f>IFERROR(VLOOKUP($B22&amp;V$5,'Mark Leave'!$A$1:$E$1841,5,0),"")</f>
        <v/>
      </c>
      <c r="W22" s="39" t="str">
        <f>IFERROR(VLOOKUP($B22&amp;W$5,'Mark Leave'!$A$1:$E$1841,5,0),"")</f>
        <v/>
      </c>
      <c r="X22" s="39" t="str">
        <f>IFERROR(VLOOKUP($B22&amp;X$5,'Mark Leave'!$A$1:$E$1841,5,0),"")</f>
        <v/>
      </c>
      <c r="Y22" s="39" t="str">
        <f>IFERROR(VLOOKUP($B22&amp;Y$5,'Mark Leave'!$A$1:$E$1841,5,0),"")</f>
        <v/>
      </c>
      <c r="Z22" s="39" t="str">
        <f>IFERROR(VLOOKUP($B22&amp;Z$5,'Mark Leave'!$A$1:$E$1841,5,0),"")</f>
        <v/>
      </c>
      <c r="AA22" s="39" t="str">
        <f>IFERROR(VLOOKUP($B22&amp;AA$5,'Mark Leave'!$A$1:$E$1841,5,0),"")</f>
        <v/>
      </c>
      <c r="AB22" s="39" t="str">
        <f>IFERROR(VLOOKUP($B22&amp;AB$5,'Mark Leave'!$A$1:$E$1841,5,0),"")</f>
        <v/>
      </c>
      <c r="AC22" s="39" t="str">
        <f>IFERROR(VLOOKUP($B22&amp;AC$5,'Mark Leave'!$A$1:$E$1841,5,0),"")</f>
        <v/>
      </c>
      <c r="AD22" s="39" t="str">
        <f>IFERROR(VLOOKUP($B22&amp;AD$5,'Mark Leave'!$A$1:$E$1841,5,0),"")</f>
        <v/>
      </c>
      <c r="AE22" s="39" t="str">
        <f>IFERROR(VLOOKUP($B22&amp;AE$5,'Mark Leave'!$A$1:$E$1841,5,0),"")</f>
        <v/>
      </c>
      <c r="AF22" s="39" t="str">
        <f>IFERROR(VLOOKUP($B22&amp;AF$5,'Mark Leave'!$A$1:$E$1841,5,0),"")</f>
        <v/>
      </c>
      <c r="AG22" s="39" t="str">
        <f>IFERROR(VLOOKUP($B22&amp;AG$5,'Mark Leave'!$A$1:$E$1841,5,0),"")</f>
        <v/>
      </c>
      <c r="AH22" s="39" t="str">
        <f>IFERROR(VLOOKUP($B22&amp;AH$5,'Mark Leave'!$A$1:$E$1841,5,0),"")</f>
        <v/>
      </c>
      <c r="AI22" s="98">
        <f>IF($B22&lt;&gt;"",COUNTIF($D22:$AH22,'Setting '!$H$2),"")</f>
        <v>1</v>
      </c>
      <c r="AJ22" s="98">
        <f>IF($B22&lt;&gt;"",COUNTIF($D22:$AH22,'Setting '!$H$3)/2,"")</f>
        <v>0</v>
      </c>
      <c r="AK22" s="98">
        <f>IF($B22&lt;&gt;"",COUNTIF($D22:$AH22,'Setting '!$H$4),"")</f>
        <v>0</v>
      </c>
      <c r="AL22" s="98">
        <f t="shared" si="13"/>
        <v>1</v>
      </c>
      <c r="AM22" s="117">
        <f>IF(B22&lt;&gt;"",_xlfn.IFNA(VLOOKUP(B22,'Leave Credit Sheet'!B22:K115,10,0),""),"")</f>
        <v>0</v>
      </c>
      <c r="AN22" s="98">
        <f t="shared" si="2"/>
        <v>30</v>
      </c>
      <c r="AO22" s="106">
        <f>IF(B22&lt;&gt;"",_xlfn.IFNA(INDEX('CTC Sheet'!$C$6:$N$101,MATCH(AttendanceSheet!$B22,'CTC Sheet'!$A$6:$A$101,0),MATCH(AttendanceSheet!$T$1,'CTC Sheet'!$C$5:$N$5,0)),0),"")</f>
        <v>15420</v>
      </c>
      <c r="AP22" s="106">
        <f>IF(B22&lt;&gt;"",_xlfn.IFNA(INDEX('CTC Sheet'!$R$6:$AC$100,MATCH(AttendanceSheet!$B22,'CTC Sheet'!$P$6:$P$100,0),MATCH(AttendanceSheet!$T$1,'CTC Sheet'!$R$5:$AC$5,0)),0),"")</f>
        <v>0</v>
      </c>
      <c r="AQ22" s="106">
        <f t="shared" si="3"/>
        <v>5139.4859999999999</v>
      </c>
      <c r="AR22" s="106">
        <f t="shared" si="4"/>
        <v>2569.7429999999999</v>
      </c>
      <c r="AS22" s="106">
        <f t="shared" si="5"/>
        <v>3083.6915999999997</v>
      </c>
      <c r="AT22" s="106">
        <f t="shared" si="6"/>
        <v>2055.7944000000002</v>
      </c>
      <c r="AU22" s="106">
        <f t="shared" si="7"/>
        <v>1541.8457999999998</v>
      </c>
      <c r="AV22" s="106">
        <f t="shared" si="8"/>
        <v>1029.4390458</v>
      </c>
      <c r="AW22" s="106">
        <f>IF(B22&lt;&gt;"",_xlfn.IFNA(INDEX('OtherArrear payment'!$A$1:$N$95,MATCH(AttendanceSheet!$B22,'OtherArrear payment'!$A$1:$A$95,0),MATCH(AttendanceSheet!$T$1,'OtherArrear payment'!$A$1:$N$1,0)),0),"")</f>
        <v>60</v>
      </c>
      <c r="AX22" s="106">
        <f t="shared" si="14"/>
        <v>15419.999845799999</v>
      </c>
      <c r="AY22" s="106">
        <f t="shared" si="9"/>
        <v>1002.1997699999999</v>
      </c>
      <c r="AZ22" s="106">
        <f t="shared" si="10"/>
        <v>925.1074799999999</v>
      </c>
      <c r="BA22" s="106">
        <f t="shared" si="11"/>
        <v>501.1499949885</v>
      </c>
      <c r="BB22" s="106">
        <f t="shared" si="12"/>
        <v>115.64999884349999</v>
      </c>
      <c r="BC22" s="106">
        <f>IF($B22&lt;&gt;"",IF(BL22="Yes",IF($BI22="Mr.",IF($AX22&lt;=7500,0,IF(AND($AX22&lt;10000,$AX22&gt;7501),175,IF(AND($AX22&gt;10000,'Setting '!$G$28&lt;&gt;11),200,300))),IF(AND($AX22&lt;=10000,$BI22="Ms."),0,IF(AND($AX22&gt;10000,'Setting '!$G$28&lt;&gt;11),200,300))),0),"")</f>
        <v>200</v>
      </c>
      <c r="BD22" s="42"/>
      <c r="BE22" s="212">
        <f>IF($B22&lt;&gt;"",IF('Advance Sheet'!AF19&gt;=0,INDEX('Advance Sheet'!$Q$3:$AD$100,MATCH(AttendanceSheet!$B22,'Advance Sheet'!$Q$3:$Q$100,0),MATCH(AttendanceSheet!$T$1,'Advance Sheet'!$Q$3:$AD$3,)),0),"")</f>
        <v>0</v>
      </c>
      <c r="BF22" s="137">
        <f t="shared" si="15"/>
        <v>12735.892601968</v>
      </c>
      <c r="BG22" s="97" t="str">
        <f>IF(B22&lt;&gt;"",VLOOKUP(B22,'Employee Details'!A21:S104,17,0),"")</f>
        <v>Yes</v>
      </c>
      <c r="BH22" s="97" t="str">
        <f>IF(B22&lt;&gt;"",VLOOKUP(B22,'Employee Details'!A21:S104,18,0),"")</f>
        <v>Yes</v>
      </c>
      <c r="BI22" s="40" t="str">
        <f>IF(B22&lt;&gt;"",VLOOKUP(B22,'Employee Details'!A20:S103,19,0),"")</f>
        <v>Ms.</v>
      </c>
      <c r="BJ22" s="38" t="str">
        <f>IF(B22&lt;&gt;"",VLOOKUP(B22,'Employee Details'!A21:D60,4,0),"")</f>
        <v>ONROLL</v>
      </c>
      <c r="BK22" s="38" t="str">
        <f>IF(B22&lt;&gt;"",VLOOKUP(B22,'Employee Details'!A21:E104,5,0),"")</f>
        <v>FACTORY STAFF</v>
      </c>
      <c r="BL22" s="210" t="str">
        <f>IF(B22&lt;&gt;"",VLOOKUP(B22,'Employee Details'!A21:U104,21,0),"")</f>
        <v>Yes</v>
      </c>
      <c r="BO22" s="104"/>
    </row>
    <row r="23" spans="2:68" ht="16.5" thickTop="1" thickBot="1" x14ac:dyDescent="0.3">
      <c r="B23" s="37" t="str">
        <f>_xlfn.IFNA(INDEX('Employee Details'!$A$7:$A26,MATCH(AttendanceSheet!$C23,'Employee Details'!$B$7:$B32,0)),"")</f>
        <v>Emp_0018</v>
      </c>
      <c r="C23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'!$J$1:J17))),"")</f>
        <v>PRATIK NEVREKAR</v>
      </c>
      <c r="D23" s="39" t="str">
        <f>IFERROR(VLOOKUP($B23&amp;D$5,'Mark Leave'!$A$1:$E$1841,5,0),"")</f>
        <v>A</v>
      </c>
      <c r="E23" s="39" t="str">
        <f>IFERROR(VLOOKUP($B23&amp;E$5,'Mark Leave'!$A$1:$E$1841,5,0),"")</f>
        <v>A</v>
      </c>
      <c r="F23" s="39" t="str">
        <f>IFERROR(VLOOKUP($B23&amp;F$5,'Mark Leave'!$A$1:$E$1841,5,0),"")</f>
        <v>A</v>
      </c>
      <c r="G23" s="39" t="str">
        <f>IFERROR(VLOOKUP($B23&amp;G$5,'Mark Leave'!$A$1:$E$1841,5,0),"")</f>
        <v>"1/2"</v>
      </c>
      <c r="H23" s="39" t="str">
        <f>IFERROR(VLOOKUP($B23&amp;H$5,'Mark Leave'!$A$1:$E$1841,5,0),"")</f>
        <v/>
      </c>
      <c r="I23" s="39" t="str">
        <f>IFERROR(VLOOKUP($B23&amp;I$5,'Mark Leave'!$A$1:$E$1841,5,0),"")</f>
        <v/>
      </c>
      <c r="J23" s="39" t="str">
        <f>IFERROR(VLOOKUP($B23&amp;J$5,'Mark Leave'!$A$1:$E$1841,5,0),"")</f>
        <v/>
      </c>
      <c r="K23" s="39" t="str">
        <f>IFERROR(VLOOKUP($B23&amp;K$5,'Mark Leave'!$A$1:$E$1841,5,0),"")</f>
        <v/>
      </c>
      <c r="L23" s="39" t="str">
        <f>IFERROR(VLOOKUP($B23&amp;L$5,'Mark Leave'!$A$1:$E$1841,5,0),"")</f>
        <v/>
      </c>
      <c r="M23" s="39" t="str">
        <f>IFERROR(VLOOKUP($B23&amp;M$5,'Mark Leave'!$A$1:$E$1841,5,0),"")</f>
        <v/>
      </c>
      <c r="N23" s="39" t="str">
        <f>IFERROR(VLOOKUP($B23&amp;N$5,'Mark Leave'!$A$1:$E$1841,5,0),"")</f>
        <v/>
      </c>
      <c r="O23" s="39" t="str">
        <f>IFERROR(VLOOKUP($B23&amp;O$5,'Mark Leave'!$A$1:$E$1841,5,0),"")</f>
        <v/>
      </c>
      <c r="P23" s="39" t="str">
        <f>IFERROR(VLOOKUP($B23&amp;P$5,'Mark Leave'!$A$1:$E$1841,5,0),"")</f>
        <v/>
      </c>
      <c r="Q23" s="39" t="str">
        <f>IFERROR(VLOOKUP($B23&amp;Q$5,'Mark Leave'!$A$1:$E$1841,5,0),"")</f>
        <v/>
      </c>
      <c r="R23" s="39" t="str">
        <f>IFERROR(VLOOKUP($B23&amp;R$5,'Mark Leave'!$A$1:$E$1841,5,0),"")</f>
        <v/>
      </c>
      <c r="S23" s="39" t="str">
        <f>IFERROR(VLOOKUP($B23&amp;S$5,'Mark Leave'!$A$1:$E$1841,5,0),"")</f>
        <v/>
      </c>
      <c r="T23" s="39" t="str">
        <f>IFERROR(VLOOKUP($B23&amp;T$5,'Mark Leave'!$A$1:$E$1841,5,0),"")</f>
        <v/>
      </c>
      <c r="U23" s="39" t="str">
        <f>IFERROR(VLOOKUP($B23&amp;U$5,'Mark Leave'!$A$1:$E$1841,5,0),"")</f>
        <v/>
      </c>
      <c r="V23" s="39" t="str">
        <f>IFERROR(VLOOKUP($B23&amp;V$5,'Mark Leave'!$A$1:$E$1841,5,0),"")</f>
        <v/>
      </c>
      <c r="W23" s="39" t="str">
        <f>IFERROR(VLOOKUP($B23&amp;W$5,'Mark Leave'!$A$1:$E$1841,5,0),"")</f>
        <v/>
      </c>
      <c r="X23" s="39" t="str">
        <f>IFERROR(VLOOKUP($B23&amp;X$5,'Mark Leave'!$A$1:$E$1841,5,0),"")</f>
        <v/>
      </c>
      <c r="Y23" s="39" t="str">
        <f>IFERROR(VLOOKUP($B23&amp;Y$5,'Mark Leave'!$A$1:$E$1841,5,0),"")</f>
        <v/>
      </c>
      <c r="Z23" s="39" t="str">
        <f>IFERROR(VLOOKUP($B23&amp;Z$5,'Mark Leave'!$A$1:$E$1841,5,0),"")</f>
        <v/>
      </c>
      <c r="AA23" s="39" t="str">
        <f>IFERROR(VLOOKUP($B23&amp;AA$5,'Mark Leave'!$A$1:$E$1841,5,0),"")</f>
        <v/>
      </c>
      <c r="AB23" s="39" t="str">
        <f>IFERROR(VLOOKUP($B23&amp;AB$5,'Mark Leave'!$A$1:$E$1841,5,0),"")</f>
        <v/>
      </c>
      <c r="AC23" s="39" t="str">
        <f>IFERROR(VLOOKUP($B23&amp;AC$5,'Mark Leave'!$A$1:$E$1841,5,0),"")</f>
        <v/>
      </c>
      <c r="AD23" s="39" t="str">
        <f>IFERROR(VLOOKUP($B23&amp;AD$5,'Mark Leave'!$A$1:$E$1841,5,0),"")</f>
        <v/>
      </c>
      <c r="AE23" s="39" t="str">
        <f>IFERROR(VLOOKUP($B23&amp;AE$5,'Mark Leave'!$A$1:$E$1841,5,0),"")</f>
        <v/>
      </c>
      <c r="AF23" s="39" t="str">
        <f>IFERROR(VLOOKUP($B23&amp;AF$5,'Mark Leave'!$A$1:$E$1841,5,0),"")</f>
        <v/>
      </c>
      <c r="AG23" s="39" t="str">
        <f>IFERROR(VLOOKUP($B23&amp;AG$5,'Mark Leave'!$A$1:$E$1841,5,0),"")</f>
        <v/>
      </c>
      <c r="AH23" s="39" t="str">
        <f>IFERROR(VLOOKUP($B23&amp;AH$5,'Mark Leave'!$A$1:$E$1841,5,0),"")</f>
        <v/>
      </c>
      <c r="AI23" s="98">
        <f>IF($B23&lt;&gt;"",COUNTIF($D23:$AH23,'Setting '!$H$2),"")</f>
        <v>3</v>
      </c>
      <c r="AJ23" s="98">
        <f>IF($B23&lt;&gt;"",COUNTIF($D23:$AH23,'Setting '!$H$3)/2,"")</f>
        <v>0.5</v>
      </c>
      <c r="AK23" s="98">
        <f>IF($B23&lt;&gt;"",COUNTIF($D23:$AH23,'Setting '!$H$4),"")</f>
        <v>0</v>
      </c>
      <c r="AL23" s="98">
        <f t="shared" si="13"/>
        <v>3.5</v>
      </c>
      <c r="AM23" s="117">
        <f>IF(B23&lt;&gt;"",_xlfn.IFNA(VLOOKUP(B23,'Leave Credit Sheet'!B23:K116,10,0),""),"")</f>
        <v>1</v>
      </c>
      <c r="AN23" s="98">
        <f t="shared" si="2"/>
        <v>29</v>
      </c>
      <c r="AO23" s="106">
        <f>IF(B23&lt;&gt;"",_xlfn.IFNA(INDEX('CTC Sheet'!$C$6:$N$101,MATCH(AttendanceSheet!$B23,'CTC Sheet'!$A$6:$A$101,0),MATCH(AttendanceSheet!$T$1,'CTC Sheet'!$C$5:$N$5,0)),0),"")</f>
        <v>19000</v>
      </c>
      <c r="AP23" s="106">
        <f>IF(B23&lt;&gt;"",_xlfn.IFNA(INDEX('CTC Sheet'!$R$6:$AC$100,MATCH(AttendanceSheet!$B23,'CTC Sheet'!$P$6:$P$100,0),MATCH(AttendanceSheet!$T$1,'CTC Sheet'!$R$5:$AC$5,0)),0),"")</f>
        <v>0</v>
      </c>
      <c r="AQ23" s="106">
        <f t="shared" si="3"/>
        <v>6121.6100000000006</v>
      </c>
      <c r="AR23" s="106">
        <f t="shared" si="4"/>
        <v>3060.8050000000003</v>
      </c>
      <c r="AS23" s="106">
        <f t="shared" si="5"/>
        <v>3672.9660000000003</v>
      </c>
      <c r="AT23" s="106">
        <f t="shared" si="6"/>
        <v>2448.6440000000002</v>
      </c>
      <c r="AU23" s="106">
        <f t="shared" si="7"/>
        <v>1836.4830000000002</v>
      </c>
      <c r="AV23" s="106">
        <f t="shared" si="8"/>
        <v>1226.1584830000002</v>
      </c>
      <c r="AW23" s="106">
        <f>IF(B23&lt;&gt;"",_xlfn.IFNA(INDEX('OtherArrear payment'!$A$1:$N$95,MATCH(AttendanceSheet!$B23,'OtherArrear payment'!$A$1:$A$95,0),MATCH(AttendanceSheet!$T$1,'OtherArrear payment'!$A$1:$N$1,0)),0),"")</f>
        <v>70</v>
      </c>
      <c r="AX23" s="106">
        <f t="shared" si="14"/>
        <v>18366.666483000001</v>
      </c>
      <c r="AY23" s="106">
        <f t="shared" si="9"/>
        <v>0</v>
      </c>
      <c r="AZ23" s="106">
        <f t="shared" si="10"/>
        <v>0</v>
      </c>
      <c r="BA23" s="106">
        <f t="shared" si="11"/>
        <v>0</v>
      </c>
      <c r="BB23" s="106">
        <f t="shared" si="12"/>
        <v>0</v>
      </c>
      <c r="BC23" s="106">
        <f>IF($B23&lt;&gt;"",IF(BL23="Yes",IF($BI23="Mr.",IF($AX23&lt;=7500,0,IF(AND($AX23&lt;10000,$AX23&gt;7501),175,IF(AND($AX23&gt;10000,'Setting '!$G$28&lt;&gt;11),200,300))),IF(AND($AX23&lt;=10000,$BI23="Ms."),0,IF(AND($AX23&gt;10000,'Setting '!$G$28&lt;&gt;11),200,300))),0),"")</f>
        <v>200</v>
      </c>
      <c r="BD23" s="42"/>
      <c r="BE23" s="212">
        <f>IF($B23&lt;&gt;"",IF('Advance Sheet'!AF20&gt;=0,INDEX('Advance Sheet'!$Q$3:$AD$100,MATCH(AttendanceSheet!$B23,'Advance Sheet'!$Q$3:$Q$100,0),MATCH(AttendanceSheet!$T$1,'Advance Sheet'!$Q$3:$AD$3,)),0),"")</f>
        <v>6000</v>
      </c>
      <c r="BF23" s="137">
        <f t="shared" si="15"/>
        <v>12236.666483000001</v>
      </c>
      <c r="BG23" s="97" t="str">
        <f>IF(B23&lt;&gt;"",VLOOKUP(B23,'Employee Details'!A22:S105,17,0),"")</f>
        <v>No</v>
      </c>
      <c r="BH23" s="97" t="str">
        <f>IF(B23&lt;&gt;"",VLOOKUP(B23,'Employee Details'!A22:S105,18,0),"")</f>
        <v>No</v>
      </c>
      <c r="BI23" s="40" t="str">
        <f>IF(B23&lt;&gt;"",VLOOKUP(B23,'Employee Details'!A21:S104,19,0),"")</f>
        <v>Ms.</v>
      </c>
      <c r="BJ23" s="38" t="str">
        <f>IF(B23&lt;&gt;"",VLOOKUP(B23,'Employee Details'!A22:D61,4,0),"")</f>
        <v>ONROLL</v>
      </c>
      <c r="BK23" s="38" t="str">
        <f>IF(B23&lt;&gt;"",VLOOKUP(B23,'Employee Details'!A22:E105,5,0),"")</f>
        <v>FACTORY STAFF</v>
      </c>
      <c r="BL23" s="210" t="str">
        <f>IF(B23&lt;&gt;"",VLOOKUP(B23,'Employee Details'!A22:U105,21,0),"")</f>
        <v>Yes</v>
      </c>
      <c r="BO23" s="104"/>
    </row>
    <row r="24" spans="2:68" ht="16.5" thickTop="1" thickBot="1" x14ac:dyDescent="0.3">
      <c r="B24" s="37" t="str">
        <f>_xlfn.IFNA(INDEX('Employee Details'!$A$7:$A27,MATCH(AttendanceSheet!$C24,'Employee Details'!$B$7:$B33,0)),"")</f>
        <v>Emp_0019</v>
      </c>
      <c r="C24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'!$J$1:J18))),"")</f>
        <v>AMOL PATIL</v>
      </c>
      <c r="D24" s="39" t="str">
        <f>IFERROR(VLOOKUP($B24&amp;D$5,'Mark Leave'!$A$1:$E$1841,5,0),"")</f>
        <v>A</v>
      </c>
      <c r="E24" s="39" t="str">
        <f>IFERROR(VLOOKUP($B24&amp;E$5,'Mark Leave'!$A$1:$E$1841,5,0),"")</f>
        <v>A</v>
      </c>
      <c r="F24" s="39" t="str">
        <f>IFERROR(VLOOKUP($B24&amp;F$5,'Mark Leave'!$A$1:$E$1841,5,0),"")</f>
        <v>A</v>
      </c>
      <c r="G24" s="39" t="str">
        <f>IFERROR(VLOOKUP($B24&amp;G$5,'Mark Leave'!$A$1:$E$1841,5,0),"")</f>
        <v/>
      </c>
      <c r="H24" s="39" t="str">
        <f>IFERROR(VLOOKUP($B24&amp;H$5,'Mark Leave'!$A$1:$E$1841,5,0),"")</f>
        <v/>
      </c>
      <c r="I24" s="39" t="str">
        <f>IFERROR(VLOOKUP($B24&amp;I$5,'Mark Leave'!$A$1:$E$1841,5,0),"")</f>
        <v/>
      </c>
      <c r="J24" s="39" t="str">
        <f>IFERROR(VLOOKUP($B24&amp;J$5,'Mark Leave'!$A$1:$E$1841,5,0),"")</f>
        <v/>
      </c>
      <c r="K24" s="39" t="str">
        <f>IFERROR(VLOOKUP($B24&amp;K$5,'Mark Leave'!$A$1:$E$1841,5,0),"")</f>
        <v/>
      </c>
      <c r="L24" s="39" t="str">
        <f>IFERROR(VLOOKUP($B24&amp;L$5,'Mark Leave'!$A$1:$E$1841,5,0),"")</f>
        <v/>
      </c>
      <c r="M24" s="39" t="str">
        <f>IFERROR(VLOOKUP($B24&amp;M$5,'Mark Leave'!$A$1:$E$1841,5,0),"")</f>
        <v/>
      </c>
      <c r="N24" s="39" t="str">
        <f>IFERROR(VLOOKUP($B24&amp;N$5,'Mark Leave'!$A$1:$E$1841,5,0),"")</f>
        <v/>
      </c>
      <c r="O24" s="39" t="str">
        <f>IFERROR(VLOOKUP($B24&amp;O$5,'Mark Leave'!$A$1:$E$1841,5,0),"")</f>
        <v/>
      </c>
      <c r="P24" s="39" t="str">
        <f>IFERROR(VLOOKUP($B24&amp;P$5,'Mark Leave'!$A$1:$E$1841,5,0),"")</f>
        <v/>
      </c>
      <c r="Q24" s="39" t="str">
        <f>IFERROR(VLOOKUP($B24&amp;Q$5,'Mark Leave'!$A$1:$E$1841,5,0),"")</f>
        <v/>
      </c>
      <c r="R24" s="39" t="str">
        <f>IFERROR(VLOOKUP($B24&amp;R$5,'Mark Leave'!$A$1:$E$1841,5,0),"")</f>
        <v/>
      </c>
      <c r="S24" s="39" t="str">
        <f>IFERROR(VLOOKUP($B24&amp;S$5,'Mark Leave'!$A$1:$E$1841,5,0),"")</f>
        <v/>
      </c>
      <c r="T24" s="39" t="str">
        <f>IFERROR(VLOOKUP($B24&amp;T$5,'Mark Leave'!$A$1:$E$1841,5,0),"")</f>
        <v/>
      </c>
      <c r="U24" s="39" t="str">
        <f>IFERROR(VLOOKUP($B24&amp;U$5,'Mark Leave'!$A$1:$E$1841,5,0),"")</f>
        <v/>
      </c>
      <c r="V24" s="39" t="str">
        <f>IFERROR(VLOOKUP($B24&amp;V$5,'Mark Leave'!$A$1:$E$1841,5,0),"")</f>
        <v/>
      </c>
      <c r="W24" s="39" t="str">
        <f>IFERROR(VLOOKUP($B24&amp;W$5,'Mark Leave'!$A$1:$E$1841,5,0),"")</f>
        <v/>
      </c>
      <c r="X24" s="39" t="str">
        <f>IFERROR(VLOOKUP($B24&amp;X$5,'Mark Leave'!$A$1:$E$1841,5,0),"")</f>
        <v/>
      </c>
      <c r="Y24" s="39" t="str">
        <f>IFERROR(VLOOKUP($B24&amp;Y$5,'Mark Leave'!$A$1:$E$1841,5,0),"")</f>
        <v/>
      </c>
      <c r="Z24" s="39" t="str">
        <f>IFERROR(VLOOKUP($B24&amp;Z$5,'Mark Leave'!$A$1:$E$1841,5,0),"")</f>
        <v/>
      </c>
      <c r="AA24" s="39" t="str">
        <f>IFERROR(VLOOKUP($B24&amp;AA$5,'Mark Leave'!$A$1:$E$1841,5,0),"")</f>
        <v/>
      </c>
      <c r="AB24" s="39" t="str">
        <f>IFERROR(VLOOKUP($B24&amp;AB$5,'Mark Leave'!$A$1:$E$1841,5,0),"")</f>
        <v/>
      </c>
      <c r="AC24" s="39" t="str">
        <f>IFERROR(VLOOKUP($B24&amp;AC$5,'Mark Leave'!$A$1:$E$1841,5,0),"")</f>
        <v/>
      </c>
      <c r="AD24" s="39" t="str">
        <f>IFERROR(VLOOKUP($B24&amp;AD$5,'Mark Leave'!$A$1:$E$1841,5,0),"")</f>
        <v/>
      </c>
      <c r="AE24" s="39" t="str">
        <f>IFERROR(VLOOKUP($B24&amp;AE$5,'Mark Leave'!$A$1:$E$1841,5,0),"")</f>
        <v/>
      </c>
      <c r="AF24" s="39" t="str">
        <f>IFERROR(VLOOKUP($B24&amp;AF$5,'Mark Leave'!$A$1:$E$1841,5,0),"")</f>
        <v/>
      </c>
      <c r="AG24" s="39" t="str">
        <f>IFERROR(VLOOKUP($B24&amp;AG$5,'Mark Leave'!$A$1:$E$1841,5,0),"")</f>
        <v/>
      </c>
      <c r="AH24" s="39" t="str">
        <f>IFERROR(VLOOKUP($B24&amp;AH$5,'Mark Leave'!$A$1:$E$1841,5,0),"")</f>
        <v/>
      </c>
      <c r="AI24" s="98">
        <f>IF($B24&lt;&gt;"",COUNTIF($D24:$AH24,'Setting '!$H$2),"")</f>
        <v>3</v>
      </c>
      <c r="AJ24" s="98">
        <f>IF($B24&lt;&gt;"",COUNTIF($D24:$AH24,'Setting '!$H$3)/2,"")</f>
        <v>0</v>
      </c>
      <c r="AK24" s="98">
        <f>IF($B24&lt;&gt;"",COUNTIF($D24:$AH24,'Setting '!$H$4),"")</f>
        <v>0</v>
      </c>
      <c r="AL24" s="98">
        <f t="shared" si="13"/>
        <v>3</v>
      </c>
      <c r="AM24" s="117">
        <f>IF(B24&lt;&gt;"",_xlfn.IFNA(VLOOKUP(B24,'Leave Credit Sheet'!B24:K117,10,0),""),"")</f>
        <v>0</v>
      </c>
      <c r="AN24" s="98">
        <f t="shared" si="2"/>
        <v>30</v>
      </c>
      <c r="AO24" s="106">
        <f>IF(B24&lt;&gt;"",_xlfn.IFNA(INDEX('CTC Sheet'!$C$6:$N$101,MATCH(AttendanceSheet!$B24,'CTC Sheet'!$A$6:$A$101,0),MATCH(AttendanceSheet!$T$1,'CTC Sheet'!$C$5:$N$5,0)),0),"")</f>
        <v>19060</v>
      </c>
      <c r="AP24" s="106">
        <f>IF(B24&lt;&gt;"",_xlfn.IFNA(INDEX('CTC Sheet'!$R$6:$AC$100,MATCH(AttendanceSheet!$B24,'CTC Sheet'!$P$6:$P$100,0),MATCH(AttendanceSheet!$T$1,'CTC Sheet'!$R$5:$AC$5,0)),0),"")</f>
        <v>0</v>
      </c>
      <c r="AQ24" s="106">
        <f t="shared" si="3"/>
        <v>6352.6979999999994</v>
      </c>
      <c r="AR24" s="106">
        <f t="shared" si="4"/>
        <v>3176.3489999999997</v>
      </c>
      <c r="AS24" s="106">
        <f t="shared" si="5"/>
        <v>3811.6187999999993</v>
      </c>
      <c r="AT24" s="106">
        <f t="shared" si="6"/>
        <v>2541.0792000000001</v>
      </c>
      <c r="AU24" s="106">
        <f t="shared" si="7"/>
        <v>1905.8093999999996</v>
      </c>
      <c r="AV24" s="106">
        <f t="shared" si="8"/>
        <v>1272.4454094</v>
      </c>
      <c r="AW24" s="106">
        <f>IF(B24&lt;&gt;"",_xlfn.IFNA(INDEX('OtherArrear payment'!$A$1:$N$95,MATCH(AttendanceSheet!$B24,'OtherArrear payment'!$A$1:$A$95,0),MATCH(AttendanceSheet!$T$1,'OtherArrear payment'!$A$1:$N$1,0)),0),"")</f>
        <v>0</v>
      </c>
      <c r="AX24" s="106">
        <f t="shared" si="14"/>
        <v>19059.999809399997</v>
      </c>
      <c r="AY24" s="106">
        <f t="shared" si="9"/>
        <v>1238.7761099999998</v>
      </c>
      <c r="AZ24" s="106">
        <f t="shared" si="10"/>
        <v>1143.4856399999999</v>
      </c>
      <c r="BA24" s="106">
        <f t="shared" si="11"/>
        <v>619.44999380549996</v>
      </c>
      <c r="BB24" s="106">
        <f t="shared" si="12"/>
        <v>142.94999857049996</v>
      </c>
      <c r="BC24" s="106">
        <f>IF($B24&lt;&gt;"",IF(BL24="Yes",IF($BI24="Mr.",IF($AX24&lt;=7500,0,IF(AND($AX24&lt;10000,$AX24&gt;7501),175,IF(AND($AX24&gt;10000,'Setting '!$G$28&lt;&gt;11),200,300))),IF(AND($AX24&lt;=10000,$BI24="Ms."),0,IF(AND($AX24&gt;10000,'Setting '!$G$28&lt;&gt;11),200,300))),0),"")</f>
        <v>200</v>
      </c>
      <c r="BD24" s="42"/>
      <c r="BE24" s="212">
        <f>IF($B24&lt;&gt;"",IF('Advance Sheet'!AF21&gt;=0,INDEX('Advance Sheet'!$Q$3:$AD$100,MATCH(AttendanceSheet!$B24,'Advance Sheet'!$Q$3:$Q$100,0),MATCH(AttendanceSheet!$T$1,'Advance Sheet'!$Q$3:$AD$3,)),0),"")</f>
        <v>0</v>
      </c>
      <c r="BF24" s="137">
        <f t="shared" si="15"/>
        <v>15715.338067023997</v>
      </c>
      <c r="BG24" s="97" t="str">
        <f>IF(B24&lt;&gt;"",VLOOKUP(B24,'Employee Details'!A23:S106,17,0),"")</f>
        <v>Yes</v>
      </c>
      <c r="BH24" s="97" t="str">
        <f>IF(B24&lt;&gt;"",VLOOKUP(B24,'Employee Details'!A23:S106,18,0),"")</f>
        <v>Yes</v>
      </c>
      <c r="BI24" s="40" t="str">
        <f>IF(B24&lt;&gt;"",VLOOKUP(B24,'Employee Details'!A22:S105,19,0),"")</f>
        <v>Mr.</v>
      </c>
      <c r="BJ24" s="38" t="str">
        <f>IF(B24&lt;&gt;"",VLOOKUP(B24,'Employee Details'!A23:D62,4,0),"")</f>
        <v>ONROLL</v>
      </c>
      <c r="BK24" s="38" t="str">
        <f>IF(B24&lt;&gt;"",VLOOKUP(B24,'Employee Details'!A23:E106,5,0),"")</f>
        <v>FACTORY STAFF</v>
      </c>
      <c r="BL24" s="210" t="str">
        <f>IF(B24&lt;&gt;"",VLOOKUP(B24,'Employee Details'!A23:U106,21,0),"")</f>
        <v>Yes</v>
      </c>
      <c r="BO24" s="104"/>
    </row>
    <row r="25" spans="2:68" ht="16.5" thickTop="1" thickBot="1" x14ac:dyDescent="0.3">
      <c r="B25" s="253" t="str">
        <f>_xlfn.IFNA(INDEX('Employee Details'!$A$7:$A28,MATCH(AttendanceSheet!$C25,'Employee Details'!$B$7:$B34,0)),"")</f>
        <v>Emp_0020</v>
      </c>
      <c r="C25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'!$J$1:J19))),"")</f>
        <v>AKSHAY PAWAR</v>
      </c>
      <c r="D25" s="254" t="str">
        <f>IFERROR(VLOOKUP($B25&amp;D$5,'Mark Leave'!$A$1:$E$1841,5,0),"")</f>
        <v>A</v>
      </c>
      <c r="E25" s="254" t="str">
        <f>IFERROR(VLOOKUP($B25&amp;E$5,'Mark Leave'!$A$1:$E$1841,5,0),"")</f>
        <v>A</v>
      </c>
      <c r="F25" s="254" t="str">
        <f>IFERROR(VLOOKUP($B25&amp;F$5,'Mark Leave'!$A$1:$E$1841,5,0),"")</f>
        <v>A</v>
      </c>
      <c r="G25" s="254" t="str">
        <f>IFERROR(VLOOKUP($B25&amp;G$5,'Mark Leave'!$A$1:$E$1841,5,0),"")</f>
        <v>A</v>
      </c>
      <c r="H25" s="254" t="str">
        <f>IFERROR(VLOOKUP($B25&amp;H$5,'Mark Leave'!$A$1:$E$1841,5,0),"")</f>
        <v>A</v>
      </c>
      <c r="I25" s="254" t="str">
        <f>IFERROR(VLOOKUP($B25&amp;I$5,'Mark Leave'!$A$1:$E$1841,5,0),"")</f>
        <v>A</v>
      </c>
      <c r="J25" s="254" t="str">
        <f>IFERROR(VLOOKUP($B25&amp;J$5,'Mark Leave'!$A$1:$E$1841,5,0),"")</f>
        <v>A</v>
      </c>
      <c r="K25" s="254" t="str">
        <f>IFERROR(VLOOKUP($B25&amp;K$5,'Mark Leave'!$A$1:$E$1841,5,0),"")</f>
        <v/>
      </c>
      <c r="L25" s="254" t="str">
        <f>IFERROR(VLOOKUP($B25&amp;L$5,'Mark Leave'!$A$1:$E$1841,5,0),"")</f>
        <v/>
      </c>
      <c r="M25" s="254" t="str">
        <f>IFERROR(VLOOKUP($B25&amp;M$5,'Mark Leave'!$A$1:$E$1841,5,0),"")</f>
        <v/>
      </c>
      <c r="N25" s="254" t="str">
        <f>IFERROR(VLOOKUP($B25&amp;N$5,'Mark Leave'!$A$1:$E$1841,5,0),"")</f>
        <v/>
      </c>
      <c r="O25" s="254" t="str">
        <f>IFERROR(VLOOKUP($B25&amp;O$5,'Mark Leave'!$A$1:$E$1841,5,0),"")</f>
        <v/>
      </c>
      <c r="P25" s="254" t="str">
        <f>IFERROR(VLOOKUP($B25&amp;P$5,'Mark Leave'!$A$1:$E$1841,5,0),"")</f>
        <v/>
      </c>
      <c r="Q25" s="254" t="str">
        <f>IFERROR(VLOOKUP($B25&amp;Q$5,'Mark Leave'!$A$1:$E$1841,5,0),"")</f>
        <v/>
      </c>
      <c r="R25" s="254" t="str">
        <f>IFERROR(VLOOKUP($B25&amp;R$5,'Mark Leave'!$A$1:$E$1841,5,0),"")</f>
        <v/>
      </c>
      <c r="S25" s="254" t="str">
        <f>IFERROR(VLOOKUP($B25&amp;S$5,'Mark Leave'!$A$1:$E$1841,5,0),"")</f>
        <v/>
      </c>
      <c r="T25" s="254" t="str">
        <f>IFERROR(VLOOKUP($B25&amp;T$5,'Mark Leave'!$A$1:$E$1841,5,0),"")</f>
        <v/>
      </c>
      <c r="U25" s="254" t="str">
        <f>IFERROR(VLOOKUP($B25&amp;U$5,'Mark Leave'!$A$1:$E$1841,5,0),"")</f>
        <v/>
      </c>
      <c r="V25" s="254" t="str">
        <f>IFERROR(VLOOKUP($B25&amp;V$5,'Mark Leave'!$A$1:$E$1841,5,0),"")</f>
        <v/>
      </c>
      <c r="W25" s="254" t="str">
        <f>IFERROR(VLOOKUP($B25&amp;W$5,'Mark Leave'!$A$1:$E$1841,5,0),"")</f>
        <v/>
      </c>
      <c r="X25" s="254" t="str">
        <f>IFERROR(VLOOKUP($B25&amp;X$5,'Mark Leave'!$A$1:$E$1841,5,0),"")</f>
        <v/>
      </c>
      <c r="Y25" s="254" t="str">
        <f>IFERROR(VLOOKUP($B25&amp;Y$5,'Mark Leave'!$A$1:$E$1841,5,0),"")</f>
        <v/>
      </c>
      <c r="Z25" s="254" t="str">
        <f>IFERROR(VLOOKUP($B25&amp;Z$5,'Mark Leave'!$A$1:$E$1841,5,0),"")</f>
        <v/>
      </c>
      <c r="AA25" s="254" t="str">
        <f>IFERROR(VLOOKUP($B25&amp;AA$5,'Mark Leave'!$A$1:$E$1841,5,0),"")</f>
        <v/>
      </c>
      <c r="AB25" s="254" t="str">
        <f>IFERROR(VLOOKUP($B25&amp;AB$5,'Mark Leave'!$A$1:$E$1841,5,0),"")</f>
        <v/>
      </c>
      <c r="AC25" s="254" t="str">
        <f>IFERROR(VLOOKUP($B25&amp;AC$5,'Mark Leave'!$A$1:$E$1841,5,0),"")</f>
        <v/>
      </c>
      <c r="AD25" s="254" t="str">
        <f>IFERROR(VLOOKUP($B25&amp;AD$5,'Mark Leave'!$A$1:$E$1841,5,0),"")</f>
        <v/>
      </c>
      <c r="AE25" s="254" t="str">
        <f>IFERROR(VLOOKUP($B25&amp;AE$5,'Mark Leave'!$A$1:$E$1841,5,0),"")</f>
        <v/>
      </c>
      <c r="AF25" s="254" t="str">
        <f>IFERROR(VLOOKUP($B25&amp;AF$5,'Mark Leave'!$A$1:$E$1841,5,0),"")</f>
        <v/>
      </c>
      <c r="AG25" s="254" t="str">
        <f>IFERROR(VLOOKUP($B25&amp;AG$5,'Mark Leave'!$A$1:$E$1841,5,0),"")</f>
        <v/>
      </c>
      <c r="AH25" s="254" t="str">
        <f>IFERROR(VLOOKUP($B25&amp;AH$5,'Mark Leave'!$A$1:$E$1841,5,0),"")</f>
        <v/>
      </c>
      <c r="AI25" s="255">
        <f>IF($B25&lt;&gt;"",COUNTIF($D25:$AH25,'Setting '!$H$2),"")</f>
        <v>7</v>
      </c>
      <c r="AJ25" s="255">
        <f>IF($B25&lt;&gt;"",COUNTIF($D25:$AH25,'Setting '!$H$3)/2,"")</f>
        <v>0</v>
      </c>
      <c r="AK25" s="255">
        <f>IF($B25&lt;&gt;"",COUNTIF($D25:$AH25,'Setting '!$H$4),"")</f>
        <v>0</v>
      </c>
      <c r="AL25" s="255">
        <f t="shared" si="13"/>
        <v>7</v>
      </c>
      <c r="AM25" s="256" t="str">
        <f>IF(B25&lt;&gt;"",_xlfn.IFNA(VLOOKUP(B25,'Leave Credit Sheet'!B25:K118,10,0),""),"")</f>
        <v/>
      </c>
      <c r="AN25" s="255">
        <f t="shared" si="2"/>
        <v>23</v>
      </c>
      <c r="AO25" s="247">
        <f>IF(B25&lt;&gt;"",_xlfn.IFNA(INDEX('CTC Sheet'!$C$6:$N$101,MATCH(AttendanceSheet!$B25,'CTC Sheet'!$A$6:$A$101,0),MATCH(AttendanceSheet!$T$1,'CTC Sheet'!$C$5:$N$5,0)),0),"")</f>
        <v>0</v>
      </c>
      <c r="AP25" s="247">
        <f>IF(B25&lt;&gt;"",_xlfn.IFNA(INDEX('CTC Sheet'!$R$6:$AC$100,MATCH(AttendanceSheet!$B25,'CTC Sheet'!$P$6:$P$100,0),MATCH(AttendanceSheet!$T$1,'CTC Sheet'!$R$5:$AC$5,0)),0),"")</f>
        <v>365.38461538461536</v>
      </c>
      <c r="AQ25" s="247">
        <f t="shared" si="3"/>
        <v>2801.0019230769226</v>
      </c>
      <c r="AR25" s="247">
        <f t="shared" si="4"/>
        <v>1400.5009615384613</v>
      </c>
      <c r="AS25" s="247">
        <f t="shared" si="5"/>
        <v>1680.6011538461535</v>
      </c>
      <c r="AT25" s="247">
        <f t="shared" si="6"/>
        <v>1120.4007692307691</v>
      </c>
      <c r="AU25" s="247">
        <f t="shared" si="7"/>
        <v>840.30057692307673</v>
      </c>
      <c r="AV25" s="247">
        <f t="shared" si="8"/>
        <v>561.04068519230759</v>
      </c>
      <c r="AW25" s="247">
        <f>IF(B25&lt;&gt;"",_xlfn.IFNA(INDEX('OtherArrear payment'!$A$1:$N$95,MATCH(AttendanceSheet!$B25,'OtherArrear payment'!$A$1:$A$95,0),MATCH(AttendanceSheet!$T$1,'OtherArrear payment'!$A$1:$N$1,0)),0),"")</f>
        <v>0</v>
      </c>
      <c r="AX25" s="247">
        <f t="shared" si="14"/>
        <v>8403.8460698076906</v>
      </c>
      <c r="AY25" s="247">
        <f t="shared" si="9"/>
        <v>0</v>
      </c>
      <c r="AZ25" s="247">
        <f t="shared" si="10"/>
        <v>0</v>
      </c>
      <c r="BA25" s="247">
        <f t="shared" si="11"/>
        <v>0</v>
      </c>
      <c r="BB25" s="247">
        <f t="shared" si="12"/>
        <v>0</v>
      </c>
      <c r="BC25" s="247">
        <f>IF($B25&lt;&gt;"",IF(BL25="Yes",IF($BI25="Mr.",IF($AX25&lt;=7500,0,IF(AND($AX25&lt;10000,$AX25&gt;7501),175,IF(AND($AX25&gt;10000,'Setting '!$G$28&lt;&gt;11),200,300))),IF(AND($AX25&lt;=10000,$BI25="Ms."),0,IF(AND($AX25&gt;10000,'Setting '!$G$28&lt;&gt;11),200,300))),0),"")</f>
        <v>0</v>
      </c>
      <c r="BD25" s="248"/>
      <c r="BE25" s="249">
        <f>IF($B25&lt;&gt;"",IF('Advance Sheet'!AF22&gt;=0,INDEX('Advance Sheet'!$Q$3:$AD$100,MATCH(AttendanceSheet!$B25,'Advance Sheet'!$Q$3:$Q$100,0),MATCH(AttendanceSheet!$T$1,'Advance Sheet'!$Q$3:$AD$3,)),0),"")</f>
        <v>0</v>
      </c>
      <c r="BF25" s="247">
        <f t="shared" si="15"/>
        <v>8403.8460698076906</v>
      </c>
      <c r="BG25" s="250" t="str">
        <f>IF(B25&lt;&gt;"",VLOOKUP(B25,'Employee Details'!A24:S107,17,0),"")</f>
        <v>No</v>
      </c>
      <c r="BH25" s="250" t="str">
        <f>IF(B25&lt;&gt;"",VLOOKUP(B25,'Employee Details'!A24:S107,18,0),"")</f>
        <v>No</v>
      </c>
      <c r="BI25" s="251" t="str">
        <f>IF(B25&lt;&gt;"",VLOOKUP(B25,'Employee Details'!A23:S106,19,0),"")</f>
        <v>Mr.</v>
      </c>
      <c r="BJ25" s="252" t="str">
        <f>IF(B25&lt;&gt;"",VLOOKUP(B25,'Employee Details'!A24:D63,4,0),"")</f>
        <v>OFFROLL</v>
      </c>
      <c r="BK25" s="252" t="str">
        <f>IF(B25&lt;&gt;"",VLOOKUP(B25,'Employee Details'!A24:E107,5,0),"")</f>
        <v>DINESH THAKARE</v>
      </c>
      <c r="BL25" s="210" t="str">
        <f>IF(B25&lt;&gt;"",VLOOKUP(B25,'Employee Details'!A24:U107,21,0),"")</f>
        <v>No</v>
      </c>
      <c r="BO25" s="104"/>
    </row>
    <row r="26" spans="2:68" ht="16.5" thickTop="1" thickBot="1" x14ac:dyDescent="0.3">
      <c r="B26" s="253" t="str">
        <f>_xlfn.IFNA(INDEX('Employee Details'!$A$7:$A29,MATCH(AttendanceSheet!$C26,'Employee Details'!$B$7:$B35,0)),"")</f>
        <v>Emp_0021</v>
      </c>
      <c r="C26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'!$J$1:J20))),"")</f>
        <v>AMIT JADHAV</v>
      </c>
      <c r="D26" s="254" t="str">
        <f>IFERROR(VLOOKUP($B26&amp;D$5,'Mark Leave'!$A$1:$E$1841,5,0),"")</f>
        <v>A</v>
      </c>
      <c r="E26" s="254" t="str">
        <f>IFERROR(VLOOKUP($B26&amp;E$5,'Mark Leave'!$A$1:$E$1841,5,0),"")</f>
        <v>A</v>
      </c>
      <c r="F26" s="254" t="str">
        <f>IFERROR(VLOOKUP($B26&amp;F$5,'Mark Leave'!$A$1:$E$1841,5,0),"")</f>
        <v>A</v>
      </c>
      <c r="G26" s="254" t="str">
        <f>IFERROR(VLOOKUP($B26&amp;G$5,'Mark Leave'!$A$1:$E$1841,5,0),"")</f>
        <v>A</v>
      </c>
      <c r="H26" s="254" t="str">
        <f>IFERROR(VLOOKUP($B26&amp;H$5,'Mark Leave'!$A$1:$E$1841,5,0),"")</f>
        <v>A</v>
      </c>
      <c r="I26" s="254" t="str">
        <f>IFERROR(VLOOKUP($B26&amp;I$5,'Mark Leave'!$A$1:$E$1841,5,0),"")</f>
        <v>A</v>
      </c>
      <c r="J26" s="254" t="str">
        <f>IFERROR(VLOOKUP($B26&amp;J$5,'Mark Leave'!$A$1:$E$1841,5,0),"")</f>
        <v/>
      </c>
      <c r="K26" s="254" t="str">
        <f>IFERROR(VLOOKUP($B26&amp;K$5,'Mark Leave'!$A$1:$E$1841,5,0),"")</f>
        <v/>
      </c>
      <c r="L26" s="254" t="str">
        <f>IFERROR(VLOOKUP($B26&amp;L$5,'Mark Leave'!$A$1:$E$1841,5,0),"")</f>
        <v/>
      </c>
      <c r="M26" s="254" t="str">
        <f>IFERROR(VLOOKUP($B26&amp;M$5,'Mark Leave'!$A$1:$E$1841,5,0),"")</f>
        <v/>
      </c>
      <c r="N26" s="254" t="str">
        <f>IFERROR(VLOOKUP($B26&amp;N$5,'Mark Leave'!$A$1:$E$1841,5,0),"")</f>
        <v/>
      </c>
      <c r="O26" s="254" t="str">
        <f>IFERROR(VLOOKUP($B26&amp;O$5,'Mark Leave'!$A$1:$E$1841,5,0),"")</f>
        <v/>
      </c>
      <c r="P26" s="254" t="str">
        <f>IFERROR(VLOOKUP($B26&amp;P$5,'Mark Leave'!$A$1:$E$1841,5,0),"")</f>
        <v/>
      </c>
      <c r="Q26" s="254" t="str">
        <f>IFERROR(VLOOKUP($B26&amp;Q$5,'Mark Leave'!$A$1:$E$1841,5,0),"")</f>
        <v/>
      </c>
      <c r="R26" s="254" t="str">
        <f>IFERROR(VLOOKUP($B26&amp;R$5,'Mark Leave'!$A$1:$E$1841,5,0),"")</f>
        <v/>
      </c>
      <c r="S26" s="254" t="str">
        <f>IFERROR(VLOOKUP($B26&amp;S$5,'Mark Leave'!$A$1:$E$1841,5,0),"")</f>
        <v/>
      </c>
      <c r="T26" s="254" t="str">
        <f>IFERROR(VLOOKUP($B26&amp;T$5,'Mark Leave'!$A$1:$E$1841,5,0),"")</f>
        <v/>
      </c>
      <c r="U26" s="254" t="str">
        <f>IFERROR(VLOOKUP($B26&amp;U$5,'Mark Leave'!$A$1:$E$1841,5,0),"")</f>
        <v/>
      </c>
      <c r="V26" s="254" t="str">
        <f>IFERROR(VLOOKUP($B26&amp;V$5,'Mark Leave'!$A$1:$E$1841,5,0),"")</f>
        <v/>
      </c>
      <c r="W26" s="254" t="str">
        <f>IFERROR(VLOOKUP($B26&amp;W$5,'Mark Leave'!$A$1:$E$1841,5,0),"")</f>
        <v/>
      </c>
      <c r="X26" s="254" t="str">
        <f>IFERROR(VLOOKUP($B26&amp;X$5,'Mark Leave'!$A$1:$E$1841,5,0),"")</f>
        <v/>
      </c>
      <c r="Y26" s="254" t="str">
        <f>IFERROR(VLOOKUP($B26&amp;Y$5,'Mark Leave'!$A$1:$E$1841,5,0),"")</f>
        <v/>
      </c>
      <c r="Z26" s="254" t="str">
        <f>IFERROR(VLOOKUP($B26&amp;Z$5,'Mark Leave'!$A$1:$E$1841,5,0),"")</f>
        <v/>
      </c>
      <c r="AA26" s="254" t="str">
        <f>IFERROR(VLOOKUP($B26&amp;AA$5,'Mark Leave'!$A$1:$E$1841,5,0),"")</f>
        <v/>
      </c>
      <c r="AB26" s="254" t="str">
        <f>IFERROR(VLOOKUP($B26&amp;AB$5,'Mark Leave'!$A$1:$E$1841,5,0),"")</f>
        <v/>
      </c>
      <c r="AC26" s="254" t="str">
        <f>IFERROR(VLOOKUP($B26&amp;AC$5,'Mark Leave'!$A$1:$E$1841,5,0),"")</f>
        <v/>
      </c>
      <c r="AD26" s="254" t="str">
        <f>IFERROR(VLOOKUP($B26&amp;AD$5,'Mark Leave'!$A$1:$E$1841,5,0),"")</f>
        <v/>
      </c>
      <c r="AE26" s="254" t="str">
        <f>IFERROR(VLOOKUP($B26&amp;AE$5,'Mark Leave'!$A$1:$E$1841,5,0),"")</f>
        <v/>
      </c>
      <c r="AF26" s="254" t="str">
        <f>IFERROR(VLOOKUP($B26&amp;AF$5,'Mark Leave'!$A$1:$E$1841,5,0),"")</f>
        <v/>
      </c>
      <c r="AG26" s="254" t="str">
        <f>IFERROR(VLOOKUP($B26&amp;AG$5,'Mark Leave'!$A$1:$E$1841,5,0),"")</f>
        <v/>
      </c>
      <c r="AH26" s="254">
        <f>IFERROR(VLOOKUP($B26&amp;AH$5,'Mark Leave'!$A$1:$E$1841,5,0),"")</f>
        <v>0</v>
      </c>
      <c r="AI26" s="255">
        <f>IF($B26&lt;&gt;"",COUNTIF($D26:$AH26,'Setting '!$H$2),"")</f>
        <v>6</v>
      </c>
      <c r="AJ26" s="255">
        <f>IF($B26&lt;&gt;"",COUNTIF($D26:$AH26,'Setting '!$H$3)/2,"")</f>
        <v>0</v>
      </c>
      <c r="AK26" s="255">
        <f>IF($B26&lt;&gt;"",COUNTIF($D26:$AH26,'Setting '!$H$4),"")</f>
        <v>0</v>
      </c>
      <c r="AL26" s="255">
        <f t="shared" si="13"/>
        <v>6</v>
      </c>
      <c r="AM26" s="256" t="str">
        <f>IF(B26&lt;&gt;"",_xlfn.IFNA(VLOOKUP(B26,'Leave Credit Sheet'!B26:K119,10,0),""),"")</f>
        <v/>
      </c>
      <c r="AN26" s="255">
        <f t="shared" si="2"/>
        <v>24</v>
      </c>
      <c r="AO26" s="247">
        <f>IF(B26&lt;&gt;"",_xlfn.IFNA(INDEX('CTC Sheet'!$C$6:$N$101,MATCH(AttendanceSheet!$B26,'CTC Sheet'!$A$6:$A$101,0),MATCH(AttendanceSheet!$T$1,'CTC Sheet'!$C$5:$N$5,0)),0),"")</f>
        <v>0</v>
      </c>
      <c r="AP26" s="247">
        <f>IF(B26&lt;&gt;"",_xlfn.IFNA(INDEX('CTC Sheet'!$R$6:$AC$100,MATCH(AttendanceSheet!$B26,'CTC Sheet'!$P$6:$P$100,0),MATCH(AttendanceSheet!$T$1,'CTC Sheet'!$R$5:$AC$5,0)),0),"")</f>
        <v>369.23076923076923</v>
      </c>
      <c r="AQ26" s="247">
        <f t="shared" si="3"/>
        <v>2953.5507692307688</v>
      </c>
      <c r="AR26" s="247">
        <f t="shared" si="4"/>
        <v>1476.7753846153844</v>
      </c>
      <c r="AS26" s="247">
        <f t="shared" si="5"/>
        <v>1772.1304615384613</v>
      </c>
      <c r="AT26" s="247">
        <f t="shared" si="6"/>
        <v>1181.4203076923075</v>
      </c>
      <c r="AU26" s="247">
        <f t="shared" si="7"/>
        <v>886.06523076923065</v>
      </c>
      <c r="AV26" s="247">
        <f t="shared" si="8"/>
        <v>591.59621907692303</v>
      </c>
      <c r="AW26" s="247">
        <f>IF(B26&lt;&gt;"",_xlfn.IFNA(INDEX('OtherArrear payment'!$A$1:$N$95,MATCH(AttendanceSheet!$B26,'OtherArrear payment'!$A$1:$A$95,0),MATCH(AttendanceSheet!$T$1,'OtherArrear payment'!$A$1:$N$1,0)),0),"")</f>
        <v>50</v>
      </c>
      <c r="AX26" s="247">
        <f t="shared" si="14"/>
        <v>8861.5383729230743</v>
      </c>
      <c r="AY26" s="247">
        <f t="shared" si="9"/>
        <v>0</v>
      </c>
      <c r="AZ26" s="247">
        <f t="shared" si="10"/>
        <v>0</v>
      </c>
      <c r="BA26" s="247">
        <f t="shared" si="11"/>
        <v>0</v>
      </c>
      <c r="BB26" s="247">
        <f t="shared" si="12"/>
        <v>0</v>
      </c>
      <c r="BC26" s="247">
        <f>IF($B26&lt;&gt;"",IF(BL26="Yes",IF($BI26="Mr.",IF($AX26&lt;=7500,0,IF(AND($AX26&lt;10000,$AX26&gt;7501),175,IF(AND($AX26&gt;10000,'Setting '!$G$28&lt;&gt;11),200,300))),IF(AND($AX26&lt;=10000,$BI26="Ms."),0,IF(AND($AX26&gt;10000,'Setting '!$G$28&lt;&gt;11),200,300))),0),"")</f>
        <v>0</v>
      </c>
      <c r="BD26" s="248"/>
      <c r="BE26" s="249">
        <f>IF($B26&lt;&gt;"",IF('Advance Sheet'!AF23&gt;=0,INDEX('Advance Sheet'!$Q$3:$AD$100,MATCH(AttendanceSheet!$B26,'Advance Sheet'!$Q$3:$Q$100,0),MATCH(AttendanceSheet!$T$1,'Advance Sheet'!$Q$3:$AD$3,)),0),"")</f>
        <v>1000</v>
      </c>
      <c r="BF26" s="247">
        <f t="shared" si="15"/>
        <v>7911.5383729230743</v>
      </c>
      <c r="BG26" s="250" t="str">
        <f>IF(B26&lt;&gt;"",VLOOKUP(B26,'Employee Details'!A25:S108,17,0),"")</f>
        <v>No</v>
      </c>
      <c r="BH26" s="250" t="str">
        <f>IF(B26&lt;&gt;"",VLOOKUP(B26,'Employee Details'!A25:S108,18,0),"")</f>
        <v>No</v>
      </c>
      <c r="BI26" s="251" t="str">
        <f>IF(B26&lt;&gt;"",VLOOKUP(B26,'Employee Details'!A24:S107,19,0),"")</f>
        <v>Mr.</v>
      </c>
      <c r="BJ26" s="252" t="str">
        <f>IF(B26&lt;&gt;"",VLOOKUP(B26,'Employee Details'!A25:D64,4,0),"")</f>
        <v>OFFROLL</v>
      </c>
      <c r="BK26" s="252" t="str">
        <f>IF(B26&lt;&gt;"",VLOOKUP(B26,'Employee Details'!A25:E108,5,0),"")</f>
        <v>DINESH THAKARE</v>
      </c>
      <c r="BL26" s="210" t="str">
        <f>IF(B26&lt;&gt;"",VLOOKUP(B26,'Employee Details'!A25:U108,21,0),"")</f>
        <v>No</v>
      </c>
      <c r="BM26" s="104"/>
      <c r="BO26" s="104"/>
      <c r="BP26" s="104">
        <f>+BN26-BM26</f>
        <v>0</v>
      </c>
    </row>
    <row r="27" spans="2:68" ht="16.5" thickTop="1" thickBot="1" x14ac:dyDescent="0.3">
      <c r="B27" s="253" t="str">
        <f>_xlfn.IFNA(INDEX('Employee Details'!$A$7:$A30,MATCH(AttendanceSheet!$C27,'Employee Details'!$B$7:$B36,0)),"")</f>
        <v>Emp_0022</v>
      </c>
      <c r="C27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'!$J$1:J21))),"")</f>
        <v>ANKUSH LAHANGE</v>
      </c>
      <c r="D27" s="254" t="str">
        <f>IFERROR(VLOOKUP($B27&amp;D$5,'Mark Leave'!$A$1:$E$1841,5,0),"")</f>
        <v>A</v>
      </c>
      <c r="E27" s="254" t="str">
        <f>IFERROR(VLOOKUP($B27&amp;E$5,'Mark Leave'!$A$1:$E$1841,5,0),"")</f>
        <v>A</v>
      </c>
      <c r="F27" s="254" t="str">
        <f>IFERROR(VLOOKUP($B27&amp;F$5,'Mark Leave'!$A$1:$E$1841,5,0),"")</f>
        <v>A</v>
      </c>
      <c r="G27" s="254" t="str">
        <f>IFERROR(VLOOKUP($B27&amp;G$5,'Mark Leave'!$A$1:$E$1841,5,0),"")</f>
        <v>A</v>
      </c>
      <c r="H27" s="254" t="str">
        <f>IFERROR(VLOOKUP($B27&amp;H$5,'Mark Leave'!$A$1:$E$1841,5,0),"")</f>
        <v>A</v>
      </c>
      <c r="I27" s="254" t="str">
        <f>IFERROR(VLOOKUP($B27&amp;I$5,'Mark Leave'!$A$1:$E$1841,5,0),"")</f>
        <v/>
      </c>
      <c r="J27" s="254" t="str">
        <f>IFERROR(VLOOKUP($B27&amp;J$5,'Mark Leave'!$A$1:$E$1841,5,0),"")</f>
        <v/>
      </c>
      <c r="K27" s="254" t="str">
        <f>IFERROR(VLOOKUP($B27&amp;K$5,'Mark Leave'!$A$1:$E$1841,5,0),"")</f>
        <v/>
      </c>
      <c r="L27" s="254" t="str">
        <f>IFERROR(VLOOKUP($B27&amp;L$5,'Mark Leave'!$A$1:$E$1841,5,0),"")</f>
        <v/>
      </c>
      <c r="M27" s="254">
        <f>IFERROR(VLOOKUP($B27&amp;M$5,'Mark Leave'!$A$1:$E$1841,5,0),"")</f>
        <v>0</v>
      </c>
      <c r="N27" s="254">
        <f>IFERROR(VLOOKUP($B27&amp;N$5,'Mark Leave'!$A$1:$E$1841,5,0),"")</f>
        <v>0</v>
      </c>
      <c r="O27" s="254" t="str">
        <f>IFERROR(VLOOKUP($B27&amp;O$5,'Mark Leave'!$A$1:$E$1841,5,0),"")</f>
        <v/>
      </c>
      <c r="P27" s="254" t="str">
        <f>IFERROR(VLOOKUP($B27&amp;P$5,'Mark Leave'!$A$1:$E$1841,5,0),"")</f>
        <v/>
      </c>
      <c r="Q27" s="254" t="str">
        <f>IFERROR(VLOOKUP($B27&amp;Q$5,'Mark Leave'!$A$1:$E$1841,5,0),"")</f>
        <v/>
      </c>
      <c r="R27" s="254" t="str">
        <f>IFERROR(VLOOKUP($B27&amp;R$5,'Mark Leave'!$A$1:$E$1841,5,0),"")</f>
        <v/>
      </c>
      <c r="S27" s="254" t="str">
        <f>IFERROR(VLOOKUP($B27&amp;S$5,'Mark Leave'!$A$1:$E$1841,5,0),"")</f>
        <v/>
      </c>
      <c r="T27" s="254" t="str">
        <f>IFERROR(VLOOKUP($B27&amp;T$5,'Mark Leave'!$A$1:$E$1841,5,0),"")</f>
        <v/>
      </c>
      <c r="U27" s="254" t="str">
        <f>IFERROR(VLOOKUP($B27&amp;U$5,'Mark Leave'!$A$1:$E$1841,5,0),"")</f>
        <v/>
      </c>
      <c r="V27" s="254" t="str">
        <f>IFERROR(VLOOKUP($B27&amp;V$5,'Mark Leave'!$A$1:$E$1841,5,0),"")</f>
        <v/>
      </c>
      <c r="W27" s="254" t="str">
        <f>IFERROR(VLOOKUP($B27&amp;W$5,'Mark Leave'!$A$1:$E$1841,5,0),"")</f>
        <v/>
      </c>
      <c r="X27" s="254" t="str">
        <f>IFERROR(VLOOKUP($B27&amp;X$5,'Mark Leave'!$A$1:$E$1841,5,0),"")</f>
        <v/>
      </c>
      <c r="Y27" s="254" t="str">
        <f>IFERROR(VLOOKUP($B27&amp;Y$5,'Mark Leave'!$A$1:$E$1841,5,0),"")</f>
        <v/>
      </c>
      <c r="Z27" s="254" t="str">
        <f>IFERROR(VLOOKUP($B27&amp;Z$5,'Mark Leave'!$A$1:$E$1841,5,0),"")</f>
        <v/>
      </c>
      <c r="AA27" s="254" t="str">
        <f>IFERROR(VLOOKUP($B27&amp;AA$5,'Mark Leave'!$A$1:$E$1841,5,0),"")</f>
        <v/>
      </c>
      <c r="AB27" s="254" t="str">
        <f>IFERROR(VLOOKUP($B27&amp;AB$5,'Mark Leave'!$A$1:$E$1841,5,0),"")</f>
        <v/>
      </c>
      <c r="AC27" s="254" t="str">
        <f>IFERROR(VLOOKUP($B27&amp;AC$5,'Mark Leave'!$A$1:$E$1841,5,0),"")</f>
        <v/>
      </c>
      <c r="AD27" s="254" t="str">
        <f>IFERROR(VLOOKUP($B27&amp;AD$5,'Mark Leave'!$A$1:$E$1841,5,0),"")</f>
        <v/>
      </c>
      <c r="AE27" s="254" t="str">
        <f>IFERROR(VLOOKUP($B27&amp;AE$5,'Mark Leave'!$A$1:$E$1841,5,0),"")</f>
        <v/>
      </c>
      <c r="AF27" s="254" t="str">
        <f>IFERROR(VLOOKUP($B27&amp;AF$5,'Mark Leave'!$A$1:$E$1841,5,0),"")</f>
        <v/>
      </c>
      <c r="AG27" s="254" t="str">
        <f>IFERROR(VLOOKUP($B27&amp;AG$5,'Mark Leave'!$A$1:$E$1841,5,0),"")</f>
        <v/>
      </c>
      <c r="AH27" s="254" t="str">
        <f>IFERROR(VLOOKUP($B27&amp;AH$5,'Mark Leave'!$A$1:$E$1841,5,0),"")</f>
        <v/>
      </c>
      <c r="AI27" s="255">
        <f>IF($B27&lt;&gt;"",COUNTIF($D27:$AH27,'Setting '!$H$2),"")</f>
        <v>5</v>
      </c>
      <c r="AJ27" s="255">
        <f>IF($B27&lt;&gt;"",COUNTIF($D27:$AH27,'Setting '!$H$3)/2,"")</f>
        <v>0</v>
      </c>
      <c r="AK27" s="255">
        <f>IF($B27&lt;&gt;"",COUNTIF($D27:$AH27,'Setting '!$H$4),"")</f>
        <v>0</v>
      </c>
      <c r="AL27" s="255">
        <f t="shared" si="13"/>
        <v>5</v>
      </c>
      <c r="AM27" s="256" t="str">
        <f>IF(B27&lt;&gt;"",_xlfn.IFNA(VLOOKUP(B27,'Leave Credit Sheet'!B27:K120,10,0),""),"")</f>
        <v/>
      </c>
      <c r="AN27" s="255">
        <f t="shared" si="2"/>
        <v>25</v>
      </c>
      <c r="AO27" s="247">
        <f>IF(B27&lt;&gt;"",_xlfn.IFNA(INDEX('CTC Sheet'!$C$6:$N$101,MATCH(AttendanceSheet!$B27,'CTC Sheet'!$A$6:$A$101,0),MATCH(AttendanceSheet!$T$1,'CTC Sheet'!$C$5:$N$5,0)),0),"")</f>
        <v>0</v>
      </c>
      <c r="AP27" s="247">
        <f>IF(B27&lt;&gt;"",_xlfn.IFNA(INDEX('CTC Sheet'!$R$6:$AC$100,MATCH(AttendanceSheet!$B27,'CTC Sheet'!$P$6:$P$100,0),MATCH(AttendanceSheet!$T$1,'CTC Sheet'!$R$5:$AC$5,0)),0),"")</f>
        <v>369.23076923076923</v>
      </c>
      <c r="AQ27" s="247">
        <f t="shared" si="3"/>
        <v>3076.6153846153843</v>
      </c>
      <c r="AR27" s="247">
        <f t="shared" si="4"/>
        <v>1538.3076923076922</v>
      </c>
      <c r="AS27" s="247">
        <f t="shared" si="5"/>
        <v>1845.9692307692305</v>
      </c>
      <c r="AT27" s="247">
        <f t="shared" si="6"/>
        <v>1230.6461538461538</v>
      </c>
      <c r="AU27" s="247">
        <f t="shared" si="7"/>
        <v>922.98461538461527</v>
      </c>
      <c r="AV27" s="247">
        <f t="shared" si="8"/>
        <v>616.2460615384615</v>
      </c>
      <c r="AW27" s="247">
        <f>IF(B27&lt;&gt;"",_xlfn.IFNA(INDEX('OtherArrear payment'!$A$1:$N$95,MATCH(AttendanceSheet!$B27,'OtherArrear payment'!$A$1:$A$95,0),MATCH(AttendanceSheet!$T$1,'OtherArrear payment'!$A$1:$N$1,0)),0),"")</f>
        <v>20</v>
      </c>
      <c r="AX27" s="247">
        <f t="shared" si="14"/>
        <v>9230.7691384615355</v>
      </c>
      <c r="AY27" s="247">
        <f t="shared" si="9"/>
        <v>0</v>
      </c>
      <c r="AZ27" s="247">
        <f t="shared" si="10"/>
        <v>0</v>
      </c>
      <c r="BA27" s="247">
        <f t="shared" si="11"/>
        <v>0</v>
      </c>
      <c r="BB27" s="247">
        <f t="shared" si="12"/>
        <v>0</v>
      </c>
      <c r="BC27" s="247">
        <f>IF($B27&lt;&gt;"",IF(BL27="Yes",IF($BI27="Mr.",IF($AX27&lt;=7500,0,IF(AND($AX27&lt;10000,$AX27&gt;7501),175,IF(AND($AX27&gt;10000,'Setting '!$G$28&lt;&gt;11),200,300))),IF(AND($AX27&lt;=10000,$BI27="Ms."),0,IF(AND($AX27&gt;10000,'Setting '!$G$28&lt;&gt;11),200,300))),0),"")</f>
        <v>0</v>
      </c>
      <c r="BD27" s="248"/>
      <c r="BE27" s="249">
        <f>IF($B27&lt;&gt;"",IF('Advance Sheet'!AF24&gt;=0,INDEX('Advance Sheet'!$Q$3:$AD$100,MATCH(AttendanceSheet!$B27,'Advance Sheet'!$Q$3:$Q$100,0),MATCH(AttendanceSheet!$T$1,'Advance Sheet'!$Q$3:$AD$3,)),0),"")</f>
        <v>0</v>
      </c>
      <c r="BF27" s="247">
        <f t="shared" si="15"/>
        <v>9250.7691384615355</v>
      </c>
      <c r="BG27" s="250" t="str">
        <f>IF(B27&lt;&gt;"",VLOOKUP(B27,'Employee Details'!A26:S109,17,0),"")</f>
        <v>No</v>
      </c>
      <c r="BH27" s="250" t="str">
        <f>IF(B27&lt;&gt;"",VLOOKUP(B27,'Employee Details'!A26:S109,18,0),"")</f>
        <v>No</v>
      </c>
      <c r="BI27" s="251" t="str">
        <f>IF(B27&lt;&gt;"",VLOOKUP(B27,'Employee Details'!A25:S108,19,0),"")</f>
        <v>Mr.</v>
      </c>
      <c r="BJ27" s="252" t="str">
        <f>IF(B27&lt;&gt;"",VLOOKUP(B27,'Employee Details'!A26:D65,4,0),"")</f>
        <v>OFFROLL</v>
      </c>
      <c r="BK27" s="252" t="str">
        <f>IF(B27&lt;&gt;"",VLOOKUP(B27,'Employee Details'!A26:E109,5,0),"")</f>
        <v>DINESH THAKARE</v>
      </c>
      <c r="BL27" s="210" t="str">
        <f>IF(B27&lt;&gt;"",VLOOKUP(B27,'Employee Details'!A26:U109,21,0),"")</f>
        <v>No</v>
      </c>
      <c r="BM27" s="104"/>
      <c r="BO27" s="104"/>
      <c r="BP27" s="104">
        <f t="shared" ref="BP27:BP45" si="16">+BN27-BM27</f>
        <v>0</v>
      </c>
    </row>
    <row r="28" spans="2:68" ht="16.5" thickTop="1" thickBot="1" x14ac:dyDescent="0.3">
      <c r="B28" s="253" t="str">
        <f>_xlfn.IFNA(INDEX('Employee Details'!$A$7:$A31,MATCH(AttendanceSheet!$C28,'Employee Details'!$B$7:$B37,0)),"")</f>
        <v>Emp_0023</v>
      </c>
      <c r="C28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'!$J$1:J22))),"")</f>
        <v>JYOTI THAKARE</v>
      </c>
      <c r="D28" s="254" t="str">
        <f>IFERROR(VLOOKUP($B28&amp;D$5,'Mark Leave'!$A$1:$E$1841,5,0),"")</f>
        <v>A</v>
      </c>
      <c r="E28" s="254" t="str">
        <f>IFERROR(VLOOKUP($B28&amp;E$5,'Mark Leave'!$A$1:$E$1841,5,0),"")</f>
        <v>A</v>
      </c>
      <c r="F28" s="254" t="str">
        <f>IFERROR(VLOOKUP($B28&amp;F$5,'Mark Leave'!$A$1:$E$1841,5,0),"")</f>
        <v>A</v>
      </c>
      <c r="G28" s="254" t="str">
        <f>IFERROR(VLOOKUP($B28&amp;G$5,'Mark Leave'!$A$1:$E$1841,5,0),"")</f>
        <v/>
      </c>
      <c r="H28" s="254" t="str">
        <f>IFERROR(VLOOKUP($B28&amp;H$5,'Mark Leave'!$A$1:$E$1841,5,0),"")</f>
        <v/>
      </c>
      <c r="I28" s="254" t="str">
        <f>IFERROR(VLOOKUP($B28&amp;I$5,'Mark Leave'!$A$1:$E$1841,5,0),"")</f>
        <v/>
      </c>
      <c r="J28" s="254" t="str">
        <f>IFERROR(VLOOKUP($B28&amp;J$5,'Mark Leave'!$A$1:$E$1841,5,0),"")</f>
        <v/>
      </c>
      <c r="K28" s="254" t="str">
        <f>IFERROR(VLOOKUP($B28&amp;K$5,'Mark Leave'!$A$1:$E$1841,5,0),"")</f>
        <v/>
      </c>
      <c r="L28" s="254" t="str">
        <f>IFERROR(VLOOKUP($B28&amp;L$5,'Mark Leave'!$A$1:$E$1841,5,0),"")</f>
        <v/>
      </c>
      <c r="M28" s="254" t="str">
        <f>IFERROR(VLOOKUP($B28&amp;M$5,'Mark Leave'!$A$1:$E$1841,5,0),"")</f>
        <v/>
      </c>
      <c r="N28" s="254" t="str">
        <f>IFERROR(VLOOKUP($B28&amp;N$5,'Mark Leave'!$A$1:$E$1841,5,0),"")</f>
        <v/>
      </c>
      <c r="O28" s="254" t="str">
        <f>IFERROR(VLOOKUP($B28&amp;O$5,'Mark Leave'!$A$1:$E$1841,5,0),"")</f>
        <v/>
      </c>
      <c r="P28" s="254" t="str">
        <f>IFERROR(VLOOKUP($B28&amp;P$5,'Mark Leave'!$A$1:$E$1841,5,0),"")</f>
        <v/>
      </c>
      <c r="Q28" s="254" t="str">
        <f>IFERROR(VLOOKUP($B28&amp;Q$5,'Mark Leave'!$A$1:$E$1841,5,0),"")</f>
        <v/>
      </c>
      <c r="R28" s="254" t="str">
        <f>IFERROR(VLOOKUP($B28&amp;R$5,'Mark Leave'!$A$1:$E$1841,5,0),"")</f>
        <v/>
      </c>
      <c r="S28" s="254" t="str">
        <f>IFERROR(VLOOKUP($B28&amp;S$5,'Mark Leave'!$A$1:$E$1841,5,0),"")</f>
        <v/>
      </c>
      <c r="T28" s="254" t="str">
        <f>IFERROR(VLOOKUP($B28&amp;T$5,'Mark Leave'!$A$1:$E$1841,5,0),"")</f>
        <v/>
      </c>
      <c r="U28" s="254" t="str">
        <f>IFERROR(VLOOKUP($B28&amp;U$5,'Mark Leave'!$A$1:$E$1841,5,0),"")</f>
        <v/>
      </c>
      <c r="V28" s="254" t="str">
        <f>IFERROR(VLOOKUP($B28&amp;V$5,'Mark Leave'!$A$1:$E$1841,5,0),"")</f>
        <v/>
      </c>
      <c r="W28" s="254" t="str">
        <f>IFERROR(VLOOKUP($B28&amp;W$5,'Mark Leave'!$A$1:$E$1841,5,0),"")</f>
        <v/>
      </c>
      <c r="X28" s="254" t="str">
        <f>IFERROR(VLOOKUP($B28&amp;X$5,'Mark Leave'!$A$1:$E$1841,5,0),"")</f>
        <v/>
      </c>
      <c r="Y28" s="254" t="str">
        <f>IFERROR(VLOOKUP($B28&amp;Y$5,'Mark Leave'!$A$1:$E$1841,5,0),"")</f>
        <v/>
      </c>
      <c r="Z28" s="254" t="str">
        <f>IFERROR(VLOOKUP($B28&amp;Z$5,'Mark Leave'!$A$1:$E$1841,5,0),"")</f>
        <v/>
      </c>
      <c r="AA28" s="254" t="str">
        <f>IFERROR(VLOOKUP($B28&amp;AA$5,'Mark Leave'!$A$1:$E$1841,5,0),"")</f>
        <v/>
      </c>
      <c r="AB28" s="254" t="str">
        <f>IFERROR(VLOOKUP($B28&amp;AB$5,'Mark Leave'!$A$1:$E$1841,5,0),"")</f>
        <v/>
      </c>
      <c r="AC28" s="254" t="str">
        <f>IFERROR(VLOOKUP($B28&amp;AC$5,'Mark Leave'!$A$1:$E$1841,5,0),"")</f>
        <v/>
      </c>
      <c r="AD28" s="254" t="str">
        <f>IFERROR(VLOOKUP($B28&amp;AD$5,'Mark Leave'!$A$1:$E$1841,5,0),"")</f>
        <v/>
      </c>
      <c r="AE28" s="254" t="str">
        <f>IFERROR(VLOOKUP($B28&amp;AE$5,'Mark Leave'!$A$1:$E$1841,5,0),"")</f>
        <v/>
      </c>
      <c r="AF28" s="254" t="str">
        <f>IFERROR(VLOOKUP($B28&amp;AF$5,'Mark Leave'!$A$1:$E$1841,5,0),"")</f>
        <v/>
      </c>
      <c r="AG28" s="254" t="str">
        <f>IFERROR(VLOOKUP($B28&amp;AG$5,'Mark Leave'!$A$1:$E$1841,5,0),"")</f>
        <v/>
      </c>
      <c r="AH28" s="254" t="str">
        <f>IFERROR(VLOOKUP($B28&amp;AH$5,'Mark Leave'!$A$1:$E$1841,5,0),"")</f>
        <v/>
      </c>
      <c r="AI28" s="255">
        <f>IF($B28&lt;&gt;"",COUNTIF($D28:$AH28,'Setting '!$H$2),"")</f>
        <v>3</v>
      </c>
      <c r="AJ28" s="255">
        <f>IF($B28&lt;&gt;"",COUNTIF($D28:$AH28,'Setting '!$H$3)/2,"")</f>
        <v>0</v>
      </c>
      <c r="AK28" s="255">
        <f>IF($B28&lt;&gt;"",COUNTIF($D28:$AH28,'Setting '!$H$4),"")</f>
        <v>0</v>
      </c>
      <c r="AL28" s="255">
        <f t="shared" si="13"/>
        <v>3</v>
      </c>
      <c r="AM28" s="256" t="str">
        <f>IF(B28&lt;&gt;"",_xlfn.IFNA(VLOOKUP(B28,'Leave Credit Sheet'!B28:K121,10,0),""),"")</f>
        <v/>
      </c>
      <c r="AN28" s="255">
        <f t="shared" si="2"/>
        <v>27</v>
      </c>
      <c r="AO28" s="247">
        <f>IF(B28&lt;&gt;"",_xlfn.IFNA(INDEX('CTC Sheet'!$C$6:$N$101,MATCH(AttendanceSheet!$B28,'CTC Sheet'!$A$6:$A$101,0),MATCH(AttendanceSheet!$T$1,'CTC Sheet'!$C$5:$N$5,0)),0),"")</f>
        <v>0</v>
      </c>
      <c r="AP28" s="247">
        <f>IF(B28&lt;&gt;"",_xlfn.IFNA(INDEX('CTC Sheet'!$R$6:$AC$100,MATCH(AttendanceSheet!$B28,'CTC Sheet'!$P$6:$P$100,0),MATCH(AttendanceSheet!$T$1,'CTC Sheet'!$R$5:$AC$5,0)),0),"")</f>
        <v>280</v>
      </c>
      <c r="AQ28" s="247">
        <f t="shared" si="3"/>
        <v>2519.748</v>
      </c>
      <c r="AR28" s="247">
        <f t="shared" si="4"/>
        <v>1259.874</v>
      </c>
      <c r="AS28" s="247">
        <f t="shared" si="5"/>
        <v>1511.8488</v>
      </c>
      <c r="AT28" s="247">
        <f t="shared" si="6"/>
        <v>1007.8992000000001</v>
      </c>
      <c r="AU28" s="247">
        <f t="shared" si="7"/>
        <v>755.92439999999999</v>
      </c>
      <c r="AV28" s="247">
        <f t="shared" si="8"/>
        <v>504.7055244</v>
      </c>
      <c r="AW28" s="247">
        <f>IF(B28&lt;&gt;"",_xlfn.IFNA(INDEX('OtherArrear payment'!$A$1:$N$95,MATCH(AttendanceSheet!$B28,'OtherArrear payment'!$A$1:$A$95,0),MATCH(AttendanceSheet!$T$1,'OtherArrear payment'!$A$1:$N$1,0)),0),"")</f>
        <v>0</v>
      </c>
      <c r="AX28" s="247">
        <f t="shared" si="14"/>
        <v>7559.9999244000001</v>
      </c>
      <c r="AY28" s="247">
        <f t="shared" si="9"/>
        <v>0</v>
      </c>
      <c r="AZ28" s="247">
        <f t="shared" si="10"/>
        <v>0</v>
      </c>
      <c r="BA28" s="247">
        <f t="shared" si="11"/>
        <v>0</v>
      </c>
      <c r="BB28" s="247">
        <f t="shared" si="12"/>
        <v>0</v>
      </c>
      <c r="BC28" s="247">
        <f>IF($B28&lt;&gt;"",IF(BL28="Yes",IF($BI28="Mr.",IF($AX28&lt;=7500,0,IF(AND($AX28&lt;10000,$AX28&gt;7501),175,IF(AND($AX28&gt;10000,'Setting '!$G$28&lt;&gt;11),200,300))),IF(AND($AX28&lt;=10000,$BI28="Ms."),0,IF(AND($AX28&gt;10000,'Setting '!$G$28&lt;&gt;11),200,300))),0),"")</f>
        <v>0</v>
      </c>
      <c r="BD28" s="248"/>
      <c r="BE28" s="249">
        <f>IF($B28&lt;&gt;"",IF('Advance Sheet'!AF25&gt;=0,INDEX('Advance Sheet'!$Q$3:$AD$100,MATCH(AttendanceSheet!$B28,'Advance Sheet'!$Q$3:$Q$100,0),MATCH(AttendanceSheet!$T$1,'Advance Sheet'!$Q$3:$AD$3,)),0),"")</f>
        <v>2000</v>
      </c>
      <c r="BF28" s="247">
        <f t="shared" si="15"/>
        <v>5559.9999244000001</v>
      </c>
      <c r="BG28" s="250" t="str">
        <f>IF(B28&lt;&gt;"",VLOOKUP(B28,'Employee Details'!A27:S110,17,0),"")</f>
        <v>No</v>
      </c>
      <c r="BH28" s="250" t="str">
        <f>IF(B28&lt;&gt;"",VLOOKUP(B28,'Employee Details'!A27:S110,18,0),"")</f>
        <v>No</v>
      </c>
      <c r="BI28" s="251" t="str">
        <f>IF(B28&lt;&gt;"",VLOOKUP(B28,'Employee Details'!A26:S109,19,0),"")</f>
        <v>Ms.</v>
      </c>
      <c r="BJ28" s="252" t="str">
        <f>IF(B28&lt;&gt;"",VLOOKUP(B28,'Employee Details'!A27:D66,4,0),"")</f>
        <v>OFFROLL</v>
      </c>
      <c r="BK28" s="252" t="str">
        <f>IF(B28&lt;&gt;"",VLOOKUP(B28,'Employee Details'!A27:E110,5,0),"")</f>
        <v>DINESH THAKARE</v>
      </c>
      <c r="BL28" s="210" t="str">
        <f>IF(B28&lt;&gt;"",VLOOKUP(B28,'Employee Details'!A27:U110,21,0),"")</f>
        <v>No</v>
      </c>
      <c r="BM28" s="104"/>
      <c r="BO28" s="104"/>
      <c r="BP28" s="104">
        <f t="shared" si="16"/>
        <v>0</v>
      </c>
    </row>
    <row r="29" spans="2:68" ht="16.5" thickTop="1" thickBot="1" x14ac:dyDescent="0.3">
      <c r="B29" s="253" t="str">
        <f>_xlfn.IFNA(INDEX('Employee Details'!$A$7:$A32,MATCH(AttendanceSheet!$C29,'Employee Details'!$B$7:$B38,0)),"")</f>
        <v>Emp_0025</v>
      </c>
      <c r="C29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'!$J$1:J23))),"")</f>
        <v>MANGESH SUTAR</v>
      </c>
      <c r="D29" s="254" t="str">
        <f>IFERROR(VLOOKUP($B29&amp;D$5,'Mark Leave'!$A$1:$E$1841,5,0),"")</f>
        <v>A</v>
      </c>
      <c r="E29" s="254" t="str">
        <f>IFERROR(VLOOKUP($B29&amp;E$5,'Mark Leave'!$A$1:$E$1841,5,0),"")</f>
        <v>A</v>
      </c>
      <c r="F29" s="254" t="str">
        <f>IFERROR(VLOOKUP($B29&amp;F$5,'Mark Leave'!$A$1:$E$1841,5,0),"")</f>
        <v>A</v>
      </c>
      <c r="G29" s="254" t="str">
        <f>IFERROR(VLOOKUP($B29&amp;G$5,'Mark Leave'!$A$1:$E$1841,5,0),"")</f>
        <v>A</v>
      </c>
      <c r="H29" s="254" t="str">
        <f>IFERROR(VLOOKUP($B29&amp;H$5,'Mark Leave'!$A$1:$E$1841,5,0),"")</f>
        <v>A</v>
      </c>
      <c r="I29" s="254" t="str">
        <f>IFERROR(VLOOKUP($B29&amp;I$5,'Mark Leave'!$A$1:$E$1841,5,0),"")</f>
        <v>A</v>
      </c>
      <c r="J29" s="254" t="str">
        <f>IFERROR(VLOOKUP($B29&amp;J$5,'Mark Leave'!$A$1:$E$1841,5,0),"")</f>
        <v>A</v>
      </c>
      <c r="K29" s="254" t="str">
        <f>IFERROR(VLOOKUP($B29&amp;K$5,'Mark Leave'!$A$1:$E$1841,5,0),"")</f>
        <v>A</v>
      </c>
      <c r="L29" s="254" t="str">
        <f>IFERROR(VLOOKUP($B29&amp;L$5,'Mark Leave'!$A$1:$E$1841,5,0),"")</f>
        <v>A</v>
      </c>
      <c r="M29" s="254" t="str">
        <f>IFERROR(VLOOKUP($B29&amp;M$5,'Mark Leave'!$A$1:$E$1841,5,0),"")</f>
        <v/>
      </c>
      <c r="N29" s="254" t="str">
        <f>IFERROR(VLOOKUP($B29&amp;N$5,'Mark Leave'!$A$1:$E$1841,5,0),"")</f>
        <v/>
      </c>
      <c r="O29" s="254" t="str">
        <f>IFERROR(VLOOKUP($B29&amp;O$5,'Mark Leave'!$A$1:$E$1841,5,0),"")</f>
        <v/>
      </c>
      <c r="P29" s="254" t="str">
        <f>IFERROR(VLOOKUP($B29&amp;P$5,'Mark Leave'!$A$1:$E$1841,5,0),"")</f>
        <v/>
      </c>
      <c r="Q29" s="254" t="str">
        <f>IFERROR(VLOOKUP($B29&amp;Q$5,'Mark Leave'!$A$1:$E$1841,5,0),"")</f>
        <v/>
      </c>
      <c r="R29" s="254" t="str">
        <f>IFERROR(VLOOKUP($B29&amp;R$5,'Mark Leave'!$A$1:$E$1841,5,0),"")</f>
        <v/>
      </c>
      <c r="S29" s="254" t="str">
        <f>IFERROR(VLOOKUP($B29&amp;S$5,'Mark Leave'!$A$1:$E$1841,5,0),"")</f>
        <v/>
      </c>
      <c r="T29" s="254" t="str">
        <f>IFERROR(VLOOKUP($B29&amp;T$5,'Mark Leave'!$A$1:$E$1841,5,0),"")</f>
        <v/>
      </c>
      <c r="U29" s="254" t="str">
        <f>IFERROR(VLOOKUP($B29&amp;U$5,'Mark Leave'!$A$1:$E$1841,5,0),"")</f>
        <v/>
      </c>
      <c r="V29" s="254" t="str">
        <f>IFERROR(VLOOKUP($B29&amp;V$5,'Mark Leave'!$A$1:$E$1841,5,0),"")</f>
        <v/>
      </c>
      <c r="W29" s="254" t="str">
        <f>IFERROR(VLOOKUP($B29&amp;W$5,'Mark Leave'!$A$1:$E$1841,5,0),"")</f>
        <v/>
      </c>
      <c r="X29" s="254" t="str">
        <f>IFERROR(VLOOKUP($B29&amp;X$5,'Mark Leave'!$A$1:$E$1841,5,0),"")</f>
        <v/>
      </c>
      <c r="Y29" s="254" t="str">
        <f>IFERROR(VLOOKUP($B29&amp;Y$5,'Mark Leave'!$A$1:$E$1841,5,0),"")</f>
        <v/>
      </c>
      <c r="Z29" s="254" t="str">
        <f>IFERROR(VLOOKUP($B29&amp;Z$5,'Mark Leave'!$A$1:$E$1841,5,0),"")</f>
        <v/>
      </c>
      <c r="AA29" s="254" t="str">
        <f>IFERROR(VLOOKUP($B29&amp;AA$5,'Mark Leave'!$A$1:$E$1841,5,0),"")</f>
        <v/>
      </c>
      <c r="AB29" s="254" t="str">
        <f>IFERROR(VLOOKUP($B29&amp;AB$5,'Mark Leave'!$A$1:$E$1841,5,0),"")</f>
        <v/>
      </c>
      <c r="AC29" s="254" t="str">
        <f>IFERROR(VLOOKUP($B29&amp;AC$5,'Mark Leave'!$A$1:$E$1841,5,0),"")</f>
        <v/>
      </c>
      <c r="AD29" s="254" t="str">
        <f>IFERROR(VLOOKUP($B29&amp;AD$5,'Mark Leave'!$A$1:$E$1841,5,0),"")</f>
        <v/>
      </c>
      <c r="AE29" s="254" t="str">
        <f>IFERROR(VLOOKUP($B29&amp;AE$5,'Mark Leave'!$A$1:$E$1841,5,0),"")</f>
        <v/>
      </c>
      <c r="AF29" s="254" t="str">
        <f>IFERROR(VLOOKUP($B29&amp;AF$5,'Mark Leave'!$A$1:$E$1841,5,0),"")</f>
        <v/>
      </c>
      <c r="AG29" s="254" t="str">
        <f>IFERROR(VLOOKUP($B29&amp;AG$5,'Mark Leave'!$A$1:$E$1841,5,0),"")</f>
        <v/>
      </c>
      <c r="AH29" s="254" t="str">
        <f>IFERROR(VLOOKUP($B29&amp;AH$5,'Mark Leave'!$A$1:$E$1841,5,0),"")</f>
        <v/>
      </c>
      <c r="AI29" s="255">
        <f>IF($B29&lt;&gt;"",COUNTIF($D29:$AH29,'Setting '!$H$2),"")</f>
        <v>9</v>
      </c>
      <c r="AJ29" s="255">
        <f>IF($B29&lt;&gt;"",COUNTIF($D29:$AH29,'Setting '!$H$3)/2,"")</f>
        <v>0</v>
      </c>
      <c r="AK29" s="255">
        <f>IF($B29&lt;&gt;"",COUNTIF($D29:$AH29,'Setting '!$H$4),"")</f>
        <v>0</v>
      </c>
      <c r="AL29" s="255">
        <f t="shared" si="13"/>
        <v>9</v>
      </c>
      <c r="AM29" s="256" t="str">
        <f>IF(B29&lt;&gt;"",_xlfn.IFNA(VLOOKUP(B29,'Leave Credit Sheet'!B29:K122,10,0),""),"")</f>
        <v/>
      </c>
      <c r="AN29" s="255">
        <f t="shared" si="2"/>
        <v>21</v>
      </c>
      <c r="AO29" s="247">
        <f>IF(B29&lt;&gt;"",_xlfn.IFNA(INDEX('CTC Sheet'!$C$6:$N$101,MATCH(AttendanceSheet!$B29,'CTC Sheet'!$A$6:$A$101,0),MATCH(AttendanceSheet!$T$1,'CTC Sheet'!$C$5:$N$5,0)),0),"")</f>
        <v>0</v>
      </c>
      <c r="AP29" s="247">
        <f>IF(B29&lt;&gt;"",_xlfn.IFNA(INDEX('CTC Sheet'!$R$6:$AC$100,MATCH(AttendanceSheet!$B29,'CTC Sheet'!$P$6:$P$100,0),MATCH(AttendanceSheet!$T$1,'CTC Sheet'!$R$5:$AC$5,0)),0),"")</f>
        <v>355</v>
      </c>
      <c r="AQ29" s="247">
        <f t="shared" si="3"/>
        <v>2484.7514999999999</v>
      </c>
      <c r="AR29" s="247">
        <f t="shared" si="4"/>
        <v>1242.3757499999999</v>
      </c>
      <c r="AS29" s="247">
        <f t="shared" si="5"/>
        <v>1490.8508999999999</v>
      </c>
      <c r="AT29" s="247">
        <f t="shared" si="6"/>
        <v>993.90059999999994</v>
      </c>
      <c r="AU29" s="247">
        <f t="shared" si="7"/>
        <v>745.42544999999996</v>
      </c>
      <c r="AV29" s="247">
        <f t="shared" si="8"/>
        <v>497.69572545</v>
      </c>
      <c r="AW29" s="247">
        <f>IF(B29&lt;&gt;"",_xlfn.IFNA(INDEX('OtherArrear payment'!$A$1:$N$95,MATCH(AttendanceSheet!$B29,'OtherArrear payment'!$A$1:$A$95,0),MATCH(AttendanceSheet!$T$1,'OtherArrear payment'!$A$1:$N$1,0)),0),"")</f>
        <v>0</v>
      </c>
      <c r="AX29" s="247">
        <f t="shared" si="14"/>
        <v>7454.999925449999</v>
      </c>
      <c r="AY29" s="247">
        <f t="shared" si="9"/>
        <v>0</v>
      </c>
      <c r="AZ29" s="247">
        <f t="shared" si="10"/>
        <v>0</v>
      </c>
      <c r="BA29" s="247">
        <f t="shared" si="11"/>
        <v>0</v>
      </c>
      <c r="BB29" s="247">
        <f t="shared" si="12"/>
        <v>0</v>
      </c>
      <c r="BC29" s="247">
        <f>IF($B29&lt;&gt;"",IF(BL29="Yes",IF($BI29="Mr.",IF($AX29&lt;=7500,0,IF(AND($AX29&lt;10000,$AX29&gt;7501),175,IF(AND($AX29&gt;10000,'Setting '!$G$28&lt;&gt;11),200,300))),IF(AND($AX29&lt;=10000,$BI29="Ms."),0,IF(AND($AX29&gt;10000,'Setting '!$G$28&lt;&gt;11),200,300))),0),"")</f>
        <v>0</v>
      </c>
      <c r="BD29" s="248"/>
      <c r="BE29" s="249">
        <f>IF($B29&lt;&gt;"",IF('Advance Sheet'!AF26&gt;=0,INDEX('Advance Sheet'!$Q$3:$AD$100,MATCH(AttendanceSheet!$B29,'Advance Sheet'!$Q$3:$Q$100,0),MATCH(AttendanceSheet!$T$1,'Advance Sheet'!$Q$3:$AD$3,)),0),"")</f>
        <v>0</v>
      </c>
      <c r="BF29" s="247">
        <f t="shared" si="15"/>
        <v>7454.999925449999</v>
      </c>
      <c r="BG29" s="250" t="str">
        <f>IF(B29&lt;&gt;"",VLOOKUP(B29,'Employee Details'!A28:S111,17,0),"")</f>
        <v>No</v>
      </c>
      <c r="BH29" s="250" t="str">
        <f>IF(B29&lt;&gt;"",VLOOKUP(B29,'Employee Details'!A28:S111,18,0),"")</f>
        <v>No</v>
      </c>
      <c r="BI29" s="251" t="str">
        <f>IF(B29&lt;&gt;"",VLOOKUP(B29,'Employee Details'!A27:S110,19,0),"")</f>
        <v>Mr.</v>
      </c>
      <c r="BJ29" s="252" t="str">
        <f>IF(B29&lt;&gt;"",VLOOKUP(B29,'Employee Details'!A28:D67,4,0),"")</f>
        <v>OFFROLL</v>
      </c>
      <c r="BK29" s="252" t="str">
        <f>IF(B29&lt;&gt;"",VLOOKUP(B29,'Employee Details'!A28:E111,5,0),"")</f>
        <v>DINESH THAKARE</v>
      </c>
      <c r="BL29" s="210" t="str">
        <f>IF(B29&lt;&gt;"",VLOOKUP(B29,'Employee Details'!A28:U111,21,0),"")</f>
        <v>No</v>
      </c>
      <c r="BM29" s="104"/>
      <c r="BO29" s="104"/>
      <c r="BP29" s="104">
        <f t="shared" si="16"/>
        <v>0</v>
      </c>
    </row>
    <row r="30" spans="2:68" ht="16.5" thickTop="1" thickBot="1" x14ac:dyDescent="0.3">
      <c r="B30" s="253" t="str">
        <f>_xlfn.IFNA(INDEX('Employee Details'!$A$7:$A33,MATCH(AttendanceSheet!$C30,'Employee Details'!$B$7:$B39,0)),"")</f>
        <v>Emp_0026</v>
      </c>
      <c r="C30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'!$J$1:J24))),"")</f>
        <v>NARESH LAHANGE</v>
      </c>
      <c r="D30" s="254" t="str">
        <f>IFERROR(VLOOKUP($B30&amp;D$5,'Mark Leave'!$A$1:$E$1841,5,0),"")</f>
        <v>A</v>
      </c>
      <c r="E30" s="254" t="str">
        <f>IFERROR(VLOOKUP($B30&amp;E$5,'Mark Leave'!$A$1:$E$1841,5,0),"")</f>
        <v>A</v>
      </c>
      <c r="F30" s="254" t="str">
        <f>IFERROR(VLOOKUP($B30&amp;F$5,'Mark Leave'!$A$1:$E$1841,5,0),"")</f>
        <v>A</v>
      </c>
      <c r="G30" s="254" t="str">
        <f>IFERROR(VLOOKUP($B30&amp;G$5,'Mark Leave'!$A$1:$E$1841,5,0),"")</f>
        <v>A</v>
      </c>
      <c r="H30" s="254" t="str">
        <f>IFERROR(VLOOKUP($B30&amp;H$5,'Mark Leave'!$A$1:$E$1841,5,0),"")</f>
        <v>A</v>
      </c>
      <c r="I30" s="254" t="str">
        <f>IFERROR(VLOOKUP($B30&amp;I$5,'Mark Leave'!$A$1:$E$1841,5,0),"")</f>
        <v>A</v>
      </c>
      <c r="J30" s="254" t="str">
        <f>IFERROR(VLOOKUP($B30&amp;J$5,'Mark Leave'!$A$1:$E$1841,5,0),"")</f>
        <v>A</v>
      </c>
      <c r="K30" s="254" t="str">
        <f>IFERROR(VLOOKUP($B30&amp;K$5,'Mark Leave'!$A$1:$E$1841,5,0),"")</f>
        <v>A</v>
      </c>
      <c r="L30" s="254" t="str">
        <f>IFERROR(VLOOKUP($B30&amp;L$5,'Mark Leave'!$A$1:$E$1841,5,0),"")</f>
        <v/>
      </c>
      <c r="M30" s="254" t="str">
        <f>IFERROR(VLOOKUP($B30&amp;M$5,'Mark Leave'!$A$1:$E$1841,5,0),"")</f>
        <v/>
      </c>
      <c r="N30" s="254" t="str">
        <f>IFERROR(VLOOKUP($B30&amp;N$5,'Mark Leave'!$A$1:$E$1841,5,0),"")</f>
        <v/>
      </c>
      <c r="O30" s="254" t="str">
        <f>IFERROR(VLOOKUP($B30&amp;O$5,'Mark Leave'!$A$1:$E$1841,5,0),"")</f>
        <v/>
      </c>
      <c r="P30" s="254" t="str">
        <f>IFERROR(VLOOKUP($B30&amp;P$5,'Mark Leave'!$A$1:$E$1841,5,0),"")</f>
        <v/>
      </c>
      <c r="Q30" s="254" t="str">
        <f>IFERROR(VLOOKUP($B30&amp;Q$5,'Mark Leave'!$A$1:$E$1841,5,0),"")</f>
        <v/>
      </c>
      <c r="R30" s="254" t="str">
        <f>IFERROR(VLOOKUP($B30&amp;R$5,'Mark Leave'!$A$1:$E$1841,5,0),"")</f>
        <v/>
      </c>
      <c r="S30" s="254" t="str">
        <f>IFERROR(VLOOKUP($B30&amp;S$5,'Mark Leave'!$A$1:$E$1841,5,0),"")</f>
        <v/>
      </c>
      <c r="T30" s="254" t="str">
        <f>IFERROR(VLOOKUP($B30&amp;T$5,'Mark Leave'!$A$1:$E$1841,5,0),"")</f>
        <v/>
      </c>
      <c r="U30" s="254" t="str">
        <f>IFERROR(VLOOKUP($B30&amp;U$5,'Mark Leave'!$A$1:$E$1841,5,0),"")</f>
        <v/>
      </c>
      <c r="V30" s="254" t="str">
        <f>IFERROR(VLOOKUP($B30&amp;V$5,'Mark Leave'!$A$1:$E$1841,5,0),"")</f>
        <v/>
      </c>
      <c r="W30" s="254" t="str">
        <f>IFERROR(VLOOKUP($B30&amp;W$5,'Mark Leave'!$A$1:$E$1841,5,0),"")</f>
        <v/>
      </c>
      <c r="X30" s="254" t="str">
        <f>IFERROR(VLOOKUP($B30&amp;X$5,'Mark Leave'!$A$1:$E$1841,5,0),"")</f>
        <v/>
      </c>
      <c r="Y30" s="254" t="str">
        <f>IFERROR(VLOOKUP($B30&amp;Y$5,'Mark Leave'!$A$1:$E$1841,5,0),"")</f>
        <v/>
      </c>
      <c r="Z30" s="254" t="str">
        <f>IFERROR(VLOOKUP($B30&amp;Z$5,'Mark Leave'!$A$1:$E$1841,5,0),"")</f>
        <v/>
      </c>
      <c r="AA30" s="254" t="str">
        <f>IFERROR(VLOOKUP($B30&amp;AA$5,'Mark Leave'!$A$1:$E$1841,5,0),"")</f>
        <v/>
      </c>
      <c r="AB30" s="254" t="str">
        <f>IFERROR(VLOOKUP($B30&amp;AB$5,'Mark Leave'!$A$1:$E$1841,5,0),"")</f>
        <v/>
      </c>
      <c r="AC30" s="254" t="str">
        <f>IFERROR(VLOOKUP($B30&amp;AC$5,'Mark Leave'!$A$1:$E$1841,5,0),"")</f>
        <v/>
      </c>
      <c r="AD30" s="254" t="str">
        <f>IFERROR(VLOOKUP($B30&amp;AD$5,'Mark Leave'!$A$1:$E$1841,5,0),"")</f>
        <v/>
      </c>
      <c r="AE30" s="254" t="str">
        <f>IFERROR(VLOOKUP($B30&amp;AE$5,'Mark Leave'!$A$1:$E$1841,5,0),"")</f>
        <v/>
      </c>
      <c r="AF30" s="254" t="str">
        <f>IFERROR(VLOOKUP($B30&amp;AF$5,'Mark Leave'!$A$1:$E$1841,5,0),"")</f>
        <v/>
      </c>
      <c r="AG30" s="254" t="str">
        <f>IFERROR(VLOOKUP($B30&amp;AG$5,'Mark Leave'!$A$1:$E$1841,5,0),"")</f>
        <v/>
      </c>
      <c r="AH30" s="254" t="str">
        <f>IFERROR(VLOOKUP($B30&amp;AH$5,'Mark Leave'!$A$1:$E$1841,5,0),"")</f>
        <v/>
      </c>
      <c r="AI30" s="255">
        <f>IF($B30&lt;&gt;"",COUNTIF($D30:$AH30,'Setting '!$H$2),"")</f>
        <v>8</v>
      </c>
      <c r="AJ30" s="255">
        <f>IF($B30&lt;&gt;"",COUNTIF($D30:$AH30,'Setting '!$H$3)/2,"")</f>
        <v>0</v>
      </c>
      <c r="AK30" s="255">
        <f>IF($B30&lt;&gt;"",COUNTIF($D30:$AH30,'Setting '!$H$4),"")</f>
        <v>0</v>
      </c>
      <c r="AL30" s="255">
        <f t="shared" si="13"/>
        <v>8</v>
      </c>
      <c r="AM30" s="256" t="str">
        <f>IF(B30&lt;&gt;"",_xlfn.IFNA(VLOOKUP(B30,'Leave Credit Sheet'!B30:K123,10,0),""),"")</f>
        <v/>
      </c>
      <c r="AN30" s="255">
        <f t="shared" si="2"/>
        <v>22</v>
      </c>
      <c r="AO30" s="247">
        <f>IF(B30&lt;&gt;"",_xlfn.IFNA(INDEX('CTC Sheet'!$C$6:$N$101,MATCH(AttendanceSheet!$B30,'CTC Sheet'!$A$6:$A$101,0),MATCH(AttendanceSheet!$T$1,'CTC Sheet'!$C$5:$N$5,0)),0),"")</f>
        <v>0</v>
      </c>
      <c r="AP30" s="247">
        <f>IF(B30&lt;&gt;"",_xlfn.IFNA(INDEX('CTC Sheet'!$R$6:$AC$100,MATCH(AttendanceSheet!$B30,'CTC Sheet'!$P$6:$P$100,0),MATCH(AttendanceSheet!$T$1,'CTC Sheet'!$R$5:$AC$5,0)),0),"")</f>
        <v>357.69230769230768</v>
      </c>
      <c r="AQ30" s="247">
        <f t="shared" si="3"/>
        <v>2622.8146153846151</v>
      </c>
      <c r="AR30" s="247">
        <f t="shared" si="4"/>
        <v>1311.4073076923075</v>
      </c>
      <c r="AS30" s="247">
        <f t="shared" si="5"/>
        <v>1573.6887692307689</v>
      </c>
      <c r="AT30" s="247">
        <f t="shared" si="6"/>
        <v>1049.1258461538462</v>
      </c>
      <c r="AU30" s="247">
        <f t="shared" si="7"/>
        <v>786.84438461538446</v>
      </c>
      <c r="AV30" s="247">
        <f t="shared" si="8"/>
        <v>525.34976746153836</v>
      </c>
      <c r="AW30" s="247">
        <f>IF(B30&lt;&gt;"",_xlfn.IFNA(INDEX('OtherArrear payment'!$A$1:$N$95,MATCH(AttendanceSheet!$B30,'OtherArrear payment'!$A$1:$A$95,0),MATCH(AttendanceSheet!$T$1,'OtherArrear payment'!$A$1:$N$1,0)),0),"")</f>
        <v>60</v>
      </c>
      <c r="AX30" s="247">
        <f t="shared" si="14"/>
        <v>7869.2306905384603</v>
      </c>
      <c r="AY30" s="247">
        <f t="shared" si="9"/>
        <v>0</v>
      </c>
      <c r="AZ30" s="247">
        <f t="shared" si="10"/>
        <v>0</v>
      </c>
      <c r="BA30" s="247">
        <f t="shared" si="11"/>
        <v>0</v>
      </c>
      <c r="BB30" s="247">
        <f t="shared" si="12"/>
        <v>0</v>
      </c>
      <c r="BC30" s="247">
        <f>IF($B30&lt;&gt;"",IF(BL30="Yes",IF($BI30="Mr.",IF($AX30&lt;=7500,0,IF(AND($AX30&lt;10000,$AX30&gt;7501),175,IF(AND($AX30&gt;10000,'Setting '!$G$28&lt;&gt;11),200,300))),IF(AND($AX30&lt;=10000,$BI30="Ms."),0,IF(AND($AX30&gt;10000,'Setting '!$G$28&lt;&gt;11),200,300))),0),"")</f>
        <v>0</v>
      </c>
      <c r="BD30" s="248"/>
      <c r="BE30" s="249">
        <f>IF($B30&lt;&gt;"",IF('Advance Sheet'!AF27&gt;=0,INDEX('Advance Sheet'!$Q$3:$AD$100,MATCH(AttendanceSheet!$B30,'Advance Sheet'!$Q$3:$Q$100,0),MATCH(AttendanceSheet!$T$1,'Advance Sheet'!$Q$3:$AD$3,)),0),"")</f>
        <v>1000</v>
      </c>
      <c r="BF30" s="247">
        <f t="shared" si="15"/>
        <v>6929.2306905384603</v>
      </c>
      <c r="BG30" s="250" t="str">
        <f>IF(B30&lt;&gt;"",VLOOKUP(B30,'Employee Details'!A29:S112,17,0),"")</f>
        <v>No</v>
      </c>
      <c r="BH30" s="250" t="str">
        <f>IF(B30&lt;&gt;"",VLOOKUP(B30,'Employee Details'!A29:S112,18,0),"")</f>
        <v>No</v>
      </c>
      <c r="BI30" s="251" t="str">
        <f>IF(B30&lt;&gt;"",VLOOKUP(B30,'Employee Details'!A28:S111,19,0),"")</f>
        <v>Mr.</v>
      </c>
      <c r="BJ30" s="252" t="str">
        <f>IF(B30&lt;&gt;"",VLOOKUP(B30,'Employee Details'!A29:D68,4,0),"")</f>
        <v>OFFROLL</v>
      </c>
      <c r="BK30" s="252" t="str">
        <f>IF(B30&lt;&gt;"",VLOOKUP(B30,'Employee Details'!A29:E112,5,0),"")</f>
        <v>DINESH THAKARE</v>
      </c>
      <c r="BL30" s="210" t="str">
        <f>IF(B30&lt;&gt;"",VLOOKUP(B30,'Employee Details'!A29:U112,21,0),"")</f>
        <v>No</v>
      </c>
      <c r="BM30" s="104"/>
      <c r="BO30" s="104"/>
      <c r="BP30" s="104">
        <f t="shared" si="16"/>
        <v>0</v>
      </c>
    </row>
    <row r="31" spans="2:68" ht="16.5" thickTop="1" thickBot="1" x14ac:dyDescent="0.3">
      <c r="B31" s="253" t="str">
        <f>_xlfn.IFNA(INDEX('Employee Details'!$A$7:$A34,MATCH(AttendanceSheet!$C31,'Employee Details'!$B$7:$B40,0)),"")</f>
        <v>Emp_0027</v>
      </c>
      <c r="C31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'!$J$1:J25))),"")</f>
        <v>PRADIP LAHANGE</v>
      </c>
      <c r="D31" s="254" t="str">
        <f>IFERROR(VLOOKUP($B31&amp;D$5,'Mark Leave'!$A$1:$E$1841,5,0),"")</f>
        <v>A</v>
      </c>
      <c r="E31" s="254" t="str">
        <f>IFERROR(VLOOKUP($B31&amp;E$5,'Mark Leave'!$A$1:$E$1841,5,0),"")</f>
        <v>A</v>
      </c>
      <c r="F31" s="254" t="str">
        <f>IFERROR(VLOOKUP($B31&amp;F$5,'Mark Leave'!$A$1:$E$1841,5,0),"")</f>
        <v>A</v>
      </c>
      <c r="G31" s="254" t="str">
        <f>IFERROR(VLOOKUP($B31&amp;G$5,'Mark Leave'!$A$1:$E$1841,5,0),"")</f>
        <v>A</v>
      </c>
      <c r="H31" s="254" t="str">
        <f>IFERROR(VLOOKUP($B31&amp;H$5,'Mark Leave'!$A$1:$E$1841,5,0),"")</f>
        <v>A</v>
      </c>
      <c r="I31" s="254" t="str">
        <f>IFERROR(VLOOKUP($B31&amp;I$5,'Mark Leave'!$A$1:$E$1841,5,0),"")</f>
        <v>A</v>
      </c>
      <c r="J31" s="254" t="str">
        <f>IFERROR(VLOOKUP($B31&amp;J$5,'Mark Leave'!$A$1:$E$1841,5,0),"")</f>
        <v>A</v>
      </c>
      <c r="K31" s="254" t="str">
        <f>IFERROR(VLOOKUP($B31&amp;K$5,'Mark Leave'!$A$1:$E$1841,5,0),"")</f>
        <v>A</v>
      </c>
      <c r="L31" s="254" t="str">
        <f>IFERROR(VLOOKUP($B31&amp;L$5,'Mark Leave'!$A$1:$E$1841,5,0),"")</f>
        <v/>
      </c>
      <c r="M31" s="254" t="str">
        <f>IFERROR(VLOOKUP($B31&amp;M$5,'Mark Leave'!$A$1:$E$1841,5,0),"")</f>
        <v/>
      </c>
      <c r="N31" s="254" t="str">
        <f>IFERROR(VLOOKUP($B31&amp;N$5,'Mark Leave'!$A$1:$E$1841,5,0),"")</f>
        <v/>
      </c>
      <c r="O31" s="254" t="str">
        <f>IFERROR(VLOOKUP($B31&amp;O$5,'Mark Leave'!$A$1:$E$1841,5,0),"")</f>
        <v/>
      </c>
      <c r="P31" s="254" t="str">
        <f>IFERROR(VLOOKUP($B31&amp;P$5,'Mark Leave'!$A$1:$E$1841,5,0),"")</f>
        <v/>
      </c>
      <c r="Q31" s="254" t="str">
        <f>IFERROR(VLOOKUP($B31&amp;Q$5,'Mark Leave'!$A$1:$E$1841,5,0),"")</f>
        <v/>
      </c>
      <c r="R31" s="254" t="str">
        <f>IFERROR(VLOOKUP($B31&amp;R$5,'Mark Leave'!$A$1:$E$1841,5,0),"")</f>
        <v/>
      </c>
      <c r="S31" s="254" t="str">
        <f>IFERROR(VLOOKUP($B31&amp;S$5,'Mark Leave'!$A$1:$E$1841,5,0),"")</f>
        <v/>
      </c>
      <c r="T31" s="254" t="str">
        <f>IFERROR(VLOOKUP($B31&amp;T$5,'Mark Leave'!$A$1:$E$1841,5,0),"")</f>
        <v/>
      </c>
      <c r="U31" s="254" t="str">
        <f>IFERROR(VLOOKUP($B31&amp;U$5,'Mark Leave'!$A$1:$E$1841,5,0),"")</f>
        <v/>
      </c>
      <c r="V31" s="254" t="str">
        <f>IFERROR(VLOOKUP($B31&amp;V$5,'Mark Leave'!$A$1:$E$1841,5,0),"")</f>
        <v/>
      </c>
      <c r="W31" s="254" t="str">
        <f>IFERROR(VLOOKUP($B31&amp;W$5,'Mark Leave'!$A$1:$E$1841,5,0),"")</f>
        <v/>
      </c>
      <c r="X31" s="254" t="str">
        <f>IFERROR(VLOOKUP($B31&amp;X$5,'Mark Leave'!$A$1:$E$1841,5,0),"")</f>
        <v/>
      </c>
      <c r="Y31" s="254" t="str">
        <f>IFERROR(VLOOKUP($B31&amp;Y$5,'Mark Leave'!$A$1:$E$1841,5,0),"")</f>
        <v/>
      </c>
      <c r="Z31" s="254" t="str">
        <f>IFERROR(VLOOKUP($B31&amp;Z$5,'Mark Leave'!$A$1:$E$1841,5,0),"")</f>
        <v/>
      </c>
      <c r="AA31" s="254" t="str">
        <f>IFERROR(VLOOKUP($B31&amp;AA$5,'Mark Leave'!$A$1:$E$1841,5,0),"")</f>
        <v/>
      </c>
      <c r="AB31" s="254" t="str">
        <f>IFERROR(VLOOKUP($B31&amp;AB$5,'Mark Leave'!$A$1:$E$1841,5,0),"")</f>
        <v/>
      </c>
      <c r="AC31" s="254" t="str">
        <f>IFERROR(VLOOKUP($B31&amp;AC$5,'Mark Leave'!$A$1:$E$1841,5,0),"")</f>
        <v/>
      </c>
      <c r="AD31" s="254" t="str">
        <f>IFERROR(VLOOKUP($B31&amp;AD$5,'Mark Leave'!$A$1:$E$1841,5,0),"")</f>
        <v/>
      </c>
      <c r="AE31" s="254" t="str">
        <f>IFERROR(VLOOKUP($B31&amp;AE$5,'Mark Leave'!$A$1:$E$1841,5,0),"")</f>
        <v/>
      </c>
      <c r="AF31" s="254" t="str">
        <f>IFERROR(VLOOKUP($B31&amp;AF$5,'Mark Leave'!$A$1:$E$1841,5,0),"")</f>
        <v/>
      </c>
      <c r="AG31" s="254" t="str">
        <f>IFERROR(VLOOKUP($B31&amp;AG$5,'Mark Leave'!$A$1:$E$1841,5,0),"")</f>
        <v/>
      </c>
      <c r="AH31" s="254" t="str">
        <f>IFERROR(VLOOKUP($B31&amp;AH$5,'Mark Leave'!$A$1:$E$1841,5,0),"")</f>
        <v/>
      </c>
      <c r="AI31" s="255">
        <f>IF($B31&lt;&gt;"",COUNTIF($D31:$AH31,'Setting '!$H$2),"")</f>
        <v>8</v>
      </c>
      <c r="AJ31" s="255">
        <f>IF($B31&lt;&gt;"",COUNTIF($D31:$AH31,'Setting '!$H$3)/2,"")</f>
        <v>0</v>
      </c>
      <c r="AK31" s="255">
        <f>IF($B31&lt;&gt;"",COUNTIF($D31:$AH31,'Setting '!$H$4),"")</f>
        <v>0</v>
      </c>
      <c r="AL31" s="255">
        <f t="shared" si="13"/>
        <v>8</v>
      </c>
      <c r="AM31" s="256" t="str">
        <f>IF(B31&lt;&gt;"",_xlfn.IFNA(VLOOKUP(B31,'Leave Credit Sheet'!B31:K124,10,0),""),"")</f>
        <v/>
      </c>
      <c r="AN31" s="255">
        <f t="shared" si="2"/>
        <v>22</v>
      </c>
      <c r="AO31" s="247">
        <f>IF(B31&lt;&gt;"",_xlfn.IFNA(INDEX('CTC Sheet'!$C$6:$N$101,MATCH(AttendanceSheet!$B31,'CTC Sheet'!$A$6:$A$101,0),MATCH(AttendanceSheet!$T$1,'CTC Sheet'!$C$5:$N$5,0)),0),"")</f>
        <v>0</v>
      </c>
      <c r="AP31" s="247">
        <f>IF(B31&lt;&gt;"",_xlfn.IFNA(INDEX('CTC Sheet'!$R$6:$AC$100,MATCH(AttendanceSheet!$B31,'CTC Sheet'!$P$6:$P$100,0),MATCH(AttendanceSheet!$T$1,'CTC Sheet'!$R$5:$AC$5,0)),0),"")</f>
        <v>369.23076923076923</v>
      </c>
      <c r="AQ31" s="247">
        <f t="shared" si="3"/>
        <v>2707.4215384615381</v>
      </c>
      <c r="AR31" s="247">
        <f t="shared" si="4"/>
        <v>1353.7107692307691</v>
      </c>
      <c r="AS31" s="247">
        <f t="shared" si="5"/>
        <v>1624.4529230769228</v>
      </c>
      <c r="AT31" s="247">
        <f t="shared" si="6"/>
        <v>1082.9686153846153</v>
      </c>
      <c r="AU31" s="247">
        <f t="shared" si="7"/>
        <v>812.22646153846142</v>
      </c>
      <c r="AV31" s="247">
        <f t="shared" si="8"/>
        <v>542.2965341538461</v>
      </c>
      <c r="AW31" s="247">
        <f>IF(B31&lt;&gt;"",_xlfn.IFNA(INDEX('OtherArrear payment'!$A$1:$N$95,MATCH(AttendanceSheet!$B31,'OtherArrear payment'!$A$1:$A$95,0),MATCH(AttendanceSheet!$T$1,'OtherArrear payment'!$A$1:$N$1,0)),0),"")</f>
        <v>500</v>
      </c>
      <c r="AX31" s="247">
        <f t="shared" si="14"/>
        <v>8123.0768418461521</v>
      </c>
      <c r="AY31" s="247">
        <f t="shared" si="9"/>
        <v>0</v>
      </c>
      <c r="AZ31" s="247">
        <f t="shared" si="10"/>
        <v>0</v>
      </c>
      <c r="BA31" s="247">
        <f t="shared" si="11"/>
        <v>0</v>
      </c>
      <c r="BB31" s="247">
        <f t="shared" si="12"/>
        <v>0</v>
      </c>
      <c r="BC31" s="247">
        <f>IF($B31&lt;&gt;"",IF(BL31="Yes",IF($BI31="Mr.",IF($AX31&lt;=7500,0,IF(AND($AX31&lt;10000,$AX31&gt;7501),175,IF(AND($AX31&gt;10000,'Setting '!$G$28&lt;&gt;11),200,300))),IF(AND($AX31&lt;=10000,$BI31="Ms."),0,IF(AND($AX31&gt;10000,'Setting '!$G$28&lt;&gt;11),200,300))),0),"")</f>
        <v>0</v>
      </c>
      <c r="BD31" s="248"/>
      <c r="BE31" s="249">
        <f>IF($B31&lt;&gt;"",IF('Advance Sheet'!AF28&gt;=0,INDEX('Advance Sheet'!$Q$3:$AD$100,MATCH(AttendanceSheet!$B31,'Advance Sheet'!$Q$3:$Q$100,0),MATCH(AttendanceSheet!$T$1,'Advance Sheet'!$Q$3:$AD$3,)),0),"")</f>
        <v>0</v>
      </c>
      <c r="BF31" s="247">
        <f t="shared" si="15"/>
        <v>8623.0768418461521</v>
      </c>
      <c r="BG31" s="250" t="str">
        <f>IF(B31&lt;&gt;"",VLOOKUP(B31,'Employee Details'!A30:S113,17,0),"")</f>
        <v>No</v>
      </c>
      <c r="BH31" s="250" t="str">
        <f>IF(B31&lt;&gt;"",VLOOKUP(B31,'Employee Details'!A30:S113,18,0),"")</f>
        <v>No</v>
      </c>
      <c r="BI31" s="251" t="str">
        <f>IF(B31&lt;&gt;"",VLOOKUP(B31,'Employee Details'!A29:S112,19,0),"")</f>
        <v>Mr.</v>
      </c>
      <c r="BJ31" s="252" t="str">
        <f>IF(B31&lt;&gt;"",VLOOKUP(B31,'Employee Details'!A30:D69,4,0),"")</f>
        <v>OFFROLL</v>
      </c>
      <c r="BK31" s="252" t="str">
        <f>IF(B31&lt;&gt;"",VLOOKUP(B31,'Employee Details'!A30:E113,5,0),"")</f>
        <v>DINESH THAKARE</v>
      </c>
      <c r="BL31" s="210" t="str">
        <f>IF(B31&lt;&gt;"",VLOOKUP(B31,'Employee Details'!A30:U113,21,0),"")</f>
        <v>No</v>
      </c>
      <c r="BM31" s="104"/>
      <c r="BO31" s="104"/>
      <c r="BP31" s="104">
        <f t="shared" si="16"/>
        <v>0</v>
      </c>
    </row>
    <row r="32" spans="2:68" ht="16.5" thickTop="1" thickBot="1" x14ac:dyDescent="0.3">
      <c r="B32" s="253" t="str">
        <f>_xlfn.IFNA(INDEX('Employee Details'!$A$7:$A35,MATCH(AttendanceSheet!$C32,'Employee Details'!$B$7:$B41,0)),"")</f>
        <v>Emp_0028</v>
      </c>
      <c r="C32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'!$J$1:J26))),"")</f>
        <v>RAMESH LAHANGE</v>
      </c>
      <c r="D32" s="254" t="str">
        <f>IFERROR(VLOOKUP($B32&amp;D$5,'Mark Leave'!$A$1:$E$1841,5,0),"")</f>
        <v>A</v>
      </c>
      <c r="E32" s="254" t="str">
        <f>IFERROR(VLOOKUP($B32&amp;E$5,'Mark Leave'!$A$1:$E$1841,5,0),"")</f>
        <v>A</v>
      </c>
      <c r="F32" s="254" t="str">
        <f>IFERROR(VLOOKUP($B32&amp;F$5,'Mark Leave'!$A$1:$E$1841,5,0),"")</f>
        <v>A</v>
      </c>
      <c r="G32" s="254" t="str">
        <f>IFERROR(VLOOKUP($B32&amp;G$5,'Mark Leave'!$A$1:$E$1841,5,0),"")</f>
        <v>A</v>
      </c>
      <c r="H32" s="254" t="str">
        <f>IFERROR(VLOOKUP($B32&amp;H$5,'Mark Leave'!$A$1:$E$1841,5,0),"")</f>
        <v>A</v>
      </c>
      <c r="I32" s="254" t="str">
        <f>IFERROR(VLOOKUP($B32&amp;I$5,'Mark Leave'!$A$1:$E$1841,5,0),"")</f>
        <v>A</v>
      </c>
      <c r="J32" s="254" t="str">
        <f>IFERROR(VLOOKUP($B32&amp;J$5,'Mark Leave'!$A$1:$E$1841,5,0),"")</f>
        <v>A</v>
      </c>
      <c r="K32" s="254" t="str">
        <f>IFERROR(VLOOKUP($B32&amp;K$5,'Mark Leave'!$A$1:$E$1841,5,0),"")</f>
        <v/>
      </c>
      <c r="L32" s="254" t="str">
        <f>IFERROR(VLOOKUP($B32&amp;L$5,'Mark Leave'!$A$1:$E$1841,5,0),"")</f>
        <v/>
      </c>
      <c r="M32" s="254" t="str">
        <f>IFERROR(VLOOKUP($B32&amp;M$5,'Mark Leave'!$A$1:$E$1841,5,0),"")</f>
        <v/>
      </c>
      <c r="N32" s="254" t="str">
        <f>IFERROR(VLOOKUP($B32&amp;N$5,'Mark Leave'!$A$1:$E$1841,5,0),"")</f>
        <v/>
      </c>
      <c r="O32" s="254" t="str">
        <f>IFERROR(VLOOKUP($B32&amp;O$5,'Mark Leave'!$A$1:$E$1841,5,0),"")</f>
        <v/>
      </c>
      <c r="P32" s="254" t="str">
        <f>IFERROR(VLOOKUP($B32&amp;P$5,'Mark Leave'!$A$1:$E$1841,5,0),"")</f>
        <v/>
      </c>
      <c r="Q32" s="254" t="str">
        <f>IFERROR(VLOOKUP($B32&amp;Q$5,'Mark Leave'!$A$1:$E$1841,5,0),"")</f>
        <v/>
      </c>
      <c r="R32" s="254" t="str">
        <f>IFERROR(VLOOKUP($B32&amp;R$5,'Mark Leave'!$A$1:$E$1841,5,0),"")</f>
        <v/>
      </c>
      <c r="S32" s="254" t="str">
        <f>IFERROR(VLOOKUP($B32&amp;S$5,'Mark Leave'!$A$1:$E$1841,5,0),"")</f>
        <v/>
      </c>
      <c r="T32" s="254" t="str">
        <f>IFERROR(VLOOKUP($B32&amp;T$5,'Mark Leave'!$A$1:$E$1841,5,0),"")</f>
        <v/>
      </c>
      <c r="U32" s="254" t="str">
        <f>IFERROR(VLOOKUP($B32&amp;U$5,'Mark Leave'!$A$1:$E$1841,5,0),"")</f>
        <v/>
      </c>
      <c r="V32" s="254" t="str">
        <f>IFERROR(VLOOKUP($B32&amp;V$5,'Mark Leave'!$A$1:$E$1841,5,0),"")</f>
        <v/>
      </c>
      <c r="W32" s="254" t="str">
        <f>IFERROR(VLOOKUP($B32&amp;W$5,'Mark Leave'!$A$1:$E$1841,5,0),"")</f>
        <v/>
      </c>
      <c r="X32" s="254" t="str">
        <f>IFERROR(VLOOKUP($B32&amp;X$5,'Mark Leave'!$A$1:$E$1841,5,0),"")</f>
        <v/>
      </c>
      <c r="Y32" s="254" t="str">
        <f>IFERROR(VLOOKUP($B32&amp;Y$5,'Mark Leave'!$A$1:$E$1841,5,0),"")</f>
        <v/>
      </c>
      <c r="Z32" s="254" t="str">
        <f>IFERROR(VLOOKUP($B32&amp;Z$5,'Mark Leave'!$A$1:$E$1841,5,0),"")</f>
        <v/>
      </c>
      <c r="AA32" s="254" t="str">
        <f>IFERROR(VLOOKUP($B32&amp;AA$5,'Mark Leave'!$A$1:$E$1841,5,0),"")</f>
        <v/>
      </c>
      <c r="AB32" s="254" t="str">
        <f>IFERROR(VLOOKUP($B32&amp;AB$5,'Mark Leave'!$A$1:$E$1841,5,0),"")</f>
        <v/>
      </c>
      <c r="AC32" s="254" t="str">
        <f>IFERROR(VLOOKUP($B32&amp;AC$5,'Mark Leave'!$A$1:$E$1841,5,0),"")</f>
        <v/>
      </c>
      <c r="AD32" s="254" t="str">
        <f>IFERROR(VLOOKUP($B32&amp;AD$5,'Mark Leave'!$A$1:$E$1841,5,0),"")</f>
        <v/>
      </c>
      <c r="AE32" s="254" t="str">
        <f>IFERROR(VLOOKUP($B32&amp;AE$5,'Mark Leave'!$A$1:$E$1841,5,0),"")</f>
        <v/>
      </c>
      <c r="AF32" s="254" t="str">
        <f>IFERROR(VLOOKUP($B32&amp;AF$5,'Mark Leave'!$A$1:$E$1841,5,0),"")</f>
        <v/>
      </c>
      <c r="AG32" s="254" t="str">
        <f>IFERROR(VLOOKUP($B32&amp;AG$5,'Mark Leave'!$A$1:$E$1841,5,0),"")</f>
        <v/>
      </c>
      <c r="AH32" s="254" t="str">
        <f>IFERROR(VLOOKUP($B32&amp;AH$5,'Mark Leave'!$A$1:$E$1841,5,0),"")</f>
        <v/>
      </c>
      <c r="AI32" s="255">
        <f>IF($B32&lt;&gt;"",COUNTIF($D32:$AH32,'Setting '!$H$2),"")</f>
        <v>7</v>
      </c>
      <c r="AJ32" s="255">
        <f>IF($B32&lt;&gt;"",COUNTIF($D32:$AH32,'Setting '!$H$3)/2,"")</f>
        <v>0</v>
      </c>
      <c r="AK32" s="255">
        <f>IF($B32&lt;&gt;"",COUNTIF($D32:$AH32,'Setting '!$H$4),"")</f>
        <v>0</v>
      </c>
      <c r="AL32" s="255">
        <f t="shared" si="13"/>
        <v>7</v>
      </c>
      <c r="AM32" s="256" t="str">
        <f>IF(B32&lt;&gt;"",_xlfn.IFNA(VLOOKUP(B32,'Leave Credit Sheet'!B32:K125,10,0),""),"")</f>
        <v/>
      </c>
      <c r="AN32" s="255">
        <f t="shared" si="2"/>
        <v>23</v>
      </c>
      <c r="AO32" s="247">
        <f>IF(B32&lt;&gt;"",_xlfn.IFNA(INDEX('CTC Sheet'!$C$6:$N$101,MATCH(AttendanceSheet!$B32,'CTC Sheet'!$A$6:$A$101,0),MATCH(AttendanceSheet!$T$1,'CTC Sheet'!$C$5:$N$5,0)),0),"")</f>
        <v>0</v>
      </c>
      <c r="AP32" s="247">
        <f>IF(B32&lt;&gt;"",_xlfn.IFNA(INDEX('CTC Sheet'!$R$6:$AC$100,MATCH(AttendanceSheet!$B32,'CTC Sheet'!$P$6:$P$100,0),MATCH(AttendanceSheet!$T$1,'CTC Sheet'!$R$5:$AC$5,0)),0),"")</f>
        <v>386.53846153846155</v>
      </c>
      <c r="AQ32" s="247">
        <f t="shared" si="3"/>
        <v>2963.165192307692</v>
      </c>
      <c r="AR32" s="247">
        <f t="shared" si="4"/>
        <v>1481.582596153846</v>
      </c>
      <c r="AS32" s="247">
        <f t="shared" si="5"/>
        <v>1777.8991153846152</v>
      </c>
      <c r="AT32" s="247">
        <f t="shared" si="6"/>
        <v>1185.2660769230768</v>
      </c>
      <c r="AU32" s="247">
        <f t="shared" si="7"/>
        <v>888.94955769230762</v>
      </c>
      <c r="AV32" s="247">
        <f t="shared" si="8"/>
        <v>593.52198801923078</v>
      </c>
      <c r="AW32" s="247">
        <f>IF(B32&lt;&gt;"",_xlfn.IFNA(INDEX('OtherArrear payment'!$A$1:$N$95,MATCH(AttendanceSheet!$B32,'OtherArrear payment'!$A$1:$A$95,0),MATCH(AttendanceSheet!$T$1,'OtherArrear payment'!$A$1:$N$1,0)),0),"")</f>
        <v>20</v>
      </c>
      <c r="AX32" s="247">
        <f t="shared" si="14"/>
        <v>8890.3845264807696</v>
      </c>
      <c r="AY32" s="247">
        <f t="shared" si="9"/>
        <v>0</v>
      </c>
      <c r="AZ32" s="247">
        <f t="shared" si="10"/>
        <v>0</v>
      </c>
      <c r="BA32" s="247">
        <f t="shared" si="11"/>
        <v>0</v>
      </c>
      <c r="BB32" s="247">
        <f t="shared" si="12"/>
        <v>0</v>
      </c>
      <c r="BC32" s="247">
        <f>IF($B32&lt;&gt;"",IF(BL32="Yes",IF($BI32="Mr.",IF($AX32&lt;=7500,0,IF(AND($AX32&lt;10000,$AX32&gt;7501),175,IF(AND($AX32&gt;10000,'Setting '!$G$28&lt;&gt;11),200,300))),IF(AND($AX32&lt;=10000,$BI32="Ms."),0,IF(AND($AX32&gt;10000,'Setting '!$G$28&lt;&gt;11),200,300))),0),"")</f>
        <v>0</v>
      </c>
      <c r="BD32" s="248"/>
      <c r="BE32" s="249">
        <f>IF($B32&lt;&gt;"",IF('Advance Sheet'!AF29&gt;=0,INDEX('Advance Sheet'!$Q$3:$AD$100,MATCH(AttendanceSheet!$B32,'Advance Sheet'!$Q$3:$Q$100,0),MATCH(AttendanceSheet!$T$1,'Advance Sheet'!$Q$3:$AD$3,)),0),"")</f>
        <v>1000</v>
      </c>
      <c r="BF32" s="247">
        <f t="shared" si="15"/>
        <v>7910.3845264807696</v>
      </c>
      <c r="BG32" s="250" t="str">
        <f>IF(B32&lt;&gt;"",VLOOKUP(B32,'Employee Details'!A31:S114,17,0),"")</f>
        <v>No</v>
      </c>
      <c r="BH32" s="250" t="str">
        <f>IF(B32&lt;&gt;"",VLOOKUP(B32,'Employee Details'!A31:S114,18,0),"")</f>
        <v>No</v>
      </c>
      <c r="BI32" s="251" t="str">
        <f>IF(B32&lt;&gt;"",VLOOKUP(B32,'Employee Details'!A30:S113,19,0),"")</f>
        <v>Mr.</v>
      </c>
      <c r="BJ32" s="252" t="str">
        <f>IF(B32&lt;&gt;"",VLOOKUP(B32,'Employee Details'!A31:D70,4,0),"")</f>
        <v>OFFROLL</v>
      </c>
      <c r="BK32" s="252" t="str">
        <f>IF(B32&lt;&gt;"",VLOOKUP(B32,'Employee Details'!A31:E114,5,0),"")</f>
        <v>DINESH THAKARE</v>
      </c>
      <c r="BL32" s="210" t="str">
        <f>IF(B32&lt;&gt;"",VLOOKUP(B32,'Employee Details'!A31:U114,21,0),"")</f>
        <v>No</v>
      </c>
      <c r="BM32" s="104"/>
      <c r="BO32" s="104"/>
      <c r="BP32" s="104">
        <f t="shared" si="16"/>
        <v>0</v>
      </c>
    </row>
    <row r="33" spans="2:68" ht="16.5" thickTop="1" thickBot="1" x14ac:dyDescent="0.3">
      <c r="B33" s="253" t="str">
        <f>_xlfn.IFNA(INDEX('Employee Details'!$A$7:$A36,MATCH(AttendanceSheet!$C33,'Employee Details'!$B$7:$B42,0)),"")</f>
        <v>Emp_0029</v>
      </c>
      <c r="C33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'!$J$1:J27))),"")</f>
        <v>RUPESH LAHANGE</v>
      </c>
      <c r="D33" s="254" t="str">
        <f>IFERROR(VLOOKUP($B33&amp;D$5,'Mark Leave'!$A$1:$E$1841,5,0),"")</f>
        <v>A</v>
      </c>
      <c r="E33" s="254" t="str">
        <f>IFERROR(VLOOKUP($B33&amp;E$5,'Mark Leave'!$A$1:$E$1841,5,0),"")</f>
        <v>A</v>
      </c>
      <c r="F33" s="254" t="str">
        <f>IFERROR(VLOOKUP($B33&amp;F$5,'Mark Leave'!$A$1:$E$1841,5,0),"")</f>
        <v>A</v>
      </c>
      <c r="G33" s="254" t="str">
        <f>IFERROR(VLOOKUP($B33&amp;G$5,'Mark Leave'!$A$1:$E$1841,5,0),"")</f>
        <v>A</v>
      </c>
      <c r="H33" s="254" t="str">
        <f>IFERROR(VLOOKUP($B33&amp;H$5,'Mark Leave'!$A$1:$E$1841,5,0),"")</f>
        <v>A</v>
      </c>
      <c r="I33" s="254" t="str">
        <f>IFERROR(VLOOKUP($B33&amp;I$5,'Mark Leave'!$A$1:$E$1841,5,0),"")</f>
        <v>A</v>
      </c>
      <c r="J33" s="254" t="str">
        <f>IFERROR(VLOOKUP($B33&amp;J$5,'Mark Leave'!$A$1:$E$1841,5,0),"")</f>
        <v>"1/2"</v>
      </c>
      <c r="K33" s="254" t="str">
        <f>IFERROR(VLOOKUP($B33&amp;K$5,'Mark Leave'!$A$1:$E$1841,5,0),"")</f>
        <v/>
      </c>
      <c r="L33" s="254" t="str">
        <f>IFERROR(VLOOKUP($B33&amp;L$5,'Mark Leave'!$A$1:$E$1841,5,0),"")</f>
        <v/>
      </c>
      <c r="M33" s="254" t="str">
        <f>IFERROR(VLOOKUP($B33&amp;M$5,'Mark Leave'!$A$1:$E$1841,5,0),"")</f>
        <v/>
      </c>
      <c r="N33" s="254" t="str">
        <f>IFERROR(VLOOKUP($B33&amp;N$5,'Mark Leave'!$A$1:$E$1841,5,0),"")</f>
        <v/>
      </c>
      <c r="O33" s="254" t="str">
        <f>IFERROR(VLOOKUP($B33&amp;O$5,'Mark Leave'!$A$1:$E$1841,5,0),"")</f>
        <v/>
      </c>
      <c r="P33" s="254" t="str">
        <f>IFERROR(VLOOKUP($B33&amp;P$5,'Mark Leave'!$A$1:$E$1841,5,0),"")</f>
        <v/>
      </c>
      <c r="Q33" s="254" t="str">
        <f>IFERROR(VLOOKUP($B33&amp;Q$5,'Mark Leave'!$A$1:$E$1841,5,0),"")</f>
        <v/>
      </c>
      <c r="R33" s="254" t="str">
        <f>IFERROR(VLOOKUP($B33&amp;R$5,'Mark Leave'!$A$1:$E$1841,5,0),"")</f>
        <v/>
      </c>
      <c r="S33" s="254" t="str">
        <f>IFERROR(VLOOKUP($B33&amp;S$5,'Mark Leave'!$A$1:$E$1841,5,0),"")</f>
        <v/>
      </c>
      <c r="T33" s="254" t="str">
        <f>IFERROR(VLOOKUP($B33&amp;T$5,'Mark Leave'!$A$1:$E$1841,5,0),"")</f>
        <v/>
      </c>
      <c r="U33" s="254" t="str">
        <f>IFERROR(VLOOKUP($B33&amp;U$5,'Mark Leave'!$A$1:$E$1841,5,0),"")</f>
        <v/>
      </c>
      <c r="V33" s="254" t="str">
        <f>IFERROR(VLOOKUP($B33&amp;V$5,'Mark Leave'!$A$1:$E$1841,5,0),"")</f>
        <v/>
      </c>
      <c r="W33" s="254" t="str">
        <f>IFERROR(VLOOKUP($B33&amp;W$5,'Mark Leave'!$A$1:$E$1841,5,0),"")</f>
        <v/>
      </c>
      <c r="X33" s="254" t="str">
        <f>IFERROR(VLOOKUP($B33&amp;X$5,'Mark Leave'!$A$1:$E$1841,5,0),"")</f>
        <v/>
      </c>
      <c r="Y33" s="254" t="str">
        <f>IFERROR(VLOOKUP($B33&amp;Y$5,'Mark Leave'!$A$1:$E$1841,5,0),"")</f>
        <v/>
      </c>
      <c r="Z33" s="254" t="str">
        <f>IFERROR(VLOOKUP($B33&amp;Z$5,'Mark Leave'!$A$1:$E$1841,5,0),"")</f>
        <v/>
      </c>
      <c r="AA33" s="254" t="str">
        <f>IFERROR(VLOOKUP($B33&amp;AA$5,'Mark Leave'!$A$1:$E$1841,5,0),"")</f>
        <v/>
      </c>
      <c r="AB33" s="254" t="str">
        <f>IFERROR(VLOOKUP($B33&amp;AB$5,'Mark Leave'!$A$1:$E$1841,5,0),"")</f>
        <v/>
      </c>
      <c r="AC33" s="254" t="str">
        <f>IFERROR(VLOOKUP($B33&amp;AC$5,'Mark Leave'!$A$1:$E$1841,5,0),"")</f>
        <v/>
      </c>
      <c r="AD33" s="254" t="str">
        <f>IFERROR(VLOOKUP($B33&amp;AD$5,'Mark Leave'!$A$1:$E$1841,5,0),"")</f>
        <v/>
      </c>
      <c r="AE33" s="254" t="str">
        <f>IFERROR(VLOOKUP($B33&amp;AE$5,'Mark Leave'!$A$1:$E$1841,5,0),"")</f>
        <v/>
      </c>
      <c r="AF33" s="254" t="str">
        <f>IFERROR(VLOOKUP($B33&amp;AF$5,'Mark Leave'!$A$1:$E$1841,5,0),"")</f>
        <v/>
      </c>
      <c r="AG33" s="254" t="str">
        <f>IFERROR(VLOOKUP($B33&amp;AG$5,'Mark Leave'!$A$1:$E$1841,5,0),"")</f>
        <v/>
      </c>
      <c r="AH33" s="254" t="str">
        <f>IFERROR(VLOOKUP($B33&amp;AH$5,'Mark Leave'!$A$1:$E$1841,5,0),"")</f>
        <v/>
      </c>
      <c r="AI33" s="255">
        <f>IF($B33&lt;&gt;"",COUNTIF($D33:$AH33,'Setting '!$H$2),"")</f>
        <v>6</v>
      </c>
      <c r="AJ33" s="255">
        <f>IF($B33&lt;&gt;"",COUNTIF($D33:$AH33,'Setting '!$H$3)/2,"")</f>
        <v>0.5</v>
      </c>
      <c r="AK33" s="255">
        <f>IF($B33&lt;&gt;"",COUNTIF($D33:$AH33,'Setting '!$H$4),"")</f>
        <v>0</v>
      </c>
      <c r="AL33" s="255">
        <f t="shared" si="13"/>
        <v>6.5</v>
      </c>
      <c r="AM33" s="256" t="str">
        <f>IF(B33&lt;&gt;"",_xlfn.IFNA(VLOOKUP(B33,'Leave Credit Sheet'!B33:K126,10,0),""),"")</f>
        <v/>
      </c>
      <c r="AN33" s="255">
        <f t="shared" si="2"/>
        <v>23.5</v>
      </c>
      <c r="AO33" s="247">
        <f>IF(B33&lt;&gt;"",_xlfn.IFNA(INDEX('CTC Sheet'!$C$6:$N$101,MATCH(AttendanceSheet!$B33,'CTC Sheet'!$A$6:$A$101,0),MATCH(AttendanceSheet!$T$1,'CTC Sheet'!$C$5:$N$5,0)),0),"")</f>
        <v>0</v>
      </c>
      <c r="AP33" s="247">
        <f>IF(B33&lt;&gt;"",_xlfn.IFNA(INDEX('CTC Sheet'!$R$6:$AC$100,MATCH(AttendanceSheet!$B33,'CTC Sheet'!$P$6:$P$100,0),MATCH(AttendanceSheet!$T$1,'CTC Sheet'!$R$5:$AC$5,0)),0),"")</f>
        <v>390.38461538461536</v>
      </c>
      <c r="AQ33" s="247">
        <f t="shared" si="3"/>
        <v>3057.7070192307688</v>
      </c>
      <c r="AR33" s="247">
        <f t="shared" si="4"/>
        <v>1528.8535096153844</v>
      </c>
      <c r="AS33" s="247">
        <f t="shared" si="5"/>
        <v>1834.6242115384612</v>
      </c>
      <c r="AT33" s="247">
        <f t="shared" si="6"/>
        <v>1223.0828076923076</v>
      </c>
      <c r="AU33" s="247">
        <f t="shared" si="7"/>
        <v>917.31210576923058</v>
      </c>
      <c r="AV33" s="247">
        <f t="shared" si="8"/>
        <v>612.45871595192295</v>
      </c>
      <c r="AW33" s="247">
        <f>IF(B33&lt;&gt;"",_xlfn.IFNA(INDEX('OtherArrear payment'!$A$1:$N$95,MATCH(AttendanceSheet!$B33,'OtherArrear payment'!$A$1:$A$95,0),MATCH(AttendanceSheet!$T$1,'OtherArrear payment'!$A$1:$N$1,0)),0),"")</f>
        <v>0</v>
      </c>
      <c r="AX33" s="247">
        <f t="shared" si="14"/>
        <v>9174.0383697980742</v>
      </c>
      <c r="AY33" s="247">
        <f t="shared" si="9"/>
        <v>0</v>
      </c>
      <c r="AZ33" s="247">
        <f t="shared" si="10"/>
        <v>0</v>
      </c>
      <c r="BA33" s="247">
        <f t="shared" si="11"/>
        <v>0</v>
      </c>
      <c r="BB33" s="247">
        <f t="shared" si="12"/>
        <v>0</v>
      </c>
      <c r="BC33" s="247">
        <f>IF($B33&lt;&gt;"",IF(BL33="Yes",IF($BI33="Mr.",IF($AX33&lt;=7500,0,IF(AND($AX33&lt;10000,$AX33&gt;7501),175,IF(AND($AX33&gt;10000,'Setting '!$G$28&lt;&gt;11),200,300))),IF(AND($AX33&lt;=10000,$BI33="Ms."),0,IF(AND($AX33&gt;10000,'Setting '!$G$28&lt;&gt;11),200,300))),0),"")</f>
        <v>0</v>
      </c>
      <c r="BD33" s="248"/>
      <c r="BE33" s="249">
        <f>IF($B33&lt;&gt;"",IF('Advance Sheet'!AF30&gt;=0,INDEX('Advance Sheet'!$Q$3:$AD$100,MATCH(AttendanceSheet!$B33,'Advance Sheet'!$Q$3:$Q$100,0),MATCH(AttendanceSheet!$T$1,'Advance Sheet'!$Q$3:$AD$3,)),0),"")</f>
        <v>0</v>
      </c>
      <c r="BF33" s="247">
        <f t="shared" si="15"/>
        <v>9174.0383697980742</v>
      </c>
      <c r="BG33" s="250" t="str">
        <f>IF(B33&lt;&gt;"",VLOOKUP(B33,'Employee Details'!A32:S115,17,0),"")</f>
        <v>No</v>
      </c>
      <c r="BH33" s="250" t="str">
        <f>IF(B33&lt;&gt;"",VLOOKUP(B33,'Employee Details'!A32:S115,18,0),"")</f>
        <v>No</v>
      </c>
      <c r="BI33" s="251" t="str">
        <f>IF(B33&lt;&gt;"",VLOOKUP(B33,'Employee Details'!A31:S114,19,0),"")</f>
        <v>Mr.</v>
      </c>
      <c r="BJ33" s="252" t="str">
        <f>IF(B33&lt;&gt;"",VLOOKUP(B33,'Employee Details'!A32:D71,4,0),"")</f>
        <v>OFFROLL</v>
      </c>
      <c r="BK33" s="252" t="str">
        <f>IF(B33&lt;&gt;"",VLOOKUP(B33,'Employee Details'!A32:E115,5,0),"")</f>
        <v>DINESH THAKARE</v>
      </c>
      <c r="BL33" s="210" t="str">
        <f>IF(B33&lt;&gt;"",VLOOKUP(B33,'Employee Details'!A32:U115,21,0),"")</f>
        <v>No</v>
      </c>
      <c r="BM33" s="104"/>
      <c r="BO33" s="104"/>
      <c r="BP33" s="104">
        <f t="shared" si="16"/>
        <v>0</v>
      </c>
    </row>
    <row r="34" spans="2:68" ht="16.5" thickTop="1" thickBot="1" x14ac:dyDescent="0.3">
      <c r="B34" s="253" t="str">
        <f>_xlfn.IFNA(INDEX('Employee Details'!$A$7:$A37,MATCH(AttendanceSheet!$C34,'Employee Details'!$B$7:$B43,0)),"")</f>
        <v>Emp_0030</v>
      </c>
      <c r="C34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'!$J$1:J28))),"")</f>
        <v>SANJAY THAKARE</v>
      </c>
      <c r="D34" s="254" t="str">
        <f>IFERROR(VLOOKUP($B34&amp;D$5,'Mark Leave'!$A$1:$E$1841,5,0),"")</f>
        <v>A</v>
      </c>
      <c r="E34" s="254" t="str">
        <f>IFERROR(VLOOKUP($B34&amp;E$5,'Mark Leave'!$A$1:$E$1841,5,0),"")</f>
        <v>A</v>
      </c>
      <c r="F34" s="254" t="str">
        <f>IFERROR(VLOOKUP($B34&amp;F$5,'Mark Leave'!$A$1:$E$1841,5,0),"")</f>
        <v>A</v>
      </c>
      <c r="G34" s="254" t="str">
        <f>IFERROR(VLOOKUP($B34&amp;G$5,'Mark Leave'!$A$1:$E$1841,5,0),"")</f>
        <v>A</v>
      </c>
      <c r="H34" s="254" t="str">
        <f>IFERROR(VLOOKUP($B34&amp;H$5,'Mark Leave'!$A$1:$E$1841,5,0),"")</f>
        <v>A</v>
      </c>
      <c r="I34" s="254" t="str">
        <f>IFERROR(VLOOKUP($B34&amp;I$5,'Mark Leave'!$A$1:$E$1841,5,0),"")</f>
        <v>A</v>
      </c>
      <c r="J34" s="254">
        <f>IFERROR(VLOOKUP($B34&amp;J$5,'Mark Leave'!$A$1:$E$1841,5,0),"")</f>
        <v>0</v>
      </c>
      <c r="K34" s="254">
        <f>IFERROR(VLOOKUP($B34&amp;K$5,'Mark Leave'!$A$1:$E$1841,5,0),"")</f>
        <v>0</v>
      </c>
      <c r="L34" s="254" t="str">
        <f>IFERROR(VLOOKUP($B34&amp;L$5,'Mark Leave'!$A$1:$E$1841,5,0),"")</f>
        <v/>
      </c>
      <c r="M34" s="254" t="str">
        <f>IFERROR(VLOOKUP($B34&amp;M$5,'Mark Leave'!$A$1:$E$1841,5,0),"")</f>
        <v/>
      </c>
      <c r="N34" s="254" t="str">
        <f>IFERROR(VLOOKUP($B34&amp;N$5,'Mark Leave'!$A$1:$E$1841,5,0),"")</f>
        <v/>
      </c>
      <c r="O34" s="254" t="str">
        <f>IFERROR(VLOOKUP($B34&amp;O$5,'Mark Leave'!$A$1:$E$1841,5,0),"")</f>
        <v/>
      </c>
      <c r="P34" s="254" t="str">
        <f>IFERROR(VLOOKUP($B34&amp;P$5,'Mark Leave'!$A$1:$E$1841,5,0),"")</f>
        <v/>
      </c>
      <c r="Q34" s="254" t="str">
        <f>IFERROR(VLOOKUP($B34&amp;Q$5,'Mark Leave'!$A$1:$E$1841,5,0),"")</f>
        <v/>
      </c>
      <c r="R34" s="254" t="str">
        <f>IFERROR(VLOOKUP($B34&amp;R$5,'Mark Leave'!$A$1:$E$1841,5,0),"")</f>
        <v/>
      </c>
      <c r="S34" s="254" t="str">
        <f>IFERROR(VLOOKUP($B34&amp;S$5,'Mark Leave'!$A$1:$E$1841,5,0),"")</f>
        <v/>
      </c>
      <c r="T34" s="254" t="str">
        <f>IFERROR(VLOOKUP($B34&amp;T$5,'Mark Leave'!$A$1:$E$1841,5,0),"")</f>
        <v/>
      </c>
      <c r="U34" s="254" t="str">
        <f>IFERROR(VLOOKUP($B34&amp;U$5,'Mark Leave'!$A$1:$E$1841,5,0),"")</f>
        <v/>
      </c>
      <c r="V34" s="254" t="str">
        <f>IFERROR(VLOOKUP($B34&amp;V$5,'Mark Leave'!$A$1:$E$1841,5,0),"")</f>
        <v/>
      </c>
      <c r="W34" s="254" t="str">
        <f>IFERROR(VLOOKUP($B34&amp;W$5,'Mark Leave'!$A$1:$E$1841,5,0),"")</f>
        <v/>
      </c>
      <c r="X34" s="254" t="str">
        <f>IFERROR(VLOOKUP($B34&amp;X$5,'Mark Leave'!$A$1:$E$1841,5,0),"")</f>
        <v/>
      </c>
      <c r="Y34" s="254" t="str">
        <f>IFERROR(VLOOKUP($B34&amp;Y$5,'Mark Leave'!$A$1:$E$1841,5,0),"")</f>
        <v/>
      </c>
      <c r="Z34" s="254" t="str">
        <f>IFERROR(VLOOKUP($B34&amp;Z$5,'Mark Leave'!$A$1:$E$1841,5,0),"")</f>
        <v/>
      </c>
      <c r="AA34" s="254" t="str">
        <f>IFERROR(VLOOKUP($B34&amp;AA$5,'Mark Leave'!$A$1:$E$1841,5,0),"")</f>
        <v/>
      </c>
      <c r="AB34" s="254" t="str">
        <f>IFERROR(VLOOKUP($B34&amp;AB$5,'Mark Leave'!$A$1:$E$1841,5,0),"")</f>
        <v/>
      </c>
      <c r="AC34" s="254" t="str">
        <f>IFERROR(VLOOKUP($B34&amp;AC$5,'Mark Leave'!$A$1:$E$1841,5,0),"")</f>
        <v/>
      </c>
      <c r="AD34" s="254" t="str">
        <f>IFERROR(VLOOKUP($B34&amp;AD$5,'Mark Leave'!$A$1:$E$1841,5,0),"")</f>
        <v/>
      </c>
      <c r="AE34" s="254" t="str">
        <f>IFERROR(VLOOKUP($B34&amp;AE$5,'Mark Leave'!$A$1:$E$1841,5,0),"")</f>
        <v/>
      </c>
      <c r="AF34" s="254" t="str">
        <f>IFERROR(VLOOKUP($B34&amp;AF$5,'Mark Leave'!$A$1:$E$1841,5,0),"")</f>
        <v/>
      </c>
      <c r="AG34" s="254" t="str">
        <f>IFERROR(VLOOKUP($B34&amp;AG$5,'Mark Leave'!$A$1:$E$1841,5,0),"")</f>
        <v/>
      </c>
      <c r="AH34" s="254" t="str">
        <f>IFERROR(VLOOKUP($B34&amp;AH$5,'Mark Leave'!$A$1:$E$1841,5,0),"")</f>
        <v/>
      </c>
      <c r="AI34" s="255">
        <f>IF($B34&lt;&gt;"",COUNTIF($D34:$AH34,'Setting '!$H$2),"")</f>
        <v>6</v>
      </c>
      <c r="AJ34" s="255">
        <f>IF($B34&lt;&gt;"",COUNTIF($D34:$AH34,'Setting '!$H$3)/2,"")</f>
        <v>0</v>
      </c>
      <c r="AK34" s="255">
        <f>IF($B34&lt;&gt;"",COUNTIF($D34:$AH34,'Setting '!$H$4),"")</f>
        <v>0</v>
      </c>
      <c r="AL34" s="255">
        <f t="shared" si="13"/>
        <v>6</v>
      </c>
      <c r="AM34" s="256" t="str">
        <f>IF(B34&lt;&gt;"",_xlfn.IFNA(VLOOKUP(B34,'Leave Credit Sheet'!B34:K127,10,0),""),"")</f>
        <v/>
      </c>
      <c r="AN34" s="255">
        <f t="shared" si="2"/>
        <v>24</v>
      </c>
      <c r="AO34" s="247">
        <f>IF(B34&lt;&gt;"",_xlfn.IFNA(INDEX('CTC Sheet'!$C$6:$N$101,MATCH(AttendanceSheet!$B34,'CTC Sheet'!$A$6:$A$101,0),MATCH(AttendanceSheet!$T$1,'CTC Sheet'!$C$5:$N$5,0)),0),"")</f>
        <v>0</v>
      </c>
      <c r="AP34" s="247">
        <f>IF(B34&lt;&gt;"",_xlfn.IFNA(INDEX('CTC Sheet'!$R$6:$AC$100,MATCH(AttendanceSheet!$B34,'CTC Sheet'!$P$6:$P$100,0),MATCH(AttendanceSheet!$T$1,'CTC Sheet'!$R$5:$AC$5,0)),0),"")</f>
        <v>369.23076923076923</v>
      </c>
      <c r="AQ34" s="247">
        <f t="shared" si="3"/>
        <v>2953.5507692307688</v>
      </c>
      <c r="AR34" s="247">
        <f t="shared" si="4"/>
        <v>1476.7753846153844</v>
      </c>
      <c r="AS34" s="247">
        <f t="shared" si="5"/>
        <v>1772.1304615384613</v>
      </c>
      <c r="AT34" s="247">
        <f t="shared" si="6"/>
        <v>1181.4203076923075</v>
      </c>
      <c r="AU34" s="247">
        <f t="shared" si="7"/>
        <v>886.06523076923065</v>
      </c>
      <c r="AV34" s="247">
        <f t="shared" si="8"/>
        <v>591.59621907692303</v>
      </c>
      <c r="AW34" s="247">
        <f>IF(B34&lt;&gt;"",_xlfn.IFNA(INDEX('OtherArrear payment'!$A$1:$N$95,MATCH(AttendanceSheet!$B34,'OtherArrear payment'!$A$1:$A$95,0),MATCH(AttendanceSheet!$T$1,'OtherArrear payment'!$A$1:$N$1,0)),0),"")</f>
        <v>2000</v>
      </c>
      <c r="AX34" s="247">
        <f t="shared" si="14"/>
        <v>8861.5383729230743</v>
      </c>
      <c r="AY34" s="247">
        <f t="shared" si="9"/>
        <v>0</v>
      </c>
      <c r="AZ34" s="247">
        <f t="shared" si="10"/>
        <v>0</v>
      </c>
      <c r="BA34" s="247">
        <f t="shared" si="11"/>
        <v>0</v>
      </c>
      <c r="BB34" s="247">
        <f t="shared" si="12"/>
        <v>0</v>
      </c>
      <c r="BC34" s="247">
        <f>IF($B34&lt;&gt;"",IF(BL34="Yes",IF($BI34="Mr.",IF($AX34&lt;=7500,0,IF(AND($AX34&lt;10000,$AX34&gt;7501),175,IF(AND($AX34&gt;10000,'Setting '!$G$28&lt;&gt;11),200,300))),IF(AND($AX34&lt;=10000,$BI34="Ms."),0,IF(AND($AX34&gt;10000,'Setting '!$G$28&lt;&gt;11),200,300))),0),"")</f>
        <v>0</v>
      </c>
      <c r="BD34" s="248"/>
      <c r="BE34" s="249">
        <f>IF($B34&lt;&gt;"",IF('Advance Sheet'!AF31&gt;=0,INDEX('Advance Sheet'!$Q$3:$AD$100,MATCH(AttendanceSheet!$B34,'Advance Sheet'!$Q$3:$Q$100,0),MATCH(AttendanceSheet!$T$1,'Advance Sheet'!$Q$3:$AD$3,)),0),"")</f>
        <v>0</v>
      </c>
      <c r="BF34" s="247">
        <f t="shared" si="15"/>
        <v>10861.538372923074</v>
      </c>
      <c r="BG34" s="250" t="str">
        <f>IF(B34&lt;&gt;"",VLOOKUP(B34,'Employee Details'!A33:S116,17,0),"")</f>
        <v>No</v>
      </c>
      <c r="BH34" s="250" t="str">
        <f>IF(B34&lt;&gt;"",VLOOKUP(B34,'Employee Details'!A33:S116,18,0),"")</f>
        <v>No</v>
      </c>
      <c r="BI34" s="251" t="str">
        <f>IF(B34&lt;&gt;"",VLOOKUP(B34,'Employee Details'!A32:S115,19,0),"")</f>
        <v>Mr.</v>
      </c>
      <c r="BJ34" s="252" t="str">
        <f>IF(B34&lt;&gt;"",VLOOKUP(B34,'Employee Details'!A33:D72,4,0),"")</f>
        <v>OFFROLL</v>
      </c>
      <c r="BK34" s="252" t="str">
        <f>IF(B34&lt;&gt;"",VLOOKUP(B34,'Employee Details'!A33:E116,5,0),"")</f>
        <v>DINESH THAKARE</v>
      </c>
      <c r="BL34" s="210" t="str">
        <f>IF(B34&lt;&gt;"",VLOOKUP(B34,'Employee Details'!A33:U116,21,0),"")</f>
        <v>No</v>
      </c>
      <c r="BM34" s="104"/>
      <c r="BO34" s="104"/>
      <c r="BP34" s="104">
        <f t="shared" si="16"/>
        <v>0</v>
      </c>
    </row>
    <row r="35" spans="2:68" ht="16.5" thickTop="1" thickBot="1" x14ac:dyDescent="0.3">
      <c r="B35" s="253" t="str">
        <f>_xlfn.IFNA(INDEX('Employee Details'!$A$7:$A38,MATCH(AttendanceSheet!$C35,'Employee Details'!$B$7:$B44,0)),"")</f>
        <v>Emp_0031</v>
      </c>
      <c r="C35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'!$J$1:J29))),"")</f>
        <v>AJIT THAKARE</v>
      </c>
      <c r="D35" s="254" t="str">
        <f>IFERROR(VLOOKUP($B35&amp;D$5,'Mark Leave'!$A$1:$E$1841,5,0),"")</f>
        <v>A</v>
      </c>
      <c r="E35" s="254" t="str">
        <f>IFERROR(VLOOKUP($B35&amp;E$5,'Mark Leave'!$A$1:$E$1841,5,0),"")</f>
        <v>A</v>
      </c>
      <c r="F35" s="254" t="str">
        <f>IFERROR(VLOOKUP($B35&amp;F$5,'Mark Leave'!$A$1:$E$1841,5,0),"")</f>
        <v>A</v>
      </c>
      <c r="G35" s="254" t="str">
        <f>IFERROR(VLOOKUP($B35&amp;G$5,'Mark Leave'!$A$1:$E$1841,5,0),"")</f>
        <v>A</v>
      </c>
      <c r="H35" s="254" t="str">
        <f>IFERROR(VLOOKUP($B35&amp;H$5,'Mark Leave'!$A$1:$E$1841,5,0),"")</f>
        <v>A</v>
      </c>
      <c r="I35" s="254" t="str">
        <f>IFERROR(VLOOKUP($B35&amp;I$5,'Mark Leave'!$A$1:$E$1841,5,0),"")</f>
        <v>A</v>
      </c>
      <c r="J35" s="254" t="str">
        <f>IFERROR(VLOOKUP($B35&amp;J$5,'Mark Leave'!$A$1:$E$1841,5,0),"")</f>
        <v/>
      </c>
      <c r="K35" s="254" t="str">
        <f>IFERROR(VLOOKUP($B35&amp;K$5,'Mark Leave'!$A$1:$E$1841,5,0),"")</f>
        <v/>
      </c>
      <c r="L35" s="254" t="str">
        <f>IFERROR(VLOOKUP($B35&amp;L$5,'Mark Leave'!$A$1:$E$1841,5,0),"")</f>
        <v/>
      </c>
      <c r="M35" s="254" t="str">
        <f>IFERROR(VLOOKUP($B35&amp;M$5,'Mark Leave'!$A$1:$E$1841,5,0),"")</f>
        <v/>
      </c>
      <c r="N35" s="254" t="str">
        <f>IFERROR(VLOOKUP($B35&amp;N$5,'Mark Leave'!$A$1:$E$1841,5,0),"")</f>
        <v/>
      </c>
      <c r="O35" s="254" t="str">
        <f>IFERROR(VLOOKUP($B35&amp;O$5,'Mark Leave'!$A$1:$E$1841,5,0),"")</f>
        <v/>
      </c>
      <c r="P35" s="254" t="str">
        <f>IFERROR(VLOOKUP($B35&amp;P$5,'Mark Leave'!$A$1:$E$1841,5,0),"")</f>
        <v/>
      </c>
      <c r="Q35" s="254" t="str">
        <f>IFERROR(VLOOKUP($B35&amp;Q$5,'Mark Leave'!$A$1:$E$1841,5,0),"")</f>
        <v/>
      </c>
      <c r="R35" s="254" t="str">
        <f>IFERROR(VLOOKUP($B35&amp;R$5,'Mark Leave'!$A$1:$E$1841,5,0),"")</f>
        <v/>
      </c>
      <c r="S35" s="254" t="str">
        <f>IFERROR(VLOOKUP($B35&amp;S$5,'Mark Leave'!$A$1:$E$1841,5,0),"")</f>
        <v/>
      </c>
      <c r="T35" s="254" t="str">
        <f>IFERROR(VLOOKUP($B35&amp;T$5,'Mark Leave'!$A$1:$E$1841,5,0),"")</f>
        <v/>
      </c>
      <c r="U35" s="254" t="str">
        <f>IFERROR(VLOOKUP($B35&amp;U$5,'Mark Leave'!$A$1:$E$1841,5,0),"")</f>
        <v/>
      </c>
      <c r="V35" s="254" t="str">
        <f>IFERROR(VLOOKUP($B35&amp;V$5,'Mark Leave'!$A$1:$E$1841,5,0),"")</f>
        <v/>
      </c>
      <c r="W35" s="254" t="str">
        <f>IFERROR(VLOOKUP($B35&amp;W$5,'Mark Leave'!$A$1:$E$1841,5,0),"")</f>
        <v/>
      </c>
      <c r="X35" s="254" t="str">
        <f>IFERROR(VLOOKUP($B35&amp;X$5,'Mark Leave'!$A$1:$E$1841,5,0),"")</f>
        <v/>
      </c>
      <c r="Y35" s="254" t="str">
        <f>IFERROR(VLOOKUP($B35&amp;Y$5,'Mark Leave'!$A$1:$E$1841,5,0),"")</f>
        <v/>
      </c>
      <c r="Z35" s="254" t="str">
        <f>IFERROR(VLOOKUP($B35&amp;Z$5,'Mark Leave'!$A$1:$E$1841,5,0),"")</f>
        <v/>
      </c>
      <c r="AA35" s="254" t="str">
        <f>IFERROR(VLOOKUP($B35&amp;AA$5,'Mark Leave'!$A$1:$E$1841,5,0),"")</f>
        <v/>
      </c>
      <c r="AB35" s="254" t="str">
        <f>IFERROR(VLOOKUP($B35&amp;AB$5,'Mark Leave'!$A$1:$E$1841,5,0),"")</f>
        <v/>
      </c>
      <c r="AC35" s="254" t="str">
        <f>IFERROR(VLOOKUP($B35&amp;AC$5,'Mark Leave'!$A$1:$E$1841,5,0),"")</f>
        <v/>
      </c>
      <c r="AD35" s="254" t="str">
        <f>IFERROR(VLOOKUP($B35&amp;AD$5,'Mark Leave'!$A$1:$E$1841,5,0),"")</f>
        <v/>
      </c>
      <c r="AE35" s="254" t="str">
        <f>IFERROR(VLOOKUP($B35&amp;AE$5,'Mark Leave'!$A$1:$E$1841,5,0),"")</f>
        <v/>
      </c>
      <c r="AF35" s="254" t="str">
        <f>IFERROR(VLOOKUP($B35&amp;AF$5,'Mark Leave'!$A$1:$E$1841,5,0),"")</f>
        <v/>
      </c>
      <c r="AG35" s="254" t="str">
        <f>IFERROR(VLOOKUP($B35&amp;AG$5,'Mark Leave'!$A$1:$E$1841,5,0),"")</f>
        <v/>
      </c>
      <c r="AH35" s="254" t="str">
        <f>IFERROR(VLOOKUP($B35&amp;AH$5,'Mark Leave'!$A$1:$E$1841,5,0),"")</f>
        <v/>
      </c>
      <c r="AI35" s="255">
        <f>IF($B35&lt;&gt;"",COUNTIF($D35:$AH35,'Setting '!$H$2),"")</f>
        <v>6</v>
      </c>
      <c r="AJ35" s="255">
        <f>IF($B35&lt;&gt;"",COUNTIF($D35:$AH35,'Setting '!$H$3)/2,"")</f>
        <v>0</v>
      </c>
      <c r="AK35" s="255">
        <f>IF($B35&lt;&gt;"",COUNTIF($D35:$AH35,'Setting '!$H$4),"")</f>
        <v>0</v>
      </c>
      <c r="AL35" s="255">
        <f t="shared" si="13"/>
        <v>6</v>
      </c>
      <c r="AM35" s="256" t="str">
        <f>IF(B35&lt;&gt;"",_xlfn.IFNA(VLOOKUP(B35,'Leave Credit Sheet'!B35:K128,10,0),""),"")</f>
        <v/>
      </c>
      <c r="AN35" s="255">
        <f t="shared" si="2"/>
        <v>24</v>
      </c>
      <c r="AO35" s="247">
        <f>IF(B35&lt;&gt;"",_xlfn.IFNA(INDEX('CTC Sheet'!$C$6:$N$101,MATCH(AttendanceSheet!$B35,'CTC Sheet'!$A$6:$A$101,0),MATCH(AttendanceSheet!$T$1,'CTC Sheet'!$C$5:$N$5,0)),0),"")</f>
        <v>0</v>
      </c>
      <c r="AP35" s="247">
        <f>IF(B35&lt;&gt;"",_xlfn.IFNA(INDEX('CTC Sheet'!$R$6:$AC$100,MATCH(AttendanceSheet!$B35,'CTC Sheet'!$P$6:$P$100,0),MATCH(AttendanceSheet!$T$1,'CTC Sheet'!$R$5:$AC$5,0)),0),"")</f>
        <v>310</v>
      </c>
      <c r="AQ35" s="247">
        <f t="shared" si="3"/>
        <v>2479.752</v>
      </c>
      <c r="AR35" s="247">
        <f t="shared" si="4"/>
        <v>1239.876</v>
      </c>
      <c r="AS35" s="247">
        <f t="shared" si="5"/>
        <v>1487.8511999999998</v>
      </c>
      <c r="AT35" s="247">
        <f t="shared" si="6"/>
        <v>991.9008</v>
      </c>
      <c r="AU35" s="247">
        <f t="shared" si="7"/>
        <v>743.92559999999992</v>
      </c>
      <c r="AV35" s="247">
        <f t="shared" si="8"/>
        <v>496.69432560000001</v>
      </c>
      <c r="AW35" s="247">
        <f>IF(B35&lt;&gt;"",_xlfn.IFNA(INDEX('OtherArrear payment'!$A$1:$N$95,MATCH(AttendanceSheet!$B35,'OtherArrear payment'!$A$1:$A$95,0),MATCH(AttendanceSheet!$T$1,'OtherArrear payment'!$A$1:$N$1,0)),0),"")</f>
        <v>50</v>
      </c>
      <c r="AX35" s="247">
        <f t="shared" si="14"/>
        <v>7439.9999256000001</v>
      </c>
      <c r="AY35" s="247">
        <f t="shared" si="9"/>
        <v>0</v>
      </c>
      <c r="AZ35" s="247">
        <f t="shared" si="10"/>
        <v>0</v>
      </c>
      <c r="BA35" s="247">
        <f t="shared" si="11"/>
        <v>0</v>
      </c>
      <c r="BB35" s="247">
        <f t="shared" si="12"/>
        <v>0</v>
      </c>
      <c r="BC35" s="247">
        <f>IF($B35&lt;&gt;"",IF(BL35="Yes",IF($BI35="Mr.",IF($AX35&lt;=7500,0,IF(AND($AX35&lt;10000,$AX35&gt;7501),175,IF(AND($AX35&gt;10000,'Setting '!$G$28&lt;&gt;11),200,300))),IF(AND($AX35&lt;=10000,$BI35="Ms."),0,IF(AND($AX35&gt;10000,'Setting '!$G$28&lt;&gt;11),200,300))),0),"")</f>
        <v>0</v>
      </c>
      <c r="BD35" s="248"/>
      <c r="BE35" s="249">
        <f>IF($B35&lt;&gt;"",IF('Advance Sheet'!AF32&gt;=0,INDEX('Advance Sheet'!$Q$3:$AD$100,MATCH(AttendanceSheet!$B35,'Advance Sheet'!$Q$3:$Q$100,0),MATCH(AttendanceSheet!$T$1,'Advance Sheet'!$Q$3:$AD$3,)),0),"")</f>
        <v>0</v>
      </c>
      <c r="BF35" s="247">
        <f t="shared" si="15"/>
        <v>7489.9999256000001</v>
      </c>
      <c r="BG35" s="250" t="str">
        <f>IF(B35&lt;&gt;"",VLOOKUP(B35,'Employee Details'!A34:S117,17,0),"")</f>
        <v>No</v>
      </c>
      <c r="BH35" s="250" t="str">
        <f>IF(B35&lt;&gt;"",VLOOKUP(B35,'Employee Details'!A34:S117,18,0),"")</f>
        <v>No</v>
      </c>
      <c r="BI35" s="251" t="str">
        <f>IF(B35&lt;&gt;"",VLOOKUP(B35,'Employee Details'!A33:S116,19,0),"")</f>
        <v>Mr.</v>
      </c>
      <c r="BJ35" s="252" t="str">
        <f>IF(B35&lt;&gt;"",VLOOKUP(B35,'Employee Details'!A34:D73,4,0),"")</f>
        <v>OFFROLL</v>
      </c>
      <c r="BK35" s="252" t="str">
        <f>IF(B35&lt;&gt;"",VLOOKUP(B35,'Employee Details'!A34:E117,5,0),"")</f>
        <v>DINESH THAKARE</v>
      </c>
      <c r="BL35" s="210" t="str">
        <f>IF(B35&lt;&gt;"",VLOOKUP(B35,'Employee Details'!A34:U117,21,0),"")</f>
        <v>No</v>
      </c>
      <c r="BM35" s="104"/>
      <c r="BO35" s="104"/>
      <c r="BP35" s="104">
        <f t="shared" si="16"/>
        <v>0</v>
      </c>
    </row>
    <row r="36" spans="2:68" ht="16.5" thickTop="1" thickBot="1" x14ac:dyDescent="0.3">
      <c r="B36" s="253" t="str">
        <f>_xlfn.IFNA(INDEX('Employee Details'!$A$7:$A39,MATCH(AttendanceSheet!$C36,'Employee Details'!$B$7:$B45,0)),"")</f>
        <v>Emp_0032</v>
      </c>
      <c r="C36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'!$J$1:J30))),"")</f>
        <v>DARPAN PARHAD</v>
      </c>
      <c r="D36" s="254" t="str">
        <f>IFERROR(VLOOKUP($B36&amp;D$5,'Mark Leave'!$A$1:$E$1841,5,0),"")</f>
        <v>A</v>
      </c>
      <c r="E36" s="254" t="str">
        <f>IFERROR(VLOOKUP($B36&amp;E$5,'Mark Leave'!$A$1:$E$1841,5,0),"")</f>
        <v>A</v>
      </c>
      <c r="F36" s="254" t="str">
        <f>IFERROR(VLOOKUP($B36&amp;F$5,'Mark Leave'!$A$1:$E$1841,5,0),"")</f>
        <v>A</v>
      </c>
      <c r="G36" s="254" t="str">
        <f>IFERROR(VLOOKUP($B36&amp;G$5,'Mark Leave'!$A$1:$E$1841,5,0),"")</f>
        <v>A</v>
      </c>
      <c r="H36" s="254" t="str">
        <f>IFERROR(VLOOKUP($B36&amp;H$5,'Mark Leave'!$A$1:$E$1841,5,0),"")</f>
        <v>A</v>
      </c>
      <c r="I36" s="254">
        <f>IFERROR(VLOOKUP($B36&amp;I$5,'Mark Leave'!$A$1:$E$1841,5,0),"")</f>
        <v>0</v>
      </c>
      <c r="J36" s="254">
        <f>IFERROR(VLOOKUP($B36&amp;J$5,'Mark Leave'!$A$1:$E$1841,5,0),"")</f>
        <v>0</v>
      </c>
      <c r="K36" s="254">
        <f>IFERROR(VLOOKUP($B36&amp;K$5,'Mark Leave'!$A$1:$E$1841,5,0),"")</f>
        <v>0</v>
      </c>
      <c r="L36" s="254" t="str">
        <f>IFERROR(VLOOKUP($B36&amp;L$5,'Mark Leave'!$A$1:$E$1841,5,0),"")</f>
        <v/>
      </c>
      <c r="M36" s="254" t="str">
        <f>IFERROR(VLOOKUP($B36&amp;M$5,'Mark Leave'!$A$1:$E$1841,5,0),"")</f>
        <v/>
      </c>
      <c r="N36" s="254" t="str">
        <f>IFERROR(VLOOKUP($B36&amp;N$5,'Mark Leave'!$A$1:$E$1841,5,0),"")</f>
        <v/>
      </c>
      <c r="O36" s="254" t="str">
        <f>IFERROR(VLOOKUP($B36&amp;O$5,'Mark Leave'!$A$1:$E$1841,5,0),"")</f>
        <v/>
      </c>
      <c r="P36" s="254" t="str">
        <f>IFERROR(VLOOKUP($B36&amp;P$5,'Mark Leave'!$A$1:$E$1841,5,0),"")</f>
        <v/>
      </c>
      <c r="Q36" s="254" t="str">
        <f>IFERROR(VLOOKUP($B36&amp;Q$5,'Mark Leave'!$A$1:$E$1841,5,0),"")</f>
        <v/>
      </c>
      <c r="R36" s="254" t="str">
        <f>IFERROR(VLOOKUP($B36&amp;R$5,'Mark Leave'!$A$1:$E$1841,5,0),"")</f>
        <v/>
      </c>
      <c r="S36" s="254" t="str">
        <f>IFERROR(VLOOKUP($B36&amp;S$5,'Mark Leave'!$A$1:$E$1841,5,0),"")</f>
        <v/>
      </c>
      <c r="T36" s="254" t="str">
        <f>IFERROR(VLOOKUP($B36&amp;T$5,'Mark Leave'!$A$1:$E$1841,5,0),"")</f>
        <v/>
      </c>
      <c r="U36" s="254" t="str">
        <f>IFERROR(VLOOKUP($B36&amp;U$5,'Mark Leave'!$A$1:$E$1841,5,0),"")</f>
        <v/>
      </c>
      <c r="V36" s="254" t="str">
        <f>IFERROR(VLOOKUP($B36&amp;V$5,'Mark Leave'!$A$1:$E$1841,5,0),"")</f>
        <v/>
      </c>
      <c r="W36" s="254" t="str">
        <f>IFERROR(VLOOKUP($B36&amp;W$5,'Mark Leave'!$A$1:$E$1841,5,0),"")</f>
        <v/>
      </c>
      <c r="X36" s="254" t="str">
        <f>IFERROR(VLOOKUP($B36&amp;X$5,'Mark Leave'!$A$1:$E$1841,5,0),"")</f>
        <v/>
      </c>
      <c r="Y36" s="254" t="str">
        <f>IFERROR(VLOOKUP($B36&amp;Y$5,'Mark Leave'!$A$1:$E$1841,5,0),"")</f>
        <v/>
      </c>
      <c r="Z36" s="254" t="str">
        <f>IFERROR(VLOOKUP($B36&amp;Z$5,'Mark Leave'!$A$1:$E$1841,5,0),"")</f>
        <v/>
      </c>
      <c r="AA36" s="254" t="str">
        <f>IFERROR(VLOOKUP($B36&amp;AA$5,'Mark Leave'!$A$1:$E$1841,5,0),"")</f>
        <v/>
      </c>
      <c r="AB36" s="254" t="str">
        <f>IFERROR(VLOOKUP($B36&amp;AB$5,'Mark Leave'!$A$1:$E$1841,5,0),"")</f>
        <v/>
      </c>
      <c r="AC36" s="254" t="str">
        <f>IFERROR(VLOOKUP($B36&amp;AC$5,'Mark Leave'!$A$1:$E$1841,5,0),"")</f>
        <v/>
      </c>
      <c r="AD36" s="254" t="str">
        <f>IFERROR(VLOOKUP($B36&amp;AD$5,'Mark Leave'!$A$1:$E$1841,5,0),"")</f>
        <v/>
      </c>
      <c r="AE36" s="254" t="str">
        <f>IFERROR(VLOOKUP($B36&amp;AE$5,'Mark Leave'!$A$1:$E$1841,5,0),"")</f>
        <v/>
      </c>
      <c r="AF36" s="254" t="str">
        <f>IFERROR(VLOOKUP($B36&amp;AF$5,'Mark Leave'!$A$1:$E$1841,5,0),"")</f>
        <v/>
      </c>
      <c r="AG36" s="254" t="str">
        <f>IFERROR(VLOOKUP($B36&amp;AG$5,'Mark Leave'!$A$1:$E$1841,5,0),"")</f>
        <v/>
      </c>
      <c r="AH36" s="254" t="str">
        <f>IFERROR(VLOOKUP($B36&amp;AH$5,'Mark Leave'!$A$1:$E$1841,5,0),"")</f>
        <v/>
      </c>
      <c r="AI36" s="255">
        <f>IF($B36&lt;&gt;"",COUNTIF($D36:$AH36,'Setting '!$H$2),"")</f>
        <v>5</v>
      </c>
      <c r="AJ36" s="255">
        <f>IF($B36&lt;&gt;"",COUNTIF($D36:$AH36,'Setting '!$H$3)/2,"")</f>
        <v>0</v>
      </c>
      <c r="AK36" s="255">
        <f>IF($B36&lt;&gt;"",COUNTIF($D36:$AH36,'Setting '!$H$4),"")</f>
        <v>0</v>
      </c>
      <c r="AL36" s="255">
        <f t="shared" si="13"/>
        <v>5</v>
      </c>
      <c r="AM36" s="256" t="str">
        <f>IF(B36&lt;&gt;"",_xlfn.IFNA(VLOOKUP(B36,'Leave Credit Sheet'!B36:K129,10,0),""),"")</f>
        <v/>
      </c>
      <c r="AN36" s="255">
        <f t="shared" si="2"/>
        <v>25</v>
      </c>
      <c r="AO36" s="247">
        <f>IF(B36&lt;&gt;"",_xlfn.IFNA(INDEX('CTC Sheet'!$C$6:$N$101,MATCH(AttendanceSheet!$B36,'CTC Sheet'!$A$6:$A$101,0),MATCH(AttendanceSheet!$T$1,'CTC Sheet'!$C$5:$N$5,0)),0),"")</f>
        <v>0</v>
      </c>
      <c r="AP36" s="247">
        <f>IF(B36&lt;&gt;"",_xlfn.IFNA(INDEX('CTC Sheet'!$R$6:$AC$100,MATCH(AttendanceSheet!$B36,'CTC Sheet'!$P$6:$P$100,0),MATCH(AttendanceSheet!$T$1,'CTC Sheet'!$R$5:$AC$5,0)),0),"")</f>
        <v>425</v>
      </c>
      <c r="AQ36" s="247">
        <f t="shared" si="3"/>
        <v>3541.3125</v>
      </c>
      <c r="AR36" s="247">
        <f t="shared" si="4"/>
        <v>1770.65625</v>
      </c>
      <c r="AS36" s="247">
        <f t="shared" si="5"/>
        <v>2124.7874999999999</v>
      </c>
      <c r="AT36" s="247">
        <f t="shared" si="6"/>
        <v>1416.5250000000001</v>
      </c>
      <c r="AU36" s="247">
        <f t="shared" si="7"/>
        <v>1062.39375</v>
      </c>
      <c r="AV36" s="247">
        <f t="shared" si="8"/>
        <v>709.32489375</v>
      </c>
      <c r="AW36" s="247">
        <f>IF(B36&lt;&gt;"",_xlfn.IFNA(INDEX('OtherArrear payment'!$A$1:$N$95,MATCH(AttendanceSheet!$B36,'OtherArrear payment'!$A$1:$A$95,0),MATCH(AttendanceSheet!$T$1,'OtherArrear payment'!$A$1:$N$1,0)),0),"")</f>
        <v>0</v>
      </c>
      <c r="AX36" s="247">
        <f t="shared" si="14"/>
        <v>10624.999893749999</v>
      </c>
      <c r="AY36" s="247">
        <f t="shared" si="9"/>
        <v>0</v>
      </c>
      <c r="AZ36" s="247">
        <f t="shared" si="10"/>
        <v>0</v>
      </c>
      <c r="BA36" s="247">
        <f t="shared" si="11"/>
        <v>0</v>
      </c>
      <c r="BB36" s="247">
        <f t="shared" si="12"/>
        <v>0</v>
      </c>
      <c r="BC36" s="247">
        <f>IF($B36&lt;&gt;"",IF(BL36="Yes",IF($BI36="Mr.",IF($AX36&lt;=7500,0,IF(AND($AX36&lt;10000,$AX36&gt;7501),175,IF(AND($AX36&gt;10000,'Setting '!$G$28&lt;&gt;11),200,300))),IF(AND($AX36&lt;=10000,$BI36="Ms."),0,IF(AND($AX36&gt;10000,'Setting '!$G$28&lt;&gt;11),200,300))),0),"")</f>
        <v>0</v>
      </c>
      <c r="BD36" s="248"/>
      <c r="BE36" s="249">
        <f>IF($B36&lt;&gt;"",IF('Advance Sheet'!AF33&gt;=0,INDEX('Advance Sheet'!$Q$3:$AD$100,MATCH(AttendanceSheet!$B36,'Advance Sheet'!$Q$3:$Q$100,0),MATCH(AttendanceSheet!$T$1,'Advance Sheet'!$Q$3:$AD$3,)),0),"")</f>
        <v>0</v>
      </c>
      <c r="BF36" s="247">
        <f t="shared" si="15"/>
        <v>10624.999893749999</v>
      </c>
      <c r="BG36" s="250" t="str">
        <f>IF(B36&lt;&gt;"",VLOOKUP(B36,'Employee Details'!A35:S118,17,0),"")</f>
        <v>No</v>
      </c>
      <c r="BH36" s="250" t="str">
        <f>IF(B36&lt;&gt;"",VLOOKUP(B36,'Employee Details'!A35:S118,18,0),"")</f>
        <v>No</v>
      </c>
      <c r="BI36" s="251" t="str">
        <f>IF(B36&lt;&gt;"",VLOOKUP(B36,'Employee Details'!A34:S117,19,0),"")</f>
        <v>Mr.</v>
      </c>
      <c r="BJ36" s="252" t="str">
        <f>IF(B36&lt;&gt;"",VLOOKUP(B36,'Employee Details'!A35:D74,4,0),"")</f>
        <v>OFFROLL</v>
      </c>
      <c r="BK36" s="252" t="str">
        <f>IF(B36&lt;&gt;"",VLOOKUP(B36,'Employee Details'!A35:E118,5,0),"")</f>
        <v>DINESH THAKARE</v>
      </c>
      <c r="BL36" s="210" t="str">
        <f>IF(B36&lt;&gt;"",VLOOKUP(B36,'Employee Details'!A35:U118,21,0),"")</f>
        <v>No</v>
      </c>
      <c r="BM36" s="104"/>
      <c r="BO36" s="104"/>
      <c r="BP36" s="104">
        <f t="shared" si="16"/>
        <v>0</v>
      </c>
    </row>
    <row r="37" spans="2:68" ht="24.75" thickTop="1" thickBot="1" x14ac:dyDescent="0.3">
      <c r="B37" s="253" t="str">
        <f>_xlfn.IFNA(INDEX('Employee Details'!$A$7:$A40,MATCH(AttendanceSheet!$C37,'Employee Details'!$B$7:$B46,0)),"")</f>
        <v>Emp_0033</v>
      </c>
      <c r="C37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'!$J$1:J31))),"")</f>
        <v>MAHESH LAHANGE</v>
      </c>
      <c r="D37" s="254" t="str">
        <f>IFERROR(VLOOKUP($B37&amp;D$5,'Mark Leave'!$A$1:$E$1841,5,0),"")</f>
        <v>A</v>
      </c>
      <c r="E37" s="254" t="str">
        <f>IFERROR(VLOOKUP($B37&amp;E$5,'Mark Leave'!$A$1:$E$1841,5,0),"")</f>
        <v>A</v>
      </c>
      <c r="F37" s="254" t="str">
        <f>IFERROR(VLOOKUP($B37&amp;F$5,'Mark Leave'!$A$1:$E$1841,5,0),"")</f>
        <v>A</v>
      </c>
      <c r="G37" s="254" t="str">
        <f>IFERROR(VLOOKUP($B37&amp;G$5,'Mark Leave'!$A$1:$E$1841,5,0),"")</f>
        <v>A</v>
      </c>
      <c r="H37" s="254" t="str">
        <f>IFERROR(VLOOKUP($B37&amp;H$5,'Mark Leave'!$A$1:$E$1841,5,0),"")</f>
        <v>A</v>
      </c>
      <c r="I37" s="254" t="str">
        <f>IFERROR(VLOOKUP($B37&amp;I$5,'Mark Leave'!$A$1:$E$1841,5,0),"")</f>
        <v>"1/2"</v>
      </c>
      <c r="J37" s="254" t="str">
        <f>IFERROR(VLOOKUP($B37&amp;J$5,'Mark Leave'!$A$1:$E$1841,5,0),"")</f>
        <v/>
      </c>
      <c r="K37" s="254" t="str">
        <f>IFERROR(VLOOKUP($B37&amp;K$5,'Mark Leave'!$A$1:$E$1841,5,0),"")</f>
        <v/>
      </c>
      <c r="L37" s="254" t="str">
        <f>IFERROR(VLOOKUP($B37&amp;L$5,'Mark Leave'!$A$1:$E$1841,5,0),"")</f>
        <v/>
      </c>
      <c r="M37" s="254" t="str">
        <f>IFERROR(VLOOKUP($B37&amp;M$5,'Mark Leave'!$A$1:$E$1841,5,0),"")</f>
        <v/>
      </c>
      <c r="N37" s="254" t="str">
        <f>IFERROR(VLOOKUP($B37&amp;N$5,'Mark Leave'!$A$1:$E$1841,5,0),"")</f>
        <v/>
      </c>
      <c r="O37" s="254" t="str">
        <f>IFERROR(VLOOKUP($B37&amp;O$5,'Mark Leave'!$A$1:$E$1841,5,0),"")</f>
        <v/>
      </c>
      <c r="P37" s="254" t="str">
        <f>IFERROR(VLOOKUP($B37&amp;P$5,'Mark Leave'!$A$1:$E$1841,5,0),"")</f>
        <v/>
      </c>
      <c r="Q37" s="254" t="str">
        <f>IFERROR(VLOOKUP($B37&amp;Q$5,'Mark Leave'!$A$1:$E$1841,5,0),"")</f>
        <v/>
      </c>
      <c r="R37" s="254" t="str">
        <f>IFERROR(VLOOKUP($B37&amp;R$5,'Mark Leave'!$A$1:$E$1841,5,0),"")</f>
        <v/>
      </c>
      <c r="S37" s="254" t="str">
        <f>IFERROR(VLOOKUP($B37&amp;S$5,'Mark Leave'!$A$1:$E$1841,5,0),"")</f>
        <v/>
      </c>
      <c r="T37" s="254" t="str">
        <f>IFERROR(VLOOKUP($B37&amp;T$5,'Mark Leave'!$A$1:$E$1841,5,0),"")</f>
        <v/>
      </c>
      <c r="U37" s="254" t="str">
        <f>IFERROR(VLOOKUP($B37&amp;U$5,'Mark Leave'!$A$1:$E$1841,5,0),"")</f>
        <v/>
      </c>
      <c r="V37" s="254" t="str">
        <f>IFERROR(VLOOKUP($B37&amp;V$5,'Mark Leave'!$A$1:$E$1841,5,0),"")</f>
        <v/>
      </c>
      <c r="W37" s="254" t="str">
        <f>IFERROR(VLOOKUP($B37&amp;W$5,'Mark Leave'!$A$1:$E$1841,5,0),"")</f>
        <v/>
      </c>
      <c r="X37" s="254" t="str">
        <f>IFERROR(VLOOKUP($B37&amp;X$5,'Mark Leave'!$A$1:$E$1841,5,0),"")</f>
        <v/>
      </c>
      <c r="Y37" s="254" t="str">
        <f>IFERROR(VLOOKUP($B37&amp;Y$5,'Mark Leave'!$A$1:$E$1841,5,0),"")</f>
        <v/>
      </c>
      <c r="Z37" s="254" t="str">
        <f>IFERROR(VLOOKUP($B37&amp;Z$5,'Mark Leave'!$A$1:$E$1841,5,0),"")</f>
        <v/>
      </c>
      <c r="AA37" s="254" t="str">
        <f>IFERROR(VLOOKUP($B37&amp;AA$5,'Mark Leave'!$A$1:$E$1841,5,0),"")</f>
        <v/>
      </c>
      <c r="AB37" s="254" t="str">
        <f>IFERROR(VLOOKUP($B37&amp;AB$5,'Mark Leave'!$A$1:$E$1841,5,0),"")</f>
        <v/>
      </c>
      <c r="AC37" s="254" t="str">
        <f>IFERROR(VLOOKUP($B37&amp;AC$5,'Mark Leave'!$A$1:$E$1841,5,0),"")</f>
        <v/>
      </c>
      <c r="AD37" s="254" t="str">
        <f>IFERROR(VLOOKUP($B37&amp;AD$5,'Mark Leave'!$A$1:$E$1841,5,0),"")</f>
        <v/>
      </c>
      <c r="AE37" s="254" t="str">
        <f>IFERROR(VLOOKUP($B37&amp;AE$5,'Mark Leave'!$A$1:$E$1841,5,0),"")</f>
        <v/>
      </c>
      <c r="AF37" s="254" t="str">
        <f>IFERROR(VLOOKUP($B37&amp;AF$5,'Mark Leave'!$A$1:$E$1841,5,0),"")</f>
        <v/>
      </c>
      <c r="AG37" s="254" t="str">
        <f>IFERROR(VLOOKUP($B37&amp;AG$5,'Mark Leave'!$A$1:$E$1841,5,0),"")</f>
        <v/>
      </c>
      <c r="AH37" s="254" t="str">
        <f>IFERROR(VLOOKUP($B37&amp;AH$5,'Mark Leave'!$A$1:$E$1841,5,0),"")</f>
        <v/>
      </c>
      <c r="AI37" s="255">
        <f>IF($B37&lt;&gt;"",COUNTIF($D37:$AH37,'Setting '!$H$2),"")</f>
        <v>5</v>
      </c>
      <c r="AJ37" s="255">
        <f>IF($B37&lt;&gt;"",COUNTIF($D37:$AH37,'Setting '!$H$3)/2,"")</f>
        <v>0.5</v>
      </c>
      <c r="AK37" s="255">
        <f>IF($B37&lt;&gt;"",COUNTIF($D37:$AH37,'Setting '!$H$4),"")</f>
        <v>0</v>
      </c>
      <c r="AL37" s="255">
        <f t="shared" si="13"/>
        <v>5.5</v>
      </c>
      <c r="AM37" s="256" t="str">
        <f>IF(B37&lt;&gt;"",_xlfn.IFNA(VLOOKUP(B37,'Leave Credit Sheet'!B37:K130,10,0),""),"")</f>
        <v/>
      </c>
      <c r="AN37" s="255">
        <f t="shared" si="2"/>
        <v>24.5</v>
      </c>
      <c r="AO37" s="247">
        <f>IF(B37&lt;&gt;"",_xlfn.IFNA(INDEX('CTC Sheet'!$C$6:$N$101,MATCH(AttendanceSheet!$B37,'CTC Sheet'!$A$6:$A$101,0),MATCH(AttendanceSheet!$T$1,'CTC Sheet'!$C$5:$N$5,0)),0),"")</f>
        <v>0</v>
      </c>
      <c r="AP37" s="247">
        <f>IF(B37&lt;&gt;"",_xlfn.IFNA(INDEX('CTC Sheet'!$R$6:$AC$100,MATCH(AttendanceSheet!$B37,'CTC Sheet'!$P$6:$P$100,0),MATCH(AttendanceSheet!$T$1,'CTC Sheet'!$R$5:$AC$5,0)),0),"")</f>
        <v>410</v>
      </c>
      <c r="AQ37" s="247">
        <f t="shared" si="3"/>
        <v>3347.9984999999997</v>
      </c>
      <c r="AR37" s="247">
        <f t="shared" si="4"/>
        <v>1673.9992499999998</v>
      </c>
      <c r="AS37" s="247">
        <f t="shared" si="5"/>
        <v>2008.7990999999997</v>
      </c>
      <c r="AT37" s="247">
        <f t="shared" si="6"/>
        <v>1339.1994</v>
      </c>
      <c r="AU37" s="247">
        <f t="shared" si="7"/>
        <v>1004.3995499999999</v>
      </c>
      <c r="AV37" s="247">
        <f t="shared" si="8"/>
        <v>670.60409955</v>
      </c>
      <c r="AW37" s="247">
        <f>IF(B37&lt;&gt;"",_xlfn.IFNA(INDEX('OtherArrear payment'!$A$1:$N$95,MATCH(AttendanceSheet!$B37,'OtherArrear payment'!$A$1:$A$95,0),MATCH(AttendanceSheet!$T$1,'OtherArrear payment'!$A$1:$N$1,0)),0),"")</f>
        <v>0</v>
      </c>
      <c r="AX37" s="247">
        <f t="shared" si="14"/>
        <v>10044.999899549999</v>
      </c>
      <c r="AY37" s="247">
        <f t="shared" si="9"/>
        <v>0</v>
      </c>
      <c r="AZ37" s="247">
        <f t="shared" si="10"/>
        <v>0</v>
      </c>
      <c r="BA37" s="247">
        <f t="shared" si="11"/>
        <v>0</v>
      </c>
      <c r="BB37" s="247">
        <f t="shared" si="12"/>
        <v>0</v>
      </c>
      <c r="BC37" s="247">
        <f>IF($B37&lt;&gt;"",IF(BL37="Yes",IF($BI37="Mr.",IF($AX37&lt;=7500,0,IF(AND($AX37&lt;10000,$AX37&gt;7501),175,IF(AND($AX37&gt;10000,'Setting '!$G$28&lt;&gt;11),200,300))),IF(AND($AX37&lt;=10000,$BI37="Ms."),0,IF(AND($AX37&gt;10000,'Setting '!$G$28&lt;&gt;11),200,300))),0),"")</f>
        <v>0</v>
      </c>
      <c r="BD37" s="248"/>
      <c r="BE37" s="249">
        <f>IF($B37&lt;&gt;"",IF('Advance Sheet'!AF34&gt;=0,INDEX('Advance Sheet'!$Q$3:$AD$100,MATCH(AttendanceSheet!$B37,'Advance Sheet'!$Q$3:$Q$100,0),MATCH(AttendanceSheet!$T$1,'Advance Sheet'!$Q$3:$AD$3,)),0),"")</f>
        <v>0</v>
      </c>
      <c r="BF37" s="247">
        <f t="shared" si="15"/>
        <v>10044.999899549999</v>
      </c>
      <c r="BG37" s="250" t="str">
        <f>IF(B37&lt;&gt;"",VLOOKUP(B37,'Employee Details'!A36:S119,17,0),"")</f>
        <v>No</v>
      </c>
      <c r="BH37" s="250" t="str">
        <f>IF(B37&lt;&gt;"",VLOOKUP(B37,'Employee Details'!A36:S119,18,0),"")</f>
        <v>No</v>
      </c>
      <c r="BI37" s="251" t="str">
        <f>IF(B37&lt;&gt;"",VLOOKUP(B37,'Employee Details'!A35:S118,19,0),"")</f>
        <v>Mr.</v>
      </c>
      <c r="BJ37" s="252" t="str">
        <f>IF(B37&lt;&gt;"",VLOOKUP(B37,'Employee Details'!A36:D75,4,0),"")</f>
        <v>OFFROLL</v>
      </c>
      <c r="BK37" s="252" t="str">
        <f>IF(B37&lt;&gt;"",VLOOKUP(B37,'Employee Details'!A36:E119,5,0),"")</f>
        <v>DINESH THAKARE</v>
      </c>
      <c r="BL37" s="210" t="str">
        <f>IF(B37&lt;&gt;"",VLOOKUP(B37,'Employee Details'!A36:U119,21,0),"")</f>
        <v>No</v>
      </c>
      <c r="BM37" s="104"/>
      <c r="BO37" s="104"/>
      <c r="BP37" s="104">
        <f t="shared" si="16"/>
        <v>0</v>
      </c>
    </row>
    <row r="38" spans="2:68" ht="16.5" thickTop="1" thickBot="1" x14ac:dyDescent="0.3">
      <c r="B38" s="253" t="str">
        <f>_xlfn.IFNA(INDEX('Employee Details'!$A$7:$A41,MATCH(AttendanceSheet!$C38,'Employee Details'!$B$7:$B47,0)),"")</f>
        <v>Emp_0034</v>
      </c>
      <c r="C38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'!$J$1:J32))),"")</f>
        <v>RUPESH GIRANE</v>
      </c>
      <c r="D38" s="254" t="str">
        <f>IFERROR(VLOOKUP($B38&amp;D$5,'Mark Leave'!$A$1:$E$1841,5,0),"")</f>
        <v>A</v>
      </c>
      <c r="E38" s="254" t="str">
        <f>IFERROR(VLOOKUP($B38&amp;E$5,'Mark Leave'!$A$1:$E$1841,5,0),"")</f>
        <v>A</v>
      </c>
      <c r="F38" s="254" t="str">
        <f>IFERROR(VLOOKUP($B38&amp;F$5,'Mark Leave'!$A$1:$E$1841,5,0),"")</f>
        <v>A</v>
      </c>
      <c r="G38" s="254" t="str">
        <f>IFERROR(VLOOKUP($B38&amp;G$5,'Mark Leave'!$A$1:$E$1841,5,0),"")</f>
        <v>A</v>
      </c>
      <c r="H38" s="254" t="str">
        <f>IFERROR(VLOOKUP($B38&amp;H$5,'Mark Leave'!$A$1:$E$1841,5,0),"")</f>
        <v>A</v>
      </c>
      <c r="I38" s="254" t="str">
        <f>IFERROR(VLOOKUP($B38&amp;I$5,'Mark Leave'!$A$1:$E$1841,5,0),"")</f>
        <v/>
      </c>
      <c r="J38" s="254" t="str">
        <f>IFERROR(VLOOKUP($B38&amp;J$5,'Mark Leave'!$A$1:$E$1841,5,0),"")</f>
        <v/>
      </c>
      <c r="K38" s="254" t="str">
        <f>IFERROR(VLOOKUP($B38&amp;K$5,'Mark Leave'!$A$1:$E$1841,5,0),"")</f>
        <v/>
      </c>
      <c r="L38" s="254" t="str">
        <f>IFERROR(VLOOKUP($B38&amp;L$5,'Mark Leave'!$A$1:$E$1841,5,0),"")</f>
        <v/>
      </c>
      <c r="M38" s="254" t="str">
        <f>IFERROR(VLOOKUP($B38&amp;M$5,'Mark Leave'!$A$1:$E$1841,5,0),"")</f>
        <v/>
      </c>
      <c r="N38" s="254" t="str">
        <f>IFERROR(VLOOKUP($B38&amp;N$5,'Mark Leave'!$A$1:$E$1841,5,0),"")</f>
        <v/>
      </c>
      <c r="O38" s="254" t="str">
        <f>IFERROR(VLOOKUP($B38&amp;O$5,'Mark Leave'!$A$1:$E$1841,5,0),"")</f>
        <v/>
      </c>
      <c r="P38" s="254" t="str">
        <f>IFERROR(VLOOKUP($B38&amp;P$5,'Mark Leave'!$A$1:$E$1841,5,0),"")</f>
        <v/>
      </c>
      <c r="Q38" s="254" t="str">
        <f>IFERROR(VLOOKUP($B38&amp;Q$5,'Mark Leave'!$A$1:$E$1841,5,0),"")</f>
        <v/>
      </c>
      <c r="R38" s="254" t="str">
        <f>IFERROR(VLOOKUP($B38&amp;R$5,'Mark Leave'!$A$1:$E$1841,5,0),"")</f>
        <v/>
      </c>
      <c r="S38" s="254" t="str">
        <f>IFERROR(VLOOKUP($B38&amp;S$5,'Mark Leave'!$A$1:$E$1841,5,0),"")</f>
        <v/>
      </c>
      <c r="T38" s="254" t="str">
        <f>IFERROR(VLOOKUP($B38&amp;T$5,'Mark Leave'!$A$1:$E$1841,5,0),"")</f>
        <v/>
      </c>
      <c r="U38" s="254" t="str">
        <f>IFERROR(VLOOKUP($B38&amp;U$5,'Mark Leave'!$A$1:$E$1841,5,0),"")</f>
        <v/>
      </c>
      <c r="V38" s="254" t="str">
        <f>IFERROR(VLOOKUP($B38&amp;V$5,'Mark Leave'!$A$1:$E$1841,5,0),"")</f>
        <v/>
      </c>
      <c r="W38" s="254" t="str">
        <f>IFERROR(VLOOKUP($B38&amp;W$5,'Mark Leave'!$A$1:$E$1841,5,0),"")</f>
        <v/>
      </c>
      <c r="X38" s="254" t="str">
        <f>IFERROR(VLOOKUP($B38&amp;X$5,'Mark Leave'!$A$1:$E$1841,5,0),"")</f>
        <v/>
      </c>
      <c r="Y38" s="254" t="str">
        <f>IFERROR(VLOOKUP($B38&amp;Y$5,'Mark Leave'!$A$1:$E$1841,5,0),"")</f>
        <v/>
      </c>
      <c r="Z38" s="254" t="str">
        <f>IFERROR(VLOOKUP($B38&amp;Z$5,'Mark Leave'!$A$1:$E$1841,5,0),"")</f>
        <v/>
      </c>
      <c r="AA38" s="254" t="str">
        <f>IFERROR(VLOOKUP($B38&amp;AA$5,'Mark Leave'!$A$1:$E$1841,5,0),"")</f>
        <v/>
      </c>
      <c r="AB38" s="254" t="str">
        <f>IFERROR(VLOOKUP($B38&amp;AB$5,'Mark Leave'!$A$1:$E$1841,5,0),"")</f>
        <v/>
      </c>
      <c r="AC38" s="254" t="str">
        <f>IFERROR(VLOOKUP($B38&amp;AC$5,'Mark Leave'!$A$1:$E$1841,5,0),"")</f>
        <v/>
      </c>
      <c r="AD38" s="254" t="str">
        <f>IFERROR(VLOOKUP($B38&amp;AD$5,'Mark Leave'!$A$1:$E$1841,5,0),"")</f>
        <v/>
      </c>
      <c r="AE38" s="254" t="str">
        <f>IFERROR(VLOOKUP($B38&amp;AE$5,'Mark Leave'!$A$1:$E$1841,5,0),"")</f>
        <v/>
      </c>
      <c r="AF38" s="254" t="str">
        <f>IFERROR(VLOOKUP($B38&amp;AF$5,'Mark Leave'!$A$1:$E$1841,5,0),"")</f>
        <v/>
      </c>
      <c r="AG38" s="254" t="str">
        <f>IFERROR(VLOOKUP($B38&amp;AG$5,'Mark Leave'!$A$1:$E$1841,5,0),"")</f>
        <v/>
      </c>
      <c r="AH38" s="254">
        <f>IFERROR(VLOOKUP($B38&amp;AH$5,'Mark Leave'!$A$1:$E$1841,5,0),"")</f>
        <v>0</v>
      </c>
      <c r="AI38" s="255">
        <f>IF($B38&lt;&gt;"",COUNTIF($D38:$AH38,'Setting '!$H$2),"")</f>
        <v>5</v>
      </c>
      <c r="AJ38" s="255">
        <f>IF($B38&lt;&gt;"",COUNTIF($D38:$AH38,'Setting '!$H$3)/2,"")</f>
        <v>0</v>
      </c>
      <c r="AK38" s="255">
        <f>IF($B38&lt;&gt;"",COUNTIF($D38:$AH38,'Setting '!$H$4),"")</f>
        <v>0</v>
      </c>
      <c r="AL38" s="255">
        <f t="shared" si="13"/>
        <v>5</v>
      </c>
      <c r="AM38" s="256" t="str">
        <f>IF(B38&lt;&gt;"",_xlfn.IFNA(VLOOKUP(B38,'Leave Credit Sheet'!B38:K131,10,0),""),"")</f>
        <v/>
      </c>
      <c r="AN38" s="255">
        <f t="shared" si="2"/>
        <v>25</v>
      </c>
      <c r="AO38" s="247">
        <f>IF(B38&lt;&gt;"",_xlfn.IFNA(INDEX('CTC Sheet'!$C$6:$N$101,MATCH(AttendanceSheet!$B38,'CTC Sheet'!$A$6:$A$101,0),MATCH(AttendanceSheet!$T$1,'CTC Sheet'!$C$5:$N$5,0)),0),"")</f>
        <v>0</v>
      </c>
      <c r="AP38" s="247">
        <f>IF(B38&lt;&gt;"",_xlfn.IFNA(INDEX('CTC Sheet'!$R$6:$AC$100,MATCH(AttendanceSheet!$B38,'CTC Sheet'!$P$6:$P$100,0),MATCH(AttendanceSheet!$T$1,'CTC Sheet'!$R$5:$AC$5,0)),0),"")</f>
        <v>300</v>
      </c>
      <c r="AQ38" s="247">
        <f t="shared" si="3"/>
        <v>2499.75</v>
      </c>
      <c r="AR38" s="247">
        <f t="shared" si="4"/>
        <v>1249.875</v>
      </c>
      <c r="AS38" s="247">
        <f t="shared" si="5"/>
        <v>1499.85</v>
      </c>
      <c r="AT38" s="247">
        <f t="shared" si="6"/>
        <v>999.90000000000009</v>
      </c>
      <c r="AU38" s="247">
        <f t="shared" si="7"/>
        <v>749.92499999999995</v>
      </c>
      <c r="AV38" s="247">
        <f t="shared" si="8"/>
        <v>500.69992500000001</v>
      </c>
      <c r="AW38" s="247">
        <f>IF(B38&lt;&gt;"",_xlfn.IFNA(INDEX('OtherArrear payment'!$A$1:$N$95,MATCH(AttendanceSheet!$B38,'OtherArrear payment'!$A$1:$A$95,0),MATCH(AttendanceSheet!$T$1,'OtherArrear payment'!$A$1:$N$1,0)),0),"")</f>
        <v>0</v>
      </c>
      <c r="AX38" s="247">
        <f t="shared" si="14"/>
        <v>7499.9999250000001</v>
      </c>
      <c r="AY38" s="247">
        <f t="shared" si="9"/>
        <v>0</v>
      </c>
      <c r="AZ38" s="247">
        <f t="shared" si="10"/>
        <v>0</v>
      </c>
      <c r="BA38" s="247">
        <f t="shared" si="11"/>
        <v>0</v>
      </c>
      <c r="BB38" s="247">
        <f t="shared" si="12"/>
        <v>0</v>
      </c>
      <c r="BC38" s="247">
        <f>IF($B38&lt;&gt;"",IF(BL38="Yes",IF($BI38="Mr.",IF($AX38&lt;=7500,0,IF(AND($AX38&lt;10000,$AX38&gt;7501),175,IF(AND($AX38&gt;10000,'Setting '!$G$28&lt;&gt;11),200,300))),IF(AND($AX38&lt;=10000,$BI38="Ms."),0,IF(AND($AX38&gt;10000,'Setting '!$G$28&lt;&gt;11),200,300))),0),"")</f>
        <v>0</v>
      </c>
      <c r="BD38" s="248"/>
      <c r="BE38" s="249">
        <f>IF($B38&lt;&gt;"",IF('Advance Sheet'!AF35&gt;=0,INDEX('Advance Sheet'!$Q$3:$AD$100,MATCH(AttendanceSheet!$B38,'Advance Sheet'!$Q$3:$Q$100,0),MATCH(AttendanceSheet!$T$1,'Advance Sheet'!$Q$3:$AD$3,)),0),"")</f>
        <v>0</v>
      </c>
      <c r="BF38" s="247">
        <f t="shared" si="15"/>
        <v>7499.9999250000001</v>
      </c>
      <c r="BG38" s="250" t="str">
        <f>IF(B38&lt;&gt;"",VLOOKUP(B38,'Employee Details'!A37:S120,17,0),"")</f>
        <v>No</v>
      </c>
      <c r="BH38" s="250" t="str">
        <f>IF(B38&lt;&gt;"",VLOOKUP(B38,'Employee Details'!A37:S120,18,0),"")</f>
        <v>No</v>
      </c>
      <c r="BI38" s="251" t="str">
        <f>IF(B38&lt;&gt;"",VLOOKUP(B38,'Employee Details'!A36:S119,19,0),"")</f>
        <v>Mr.</v>
      </c>
      <c r="BJ38" s="252" t="str">
        <f>IF(B38&lt;&gt;"",VLOOKUP(B38,'Employee Details'!A37:D76,4,0),"")</f>
        <v>OFFROLL</v>
      </c>
      <c r="BK38" s="252" t="str">
        <f>IF(B38&lt;&gt;"",VLOOKUP(B38,'Employee Details'!A37:E120,5,0),"")</f>
        <v>DINESH THAKARE</v>
      </c>
      <c r="BL38" s="210" t="str">
        <f>IF(B38&lt;&gt;"",VLOOKUP(B38,'Employee Details'!A37:U120,21,0),"")</f>
        <v>No</v>
      </c>
      <c r="BM38" s="104"/>
      <c r="BO38" s="104"/>
      <c r="BP38" s="104">
        <f t="shared" si="16"/>
        <v>0</v>
      </c>
    </row>
    <row r="39" spans="2:68" ht="16.5" thickTop="1" thickBot="1" x14ac:dyDescent="0.3">
      <c r="B39" s="253" t="str">
        <f>_xlfn.IFNA(INDEX('Employee Details'!$A$7:$A42,MATCH(AttendanceSheet!$C39,'Employee Details'!$B$7:$B48,0)),"")</f>
        <v>Emp_0035</v>
      </c>
      <c r="C39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'!$J$1:J33))),"")</f>
        <v>VICKY THAKARE</v>
      </c>
      <c r="D39" s="254" t="str">
        <f>IFERROR(VLOOKUP($B39&amp;D$5,'Mark Leave'!$A$1:$E$1841,5,0),"")</f>
        <v>A</v>
      </c>
      <c r="E39" s="254" t="str">
        <f>IFERROR(VLOOKUP($B39&amp;E$5,'Mark Leave'!$A$1:$E$1841,5,0),"")</f>
        <v>A</v>
      </c>
      <c r="F39" s="254" t="str">
        <f>IFERROR(VLOOKUP($B39&amp;F$5,'Mark Leave'!$A$1:$E$1841,5,0),"")</f>
        <v>A</v>
      </c>
      <c r="G39" s="254" t="str">
        <f>IFERROR(VLOOKUP($B39&amp;G$5,'Mark Leave'!$A$1:$E$1841,5,0),"")</f>
        <v>A</v>
      </c>
      <c r="H39" s="254" t="str">
        <f>IFERROR(VLOOKUP($B39&amp;H$5,'Mark Leave'!$A$1:$E$1841,5,0),"")</f>
        <v/>
      </c>
      <c r="I39" s="254" t="str">
        <f>IFERROR(VLOOKUP($B39&amp;I$5,'Mark Leave'!$A$1:$E$1841,5,0),"")</f>
        <v/>
      </c>
      <c r="J39" s="254" t="str">
        <f>IFERROR(VLOOKUP($B39&amp;J$5,'Mark Leave'!$A$1:$E$1841,5,0),"")</f>
        <v/>
      </c>
      <c r="K39" s="254" t="str">
        <f>IFERROR(VLOOKUP($B39&amp;K$5,'Mark Leave'!$A$1:$E$1841,5,0),"")</f>
        <v/>
      </c>
      <c r="L39" s="254" t="str">
        <f>IFERROR(VLOOKUP($B39&amp;L$5,'Mark Leave'!$A$1:$E$1841,5,0),"")</f>
        <v/>
      </c>
      <c r="M39" s="254" t="str">
        <f>IFERROR(VLOOKUP($B39&amp;M$5,'Mark Leave'!$A$1:$E$1841,5,0),"")</f>
        <v/>
      </c>
      <c r="N39" s="254" t="str">
        <f>IFERROR(VLOOKUP($B39&amp;N$5,'Mark Leave'!$A$1:$E$1841,5,0),"")</f>
        <v/>
      </c>
      <c r="O39" s="254" t="str">
        <f>IFERROR(VLOOKUP($B39&amp;O$5,'Mark Leave'!$A$1:$E$1841,5,0),"")</f>
        <v/>
      </c>
      <c r="P39" s="254" t="str">
        <f>IFERROR(VLOOKUP($B39&amp;P$5,'Mark Leave'!$A$1:$E$1841,5,0),"")</f>
        <v/>
      </c>
      <c r="Q39" s="254" t="str">
        <f>IFERROR(VLOOKUP($B39&amp;Q$5,'Mark Leave'!$A$1:$E$1841,5,0),"")</f>
        <v/>
      </c>
      <c r="R39" s="254" t="str">
        <f>IFERROR(VLOOKUP($B39&amp;R$5,'Mark Leave'!$A$1:$E$1841,5,0),"")</f>
        <v/>
      </c>
      <c r="S39" s="254" t="str">
        <f>IFERROR(VLOOKUP($B39&amp;S$5,'Mark Leave'!$A$1:$E$1841,5,0),"")</f>
        <v/>
      </c>
      <c r="T39" s="254" t="str">
        <f>IFERROR(VLOOKUP($B39&amp;T$5,'Mark Leave'!$A$1:$E$1841,5,0),"")</f>
        <v/>
      </c>
      <c r="U39" s="254" t="str">
        <f>IFERROR(VLOOKUP($B39&amp;U$5,'Mark Leave'!$A$1:$E$1841,5,0),"")</f>
        <v/>
      </c>
      <c r="V39" s="254" t="str">
        <f>IFERROR(VLOOKUP($B39&amp;V$5,'Mark Leave'!$A$1:$E$1841,5,0),"")</f>
        <v/>
      </c>
      <c r="W39" s="254" t="str">
        <f>IFERROR(VLOOKUP($B39&amp;W$5,'Mark Leave'!$A$1:$E$1841,5,0),"")</f>
        <v/>
      </c>
      <c r="X39" s="254" t="str">
        <f>IFERROR(VLOOKUP($B39&amp;X$5,'Mark Leave'!$A$1:$E$1841,5,0),"")</f>
        <v/>
      </c>
      <c r="Y39" s="254" t="str">
        <f>IFERROR(VLOOKUP($B39&amp;Y$5,'Mark Leave'!$A$1:$E$1841,5,0),"")</f>
        <v/>
      </c>
      <c r="Z39" s="254" t="str">
        <f>IFERROR(VLOOKUP($B39&amp;Z$5,'Mark Leave'!$A$1:$E$1841,5,0),"")</f>
        <v/>
      </c>
      <c r="AA39" s="254" t="str">
        <f>IFERROR(VLOOKUP($B39&amp;AA$5,'Mark Leave'!$A$1:$E$1841,5,0),"")</f>
        <v/>
      </c>
      <c r="AB39" s="254" t="str">
        <f>IFERROR(VLOOKUP($B39&amp;AB$5,'Mark Leave'!$A$1:$E$1841,5,0),"")</f>
        <v/>
      </c>
      <c r="AC39" s="254" t="str">
        <f>IFERROR(VLOOKUP($B39&amp;AC$5,'Mark Leave'!$A$1:$E$1841,5,0),"")</f>
        <v/>
      </c>
      <c r="AD39" s="254" t="str">
        <f>IFERROR(VLOOKUP($B39&amp;AD$5,'Mark Leave'!$A$1:$E$1841,5,0),"")</f>
        <v/>
      </c>
      <c r="AE39" s="254" t="str">
        <f>IFERROR(VLOOKUP($B39&amp;AE$5,'Mark Leave'!$A$1:$E$1841,5,0),"")</f>
        <v/>
      </c>
      <c r="AF39" s="254" t="str">
        <f>IFERROR(VLOOKUP($B39&amp;AF$5,'Mark Leave'!$A$1:$E$1841,5,0),"")</f>
        <v/>
      </c>
      <c r="AG39" s="254" t="str">
        <f>IFERROR(VLOOKUP($B39&amp;AG$5,'Mark Leave'!$A$1:$E$1841,5,0),"")</f>
        <v/>
      </c>
      <c r="AH39" s="254" t="str">
        <f>IFERROR(VLOOKUP($B39&amp;AH$5,'Mark Leave'!$A$1:$E$1841,5,0),"")</f>
        <v/>
      </c>
      <c r="AI39" s="255">
        <f>IF($B39&lt;&gt;"",COUNTIF($D39:$AH39,'Setting '!$H$2),"")</f>
        <v>4</v>
      </c>
      <c r="AJ39" s="255">
        <f>IF($B39&lt;&gt;"",COUNTIF($D39:$AH39,'Setting '!$H$3)/2,"")</f>
        <v>0</v>
      </c>
      <c r="AK39" s="255">
        <f>IF($B39&lt;&gt;"",COUNTIF($D39:$AH39,'Setting '!$H$4),"")</f>
        <v>0</v>
      </c>
      <c r="AL39" s="255">
        <f t="shared" si="13"/>
        <v>4</v>
      </c>
      <c r="AM39" s="256" t="str">
        <f>IF(B39&lt;&gt;"",_xlfn.IFNA(VLOOKUP(B39,'Leave Credit Sheet'!B39:K132,10,0),""),"")</f>
        <v/>
      </c>
      <c r="AN39" s="255">
        <f t="shared" ref="AN39:AN70" si="17">IF(B39&lt;&gt;"",IF(BJ39="ONROLL",($E$1-$AM39),$E$1-AL39),"")</f>
        <v>26</v>
      </c>
      <c r="AO39" s="247">
        <f>IF(B39&lt;&gt;"",_xlfn.IFNA(INDEX('CTC Sheet'!$C$6:$N$101,MATCH(AttendanceSheet!$B39,'CTC Sheet'!$A$6:$A$101,0),MATCH(AttendanceSheet!$T$1,'CTC Sheet'!$C$5:$N$5,0)),0),"")</f>
        <v>0</v>
      </c>
      <c r="AP39" s="247">
        <f>IF(B39&lt;&gt;"",_xlfn.IFNA(INDEX('CTC Sheet'!$R$6:$AC$100,MATCH(AttendanceSheet!$B39,'CTC Sheet'!$P$6:$P$100,0),MATCH(AttendanceSheet!$T$1,'CTC Sheet'!$R$5:$AC$5,0)),0),"")</f>
        <v>310</v>
      </c>
      <c r="AQ39" s="247">
        <f t="shared" ref="AQ39:AQ70" si="18">IF($B39&lt;&gt;"",IF($AO39&lt;&gt;0,(($AO39/$E$1)*$AN39)*33.33%,(($AN39*$AP39)*33.33%)),"")</f>
        <v>2686.3979999999997</v>
      </c>
      <c r="AR39" s="247">
        <f t="shared" ref="AR39:AR70" si="19">IF($B39&lt;&gt;"",$AQ39*50%,"")</f>
        <v>1343.1989999999998</v>
      </c>
      <c r="AS39" s="247">
        <f t="shared" ref="AS39:AS70" si="20">IF($B39&lt;&gt;"",$AQ39*60%,"")</f>
        <v>1611.8387999999998</v>
      </c>
      <c r="AT39" s="247">
        <f t="shared" ref="AT39:AT70" si="21">IF($B39&lt;&gt;"",$AQ39*40%,"")</f>
        <v>1074.5591999999999</v>
      </c>
      <c r="AU39" s="247">
        <f t="shared" ref="AU39:AU70" si="22">IF($B39&lt;&gt;"",$AQ39*30%,"")</f>
        <v>805.91939999999988</v>
      </c>
      <c r="AV39" s="247">
        <f t="shared" ref="AV39:AV70" si="23">IF($B39&lt;&gt;"",$AQ39*20.03%,"")</f>
        <v>538.08551939999995</v>
      </c>
      <c r="AW39" s="247">
        <f>IF(B39&lt;&gt;"",_xlfn.IFNA(INDEX('OtherArrear payment'!$A$1:$N$95,MATCH(AttendanceSheet!$B39,'OtherArrear payment'!$A$1:$A$95,0),MATCH(AttendanceSheet!$T$1,'OtherArrear payment'!$A$1:$N$1,0)),0),"")</f>
        <v>20</v>
      </c>
      <c r="AX39" s="247">
        <f t="shared" si="14"/>
        <v>8059.9999193999984</v>
      </c>
      <c r="AY39" s="247">
        <f t="shared" ref="AY39:AY70" si="24">IF($BG39="YES",IF($B39&lt;&gt;"",IF(($AQ39+$AR39)&lt;=15000,($AQ39+$AR39)*13%,1800),""),0)</f>
        <v>0</v>
      </c>
      <c r="AZ39" s="247">
        <f t="shared" ref="AZ39:AZ70" si="25">IF($BG39="YES",IF($B39&lt;&gt;"",IF(($AQ39+$AR39)&lt;=15000,($AQ39+$AR39)*12%,1800),""),0)</f>
        <v>0</v>
      </c>
      <c r="BA39" s="247">
        <f t="shared" ref="BA39:BA70" si="26">IF($BH39="Yes",IF($B39&lt;&gt;"",IF($AX39&lt;=21000,$AX39*3.25%,0),""),0)</f>
        <v>0</v>
      </c>
      <c r="BB39" s="247">
        <f t="shared" ref="BB39:BB70" si="27">IF($BH39="Yes",IF($B39&lt;&gt;"",IF($AX39&lt;=21000,$AX39*0.75%,0),""),0)</f>
        <v>0</v>
      </c>
      <c r="BC39" s="247">
        <f>IF($B39&lt;&gt;"",IF(BL39="Yes",IF($BI39="Mr.",IF($AX39&lt;=7500,0,IF(AND($AX39&lt;10000,$AX39&gt;7501),175,IF(AND($AX39&gt;10000,'Setting '!$G$28&lt;&gt;11),200,300))),IF(AND($AX39&lt;=10000,$BI39="Ms."),0,IF(AND($AX39&gt;10000,'Setting '!$G$28&lt;&gt;11),200,300))),0),"")</f>
        <v>0</v>
      </c>
      <c r="BD39" s="248"/>
      <c r="BE39" s="249">
        <f>IF($B39&lt;&gt;"",IF('Advance Sheet'!AF36&gt;=0,INDEX('Advance Sheet'!$Q$3:$AD$100,MATCH(AttendanceSheet!$B39,'Advance Sheet'!$Q$3:$Q$100,0),MATCH(AttendanceSheet!$T$1,'Advance Sheet'!$Q$3:$AD$3,)),0),"")</f>
        <v>0</v>
      </c>
      <c r="BF39" s="247">
        <f t="shared" si="15"/>
        <v>8079.9999193999984</v>
      </c>
      <c r="BG39" s="250" t="str">
        <f>IF(B39&lt;&gt;"",VLOOKUP(B39,'Employee Details'!A38:S121,17,0),"")</f>
        <v>No</v>
      </c>
      <c r="BH39" s="250" t="str">
        <f>IF(B39&lt;&gt;"",VLOOKUP(B39,'Employee Details'!A38:S121,18,0),"")</f>
        <v>No</v>
      </c>
      <c r="BI39" s="251" t="str">
        <f>IF(B39&lt;&gt;"",VLOOKUP(B39,'Employee Details'!A37:S120,19,0),"")</f>
        <v>Mr.</v>
      </c>
      <c r="BJ39" s="252" t="str">
        <f>IF(B39&lt;&gt;"",VLOOKUP(B39,'Employee Details'!A38:D77,4,0),"")</f>
        <v>OFFROLL</v>
      </c>
      <c r="BK39" s="252" t="str">
        <f>IF(B39&lt;&gt;"",VLOOKUP(B39,'Employee Details'!A38:E121,5,0),"")</f>
        <v>DINESH THAKARE</v>
      </c>
      <c r="BL39" s="210" t="str">
        <f>IF(B39&lt;&gt;"",VLOOKUP(B39,'Employee Details'!A38:U121,21,0),"")</f>
        <v>No</v>
      </c>
      <c r="BM39" s="104"/>
      <c r="BO39" s="104"/>
      <c r="BP39" s="104">
        <f t="shared" si="16"/>
        <v>0</v>
      </c>
    </row>
    <row r="40" spans="2:68" ht="16.5" thickTop="1" thickBot="1" x14ac:dyDescent="0.3">
      <c r="B40" s="253" t="str">
        <f>_xlfn.IFNA(INDEX('Employee Details'!$A$7:$A43,MATCH(AttendanceSheet!$C40,'Employee Details'!$B$7:$B49,0)),"")</f>
        <v>Emp_0036</v>
      </c>
      <c r="C40" s="252" t="str">
        <f>IFERROR(INDEX('Employee Details'!$B$7:$B$100,_xlfn.AGGREGATE(15,3,('Employee Details'!$F$7:$F$100='Setting '!$F$2)/('Employee Details'!$F$7:$F$100='Setting '!$F$2)*ROW('Employee Details'!$F$7:$F$100)-ROW('Employee Details'!$F$6),ROWS('Setting '!$J$1:J34))),"")</f>
        <v>VILAS THAKARE</v>
      </c>
      <c r="D40" s="254" t="str">
        <f>IFERROR(VLOOKUP($B40&amp;D$5,'Mark Leave'!$A$1:$E$1841,5,0),"")</f>
        <v>A</v>
      </c>
      <c r="E40" s="254" t="str">
        <f>IFERROR(VLOOKUP($B40&amp;E$5,'Mark Leave'!$A$1:$E$1841,5,0),"")</f>
        <v>A</v>
      </c>
      <c r="F40" s="254" t="str">
        <f>IFERROR(VLOOKUP($B40&amp;F$5,'Mark Leave'!$A$1:$E$1841,5,0),"")</f>
        <v>A</v>
      </c>
      <c r="G40" s="254" t="str">
        <f>IFERROR(VLOOKUP($B40&amp;G$5,'Mark Leave'!$A$1:$E$1841,5,0),"")</f>
        <v>A</v>
      </c>
      <c r="H40" s="254" t="str">
        <f>IFERROR(VLOOKUP($B40&amp;H$5,'Mark Leave'!$A$1:$E$1841,5,0),"")</f>
        <v>A</v>
      </c>
      <c r="I40" s="254" t="str">
        <f>IFERROR(VLOOKUP($B40&amp;I$5,'Mark Leave'!$A$1:$E$1841,5,0),"")</f>
        <v>A</v>
      </c>
      <c r="J40" s="254" t="str">
        <f>IFERROR(VLOOKUP($B40&amp;J$5,'Mark Leave'!$A$1:$E$1841,5,0),"")</f>
        <v>A</v>
      </c>
      <c r="K40" s="254" t="str">
        <f>IFERROR(VLOOKUP($B40&amp;K$5,'Mark Leave'!$A$1:$E$1841,5,0),"")</f>
        <v>A</v>
      </c>
      <c r="L40" s="254" t="str">
        <f>IFERROR(VLOOKUP($B40&amp;L$5,'Mark Leave'!$A$1:$E$1841,5,0),"")</f>
        <v>A</v>
      </c>
      <c r="M40" s="254" t="str">
        <f>IFERROR(VLOOKUP($B40&amp;M$5,'Mark Leave'!$A$1:$E$1841,5,0),"")</f>
        <v>A</v>
      </c>
      <c r="N40" s="254" t="str">
        <f>IFERROR(VLOOKUP($B40&amp;N$5,'Mark Leave'!$A$1:$E$1841,5,0),"")</f>
        <v>A</v>
      </c>
      <c r="O40" s="254" t="str">
        <f>IFERROR(VLOOKUP($B40&amp;O$5,'Mark Leave'!$A$1:$E$1841,5,0),"")</f>
        <v>A</v>
      </c>
      <c r="P40" s="254" t="str">
        <f>IFERROR(VLOOKUP($B40&amp;P$5,'Mark Leave'!$A$1:$E$1841,5,0),"")</f>
        <v>A</v>
      </c>
      <c r="Q40" s="254" t="str">
        <f>IFERROR(VLOOKUP($B40&amp;Q$5,'Mark Leave'!$A$1:$E$1841,5,0),"")</f>
        <v/>
      </c>
      <c r="R40" s="254">
        <f>IFERROR(VLOOKUP($B40&amp;R$5,'Mark Leave'!$A$1:$E$1841,5,0),"")</f>
        <v>0</v>
      </c>
      <c r="S40" s="254" t="str">
        <f>IFERROR(VLOOKUP($B40&amp;S$5,'Mark Leave'!$A$1:$E$1841,5,0),"")</f>
        <v/>
      </c>
      <c r="T40" s="254" t="str">
        <f>IFERROR(VLOOKUP($B40&amp;T$5,'Mark Leave'!$A$1:$E$1841,5,0),"")</f>
        <v/>
      </c>
      <c r="U40" s="254" t="str">
        <f>IFERROR(VLOOKUP($B40&amp;U$5,'Mark Leave'!$A$1:$E$1841,5,0),"")</f>
        <v/>
      </c>
      <c r="V40" s="254" t="str">
        <f>IFERROR(VLOOKUP($B40&amp;V$5,'Mark Leave'!$A$1:$E$1841,5,0),"")</f>
        <v/>
      </c>
      <c r="W40" s="254" t="str">
        <f>IFERROR(VLOOKUP($B40&amp;W$5,'Mark Leave'!$A$1:$E$1841,5,0),"")</f>
        <v/>
      </c>
      <c r="X40" s="254" t="str">
        <f>IFERROR(VLOOKUP($B40&amp;X$5,'Mark Leave'!$A$1:$E$1841,5,0),"")</f>
        <v/>
      </c>
      <c r="Y40" s="254" t="str">
        <f>IFERROR(VLOOKUP($B40&amp;Y$5,'Mark Leave'!$A$1:$E$1841,5,0),"")</f>
        <v/>
      </c>
      <c r="Z40" s="254" t="str">
        <f>IFERROR(VLOOKUP($B40&amp;Z$5,'Mark Leave'!$A$1:$E$1841,5,0),"")</f>
        <v/>
      </c>
      <c r="AA40" s="254" t="str">
        <f>IFERROR(VLOOKUP($B40&amp;AA$5,'Mark Leave'!$A$1:$E$1841,5,0),"")</f>
        <v/>
      </c>
      <c r="AB40" s="254" t="str">
        <f>IFERROR(VLOOKUP($B40&amp;AB$5,'Mark Leave'!$A$1:$E$1841,5,0),"")</f>
        <v/>
      </c>
      <c r="AC40" s="254" t="str">
        <f>IFERROR(VLOOKUP($B40&amp;AC$5,'Mark Leave'!$A$1:$E$1841,5,0),"")</f>
        <v/>
      </c>
      <c r="AD40" s="254" t="str">
        <f>IFERROR(VLOOKUP($B40&amp;AD$5,'Mark Leave'!$A$1:$E$1841,5,0),"")</f>
        <v/>
      </c>
      <c r="AE40" s="254" t="str">
        <f>IFERROR(VLOOKUP($B40&amp;AE$5,'Mark Leave'!$A$1:$E$1841,5,0),"")</f>
        <v/>
      </c>
      <c r="AF40" s="254" t="str">
        <f>IFERROR(VLOOKUP($B40&amp;AF$5,'Mark Leave'!$A$1:$E$1841,5,0),"")</f>
        <v/>
      </c>
      <c r="AG40" s="254" t="str">
        <f>IFERROR(VLOOKUP($B40&amp;AG$5,'Mark Leave'!$A$1:$E$1841,5,0),"")</f>
        <v/>
      </c>
      <c r="AH40" s="254">
        <f>IFERROR(VLOOKUP($B40&amp;AH$5,'Mark Leave'!$A$1:$E$1841,5,0),"")</f>
        <v>0</v>
      </c>
      <c r="AI40" s="255">
        <f>IF($B40&lt;&gt;"",COUNTIF($D40:$AH40,'Setting '!$H$2),"")</f>
        <v>13</v>
      </c>
      <c r="AJ40" s="255">
        <f>IF($B40&lt;&gt;"",COUNTIF($D40:$AH40,'Setting '!$H$3)/2,"")</f>
        <v>0</v>
      </c>
      <c r="AK40" s="255">
        <f>IF($B40&lt;&gt;"",COUNTIF($D40:$AH40,'Setting '!$H$4),"")</f>
        <v>0</v>
      </c>
      <c r="AL40" s="255">
        <f t="shared" si="13"/>
        <v>13</v>
      </c>
      <c r="AM40" s="256" t="str">
        <f>IF(B40&lt;&gt;"",_xlfn.IFNA(VLOOKUP(B40,'Leave Credit Sheet'!B40:K133,10,0),""),"")</f>
        <v/>
      </c>
      <c r="AN40" s="255">
        <f t="shared" si="17"/>
        <v>17</v>
      </c>
      <c r="AO40" s="247">
        <f>IF(B40&lt;&gt;"",_xlfn.IFNA(INDEX('CTC Sheet'!$C$6:$N$101,MATCH(AttendanceSheet!$B40,'CTC Sheet'!$A$6:$A$101,0),MATCH(AttendanceSheet!$T$1,'CTC Sheet'!$C$5:$N$5,0)),0),"")</f>
        <v>0</v>
      </c>
      <c r="AP40" s="247">
        <f>IF(B40&lt;&gt;"",_xlfn.IFNA(INDEX('CTC Sheet'!$R$6:$AC$100,MATCH(AttendanceSheet!$B40,'CTC Sheet'!$P$6:$P$100,0),MATCH(AttendanceSheet!$T$1,'CTC Sheet'!$R$5:$AC$5,0)),0),"")</f>
        <v>295</v>
      </c>
      <c r="AQ40" s="247">
        <f t="shared" si="18"/>
        <v>1671.4994999999999</v>
      </c>
      <c r="AR40" s="247">
        <f t="shared" si="19"/>
        <v>835.74974999999995</v>
      </c>
      <c r="AS40" s="247">
        <f t="shared" si="20"/>
        <v>1002.8996999999999</v>
      </c>
      <c r="AT40" s="247">
        <f t="shared" si="21"/>
        <v>668.59979999999996</v>
      </c>
      <c r="AU40" s="247">
        <f t="shared" si="22"/>
        <v>501.44984999999997</v>
      </c>
      <c r="AV40" s="247">
        <f t="shared" si="23"/>
        <v>334.80134985000001</v>
      </c>
      <c r="AW40" s="247">
        <f>IF(B40&lt;&gt;"",_xlfn.IFNA(INDEX('OtherArrear payment'!$A$1:$N$95,MATCH(AttendanceSheet!$B40,'OtherArrear payment'!$A$1:$A$95,0),MATCH(AttendanceSheet!$T$1,'OtherArrear payment'!$A$1:$N$1,0)),0),"")</f>
        <v>2000</v>
      </c>
      <c r="AX40" s="247">
        <f t="shared" si="14"/>
        <v>5014.9999498500001</v>
      </c>
      <c r="AY40" s="247">
        <f t="shared" si="24"/>
        <v>0</v>
      </c>
      <c r="AZ40" s="247">
        <f t="shared" si="25"/>
        <v>0</v>
      </c>
      <c r="BA40" s="247">
        <f t="shared" si="26"/>
        <v>0</v>
      </c>
      <c r="BB40" s="247">
        <f t="shared" si="27"/>
        <v>0</v>
      </c>
      <c r="BC40" s="247">
        <f>IF($B40&lt;&gt;"",IF(BL40="Yes",IF($BI40="Mr.",IF($AX40&lt;=7500,0,IF(AND($AX40&lt;10000,$AX40&gt;7501),175,IF(AND($AX40&gt;10000,'Setting '!$G$28&lt;&gt;11),200,300))),IF(AND($AX40&lt;=10000,$BI40="Ms."),0,IF(AND($AX40&gt;10000,'Setting '!$G$28&lt;&gt;11),200,300))),0),"")</f>
        <v>0</v>
      </c>
      <c r="BD40" s="248"/>
      <c r="BE40" s="249">
        <f>IF($B40&lt;&gt;"",IF('Advance Sheet'!AF37&gt;=0,INDEX('Advance Sheet'!$Q$3:$AD$100,MATCH(AttendanceSheet!$B40,'Advance Sheet'!$Q$3:$Q$100,0),MATCH(AttendanceSheet!$T$1,'Advance Sheet'!$Q$3:$AD$3,)),0),"")</f>
        <v>0</v>
      </c>
      <c r="BF40" s="247">
        <f t="shared" si="15"/>
        <v>7014.9999498500001</v>
      </c>
      <c r="BG40" s="250" t="str">
        <f>IF(B40&lt;&gt;"",VLOOKUP(B40,'Employee Details'!A39:S122,17,0),"")</f>
        <v>No</v>
      </c>
      <c r="BH40" s="250" t="str">
        <f>IF(B40&lt;&gt;"",VLOOKUP(B40,'Employee Details'!A39:S122,18,0),"")</f>
        <v>No</v>
      </c>
      <c r="BI40" s="251" t="str">
        <f>IF(B40&lt;&gt;"",VLOOKUP(B40,'Employee Details'!A38:S121,19,0),"")</f>
        <v>Mr.</v>
      </c>
      <c r="BJ40" s="252" t="str">
        <f>IF(B40&lt;&gt;"",VLOOKUP(B40,'Employee Details'!A39:D78,4,0),"")</f>
        <v>OFFROLL</v>
      </c>
      <c r="BK40" s="252" t="str">
        <f>IF(B40&lt;&gt;"",VLOOKUP(B40,'Employee Details'!A39:E122,5,0),"")</f>
        <v>DINESH THAKARE</v>
      </c>
      <c r="BL40" s="210" t="str">
        <f>IF(B40&lt;&gt;"",VLOOKUP(B40,'Employee Details'!A39:U122,21,0),"")</f>
        <v>No</v>
      </c>
      <c r="BM40" s="104"/>
      <c r="BO40" s="104"/>
      <c r="BP40" s="104">
        <f t="shared" si="16"/>
        <v>0</v>
      </c>
    </row>
    <row r="41" spans="2:68" ht="24.75" thickTop="1" thickBot="1" x14ac:dyDescent="0.3">
      <c r="B41" s="37" t="str">
        <f>_xlfn.IFNA(INDEX('Employee Details'!$A$7:$A44,MATCH(AttendanceSheet!$C41,'Employee Details'!$B$7:$B50,0)),"")</f>
        <v>Emp_0037</v>
      </c>
      <c r="C41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'!$J$1:J35))),"")</f>
        <v>SUREKHA GHARAT</v>
      </c>
      <c r="D41" s="39" t="str">
        <f>IFERROR(VLOOKUP($B41&amp;D$5,'Mark Leave'!$A$1:$E$1841,5,0),"")</f>
        <v>A</v>
      </c>
      <c r="E41" s="39" t="str">
        <f>IFERROR(VLOOKUP($B41&amp;E$5,'Mark Leave'!$A$1:$E$1841,5,0),"")</f>
        <v>A</v>
      </c>
      <c r="F41" s="39" t="str">
        <f>IFERROR(VLOOKUP($B41&amp;F$5,'Mark Leave'!$A$1:$E$1841,5,0),"")</f>
        <v>A</v>
      </c>
      <c r="G41" s="39" t="str">
        <f>IFERROR(VLOOKUP($B41&amp;G$5,'Mark Leave'!$A$1:$E$1841,5,0),"")</f>
        <v>A</v>
      </c>
      <c r="H41" s="39" t="str">
        <f>IFERROR(VLOOKUP($B41&amp;H$5,'Mark Leave'!$A$1:$E$1841,5,0),"")</f>
        <v>A</v>
      </c>
      <c r="I41" s="39" t="str">
        <f>IFERROR(VLOOKUP($B41&amp;I$5,'Mark Leave'!$A$1:$E$1841,5,0),"")</f>
        <v>A</v>
      </c>
      <c r="J41" s="39" t="str">
        <f>IFERROR(VLOOKUP($B41&amp;J$5,'Mark Leave'!$A$1:$E$1841,5,0),"")</f>
        <v>A</v>
      </c>
      <c r="K41" s="39" t="str">
        <f>IFERROR(VLOOKUP($B41&amp;K$5,'Mark Leave'!$A$1:$E$1841,5,0),"")</f>
        <v>A</v>
      </c>
      <c r="L41" s="39" t="str">
        <f>IFERROR(VLOOKUP($B41&amp;L$5,'Mark Leave'!$A$1:$E$1841,5,0),"")</f>
        <v>A</v>
      </c>
      <c r="M41" s="39" t="str">
        <f>IFERROR(VLOOKUP($B41&amp;M$5,'Mark Leave'!$A$1:$E$1841,5,0),"")</f>
        <v>A</v>
      </c>
      <c r="N41" s="39" t="str">
        <f>IFERROR(VLOOKUP($B41&amp;N$5,'Mark Leave'!$A$1:$E$1841,5,0),"")</f>
        <v>A</v>
      </c>
      <c r="O41" s="39" t="str">
        <f>IFERROR(VLOOKUP($B41&amp;O$5,'Mark Leave'!$A$1:$E$1841,5,0),"")</f>
        <v>A</v>
      </c>
      <c r="P41" s="39" t="str">
        <f>IFERROR(VLOOKUP($B41&amp;P$5,'Mark Leave'!$A$1:$E$1841,5,0),"")</f>
        <v>A</v>
      </c>
      <c r="Q41" s="39" t="str">
        <f>IFERROR(VLOOKUP($B41&amp;Q$5,'Mark Leave'!$A$1:$E$1841,5,0),"")</f>
        <v>A</v>
      </c>
      <c r="R41" s="39" t="str">
        <f>IFERROR(VLOOKUP($B41&amp;R$5,'Mark Leave'!$A$1:$E$1841,5,0),"")</f>
        <v>"1/2"</v>
      </c>
      <c r="S41" s="39" t="str">
        <f>IFERROR(VLOOKUP($B41&amp;S$5,'Mark Leave'!$A$1:$E$1841,5,0),"")</f>
        <v/>
      </c>
      <c r="T41" s="39" t="str">
        <f>IFERROR(VLOOKUP($B41&amp;T$5,'Mark Leave'!$A$1:$E$1841,5,0),"")</f>
        <v/>
      </c>
      <c r="U41" s="39" t="str">
        <f>IFERROR(VLOOKUP($B41&amp;U$5,'Mark Leave'!$A$1:$E$1841,5,0),"")</f>
        <v/>
      </c>
      <c r="V41" s="39" t="str">
        <f>IFERROR(VLOOKUP($B41&amp;V$5,'Mark Leave'!$A$1:$E$1841,5,0),"")</f>
        <v/>
      </c>
      <c r="W41" s="39" t="str">
        <f>IFERROR(VLOOKUP($B41&amp;W$5,'Mark Leave'!$A$1:$E$1841,5,0),"")</f>
        <v/>
      </c>
      <c r="X41" s="39" t="str">
        <f>IFERROR(VLOOKUP($B41&amp;X$5,'Mark Leave'!$A$1:$E$1841,5,0),"")</f>
        <v/>
      </c>
      <c r="Y41" s="39" t="str">
        <f>IFERROR(VLOOKUP($B41&amp;Y$5,'Mark Leave'!$A$1:$E$1841,5,0),"")</f>
        <v/>
      </c>
      <c r="Z41" s="39" t="str">
        <f>IFERROR(VLOOKUP($B41&amp;Z$5,'Mark Leave'!$A$1:$E$1841,5,0),"")</f>
        <v/>
      </c>
      <c r="AA41" s="39" t="str">
        <f>IFERROR(VLOOKUP($B41&amp;AA$5,'Mark Leave'!$A$1:$E$1841,5,0),"")</f>
        <v/>
      </c>
      <c r="AB41" s="39" t="str">
        <f>IFERROR(VLOOKUP($B41&amp;AB$5,'Mark Leave'!$A$1:$E$1841,5,0),"")</f>
        <v/>
      </c>
      <c r="AC41" s="39" t="str">
        <f>IFERROR(VLOOKUP($B41&amp;AC$5,'Mark Leave'!$A$1:$E$1841,5,0),"")</f>
        <v/>
      </c>
      <c r="AD41" s="39" t="str">
        <f>IFERROR(VLOOKUP($B41&amp;AD$5,'Mark Leave'!$A$1:$E$1841,5,0),"")</f>
        <v/>
      </c>
      <c r="AE41" s="39" t="str">
        <f>IFERROR(VLOOKUP($B41&amp;AE$5,'Mark Leave'!$A$1:$E$1841,5,0),"")</f>
        <v/>
      </c>
      <c r="AF41" s="39" t="str">
        <f>IFERROR(VLOOKUP($B41&amp;AF$5,'Mark Leave'!$A$1:$E$1841,5,0),"")</f>
        <v/>
      </c>
      <c r="AG41" s="39" t="str">
        <f>IFERROR(VLOOKUP($B41&amp;AG$5,'Mark Leave'!$A$1:$E$1841,5,0),"")</f>
        <v/>
      </c>
      <c r="AH41" s="39" t="str">
        <f>IFERROR(VLOOKUP($B41&amp;AH$5,'Mark Leave'!$A$1:$E$1841,5,0),"")</f>
        <v/>
      </c>
      <c r="AI41" s="98">
        <f>IF($B41&lt;&gt;"",COUNTIF($D41:$AH41,'Setting '!$H$2),"")</f>
        <v>14</v>
      </c>
      <c r="AJ41" s="98">
        <f>IF($B41&lt;&gt;"",COUNTIF($D41:$AH41,'Setting '!$H$3)/2,"")</f>
        <v>0.5</v>
      </c>
      <c r="AK41" s="98">
        <f>IF($B41&lt;&gt;"",COUNTIF($D41:$AH41,'Setting '!$H$4),"")</f>
        <v>0</v>
      </c>
      <c r="AL41" s="98">
        <f t="shared" si="13"/>
        <v>14.5</v>
      </c>
      <c r="AM41" s="117" t="str">
        <f>IF(B41&lt;&gt;"",_xlfn.IFNA(VLOOKUP(B41,'Leave Credit Sheet'!B41:K134,10,0),""),"")</f>
        <v/>
      </c>
      <c r="AN41" s="98">
        <f t="shared" si="17"/>
        <v>15.5</v>
      </c>
      <c r="AO41" s="106">
        <f>IF(B41&lt;&gt;"",_xlfn.IFNA(INDEX('CTC Sheet'!$C$6:$N$101,MATCH(AttendanceSheet!$B41,'CTC Sheet'!$A$6:$A$101,0),MATCH(AttendanceSheet!$T$1,'CTC Sheet'!$C$5:$N$5,0)),0),"")</f>
        <v>0</v>
      </c>
      <c r="AP41" s="106">
        <f>IF(B41&lt;&gt;"",_xlfn.IFNA(INDEX('CTC Sheet'!$R$6:$AC$100,MATCH(AttendanceSheet!$B41,'CTC Sheet'!$P$6:$P$100,0),MATCH(AttendanceSheet!$T$1,'CTC Sheet'!$R$5:$AC$5,0)),0),"")</f>
        <v>225</v>
      </c>
      <c r="AQ41" s="106">
        <f t="shared" si="18"/>
        <v>1162.38375</v>
      </c>
      <c r="AR41" s="106">
        <f t="shared" si="19"/>
        <v>581.19187499999998</v>
      </c>
      <c r="AS41" s="106">
        <f t="shared" si="20"/>
        <v>697.43025</v>
      </c>
      <c r="AT41" s="106">
        <f t="shared" si="21"/>
        <v>464.95350000000002</v>
      </c>
      <c r="AU41" s="106">
        <f t="shared" si="22"/>
        <v>348.715125</v>
      </c>
      <c r="AV41" s="106">
        <f t="shared" si="23"/>
        <v>232.82546512499999</v>
      </c>
      <c r="AW41" s="106">
        <f>IF(B41&lt;&gt;"",_xlfn.IFNA(INDEX('OtherArrear payment'!$A$1:$N$95,MATCH(AttendanceSheet!$B41,'OtherArrear payment'!$A$1:$A$95,0),MATCH(AttendanceSheet!$T$1,'OtherArrear payment'!$A$1:$N$1,0)),0),"")</f>
        <v>0</v>
      </c>
      <c r="AX41" s="106">
        <f t="shared" si="14"/>
        <v>3487.499965125</v>
      </c>
      <c r="AY41" s="106">
        <f t="shared" si="24"/>
        <v>0</v>
      </c>
      <c r="AZ41" s="106">
        <f t="shared" si="25"/>
        <v>0</v>
      </c>
      <c r="BA41" s="106">
        <f t="shared" si="26"/>
        <v>0</v>
      </c>
      <c r="BB41" s="106">
        <f t="shared" si="27"/>
        <v>0</v>
      </c>
      <c r="BC41" s="106">
        <f>IF($B41&lt;&gt;"",IF(BL41="Yes",IF($BI41="Mr.",IF($AX41&lt;=7500,0,IF(AND($AX41&lt;10000,$AX41&gt;7501),175,IF(AND($AX41&gt;10000,'Setting '!$G$28&lt;&gt;11),200,300))),IF(AND($AX41&lt;=10000,$BI41="Ms."),0,IF(AND($AX41&gt;10000,'Setting '!$G$28&lt;&gt;11),200,300))),0),"")</f>
        <v>0</v>
      </c>
      <c r="BD41" s="42"/>
      <c r="BE41" s="212">
        <f>IF($B41&lt;&gt;"",IF('Advance Sheet'!AF38&gt;=0,INDEX('Advance Sheet'!$Q$3:$AD$100,MATCH(AttendanceSheet!$B41,'Advance Sheet'!$Q$3:$Q$100,0),MATCH(AttendanceSheet!$T$1,'Advance Sheet'!$Q$3:$AD$3,)),0),"")</f>
        <v>0</v>
      </c>
      <c r="BF41" s="137">
        <f t="shared" si="15"/>
        <v>3487.499965125</v>
      </c>
      <c r="BG41" s="97" t="str">
        <f>IF(B41&lt;&gt;"",VLOOKUP(B41,'Employee Details'!A40:S123,17,0),"")</f>
        <v>No</v>
      </c>
      <c r="BH41" s="97" t="str">
        <f>IF(B41&lt;&gt;"",VLOOKUP(B41,'Employee Details'!A40:S123,18,0),"")</f>
        <v>No</v>
      </c>
      <c r="BI41" s="40" t="str">
        <f>IF(B41&lt;&gt;"",VLOOKUP(B41,'Employee Details'!A39:S122,19,0),"")</f>
        <v>Mr.</v>
      </c>
      <c r="BJ41" s="38" t="str">
        <f>IF(B41&lt;&gt;"",VLOOKUP(B41,'Employee Details'!A40:D79,4,0),"")</f>
        <v>OFFROLL</v>
      </c>
      <c r="BK41" s="38" t="str">
        <f>IF(B41&lt;&gt;"",VLOOKUP(B41,'Employee Details'!A40:E123,5,0),"")</f>
        <v>BHARTI KAMBADI</v>
      </c>
      <c r="BL41" s="210" t="str">
        <f>IF(B41&lt;&gt;"",VLOOKUP(B41,'Employee Details'!A40:U123,21,0),"")</f>
        <v>No</v>
      </c>
      <c r="BM41" s="104"/>
      <c r="BO41" s="104"/>
      <c r="BP41" s="104">
        <f t="shared" si="16"/>
        <v>0</v>
      </c>
    </row>
    <row r="42" spans="2:68" ht="16.5" thickTop="1" thickBot="1" x14ac:dyDescent="0.3">
      <c r="B42" s="37" t="str">
        <f>_xlfn.IFNA(INDEX('Employee Details'!$A$7:$A45,MATCH(AttendanceSheet!$C42,'Employee Details'!$B$7:$B51,0)),"")</f>
        <v>Emp_0039</v>
      </c>
      <c r="C42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'!$J$1:J36))),"")</f>
        <v>MR.RATANA THAKARE</v>
      </c>
      <c r="D42" s="39" t="str">
        <f>IFERROR(VLOOKUP($B42&amp;D$5,'Mark Leave'!$A$1:$E$1841,5,0),"")</f>
        <v>A</v>
      </c>
      <c r="E42" s="39" t="str">
        <f>IFERROR(VLOOKUP($B42&amp;E$5,'Mark Leave'!$A$1:$E$1841,5,0),"")</f>
        <v>A</v>
      </c>
      <c r="F42" s="39" t="str">
        <f>IFERROR(VLOOKUP($B42&amp;F$5,'Mark Leave'!$A$1:$E$1841,5,0),"")</f>
        <v>A</v>
      </c>
      <c r="G42" s="39" t="str">
        <f>IFERROR(VLOOKUP($B42&amp;G$5,'Mark Leave'!$A$1:$E$1841,5,0),"")</f>
        <v>A</v>
      </c>
      <c r="H42" s="39" t="str">
        <f>IFERROR(VLOOKUP($B42&amp;H$5,'Mark Leave'!$A$1:$E$1841,5,0),"")</f>
        <v/>
      </c>
      <c r="I42" s="39" t="str">
        <f>IFERROR(VLOOKUP($B42&amp;I$5,'Mark Leave'!$A$1:$E$1841,5,0),"")</f>
        <v/>
      </c>
      <c r="J42" s="39" t="str">
        <f>IFERROR(VLOOKUP($B42&amp;J$5,'Mark Leave'!$A$1:$E$1841,5,0),"")</f>
        <v/>
      </c>
      <c r="K42" s="39" t="str">
        <f>IFERROR(VLOOKUP($B42&amp;K$5,'Mark Leave'!$A$1:$E$1841,5,0),"")</f>
        <v/>
      </c>
      <c r="L42" s="39" t="str">
        <f>IFERROR(VLOOKUP($B42&amp;L$5,'Mark Leave'!$A$1:$E$1841,5,0),"")</f>
        <v/>
      </c>
      <c r="M42" s="39" t="str">
        <f>IFERROR(VLOOKUP($B42&amp;M$5,'Mark Leave'!$A$1:$E$1841,5,0),"")</f>
        <v/>
      </c>
      <c r="N42" s="39" t="str">
        <f>IFERROR(VLOOKUP($B42&amp;N$5,'Mark Leave'!$A$1:$E$1841,5,0),"")</f>
        <v/>
      </c>
      <c r="O42" s="39" t="str">
        <f>IFERROR(VLOOKUP($B42&amp;O$5,'Mark Leave'!$A$1:$E$1841,5,0),"")</f>
        <v/>
      </c>
      <c r="P42" s="39" t="str">
        <f>IFERROR(VLOOKUP($B42&amp;P$5,'Mark Leave'!$A$1:$E$1841,5,0),"")</f>
        <v/>
      </c>
      <c r="Q42" s="39" t="str">
        <f>IFERROR(VLOOKUP($B42&amp;Q$5,'Mark Leave'!$A$1:$E$1841,5,0),"")</f>
        <v/>
      </c>
      <c r="R42" s="39" t="str">
        <f>IFERROR(VLOOKUP($B42&amp;R$5,'Mark Leave'!$A$1:$E$1841,5,0),"")</f>
        <v/>
      </c>
      <c r="S42" s="39" t="str">
        <f>IFERROR(VLOOKUP($B42&amp;S$5,'Mark Leave'!$A$1:$E$1841,5,0),"")</f>
        <v/>
      </c>
      <c r="T42" s="39" t="str">
        <f>IFERROR(VLOOKUP($B42&amp;T$5,'Mark Leave'!$A$1:$E$1841,5,0),"")</f>
        <v/>
      </c>
      <c r="U42" s="39" t="str">
        <f>IFERROR(VLOOKUP($B42&amp;U$5,'Mark Leave'!$A$1:$E$1841,5,0),"")</f>
        <v/>
      </c>
      <c r="V42" s="39" t="str">
        <f>IFERROR(VLOOKUP($B42&amp;V$5,'Mark Leave'!$A$1:$E$1841,5,0),"")</f>
        <v/>
      </c>
      <c r="W42" s="39" t="str">
        <f>IFERROR(VLOOKUP($B42&amp;W$5,'Mark Leave'!$A$1:$E$1841,5,0),"")</f>
        <v/>
      </c>
      <c r="X42" s="39" t="str">
        <f>IFERROR(VLOOKUP($B42&amp;X$5,'Mark Leave'!$A$1:$E$1841,5,0),"")</f>
        <v/>
      </c>
      <c r="Y42" s="39" t="str">
        <f>IFERROR(VLOOKUP($B42&amp;Y$5,'Mark Leave'!$A$1:$E$1841,5,0),"")</f>
        <v/>
      </c>
      <c r="Z42" s="39" t="str">
        <f>IFERROR(VLOOKUP($B42&amp;Z$5,'Mark Leave'!$A$1:$E$1841,5,0),"")</f>
        <v/>
      </c>
      <c r="AA42" s="39" t="str">
        <f>IFERROR(VLOOKUP($B42&amp;AA$5,'Mark Leave'!$A$1:$E$1841,5,0),"")</f>
        <v/>
      </c>
      <c r="AB42" s="39" t="str">
        <f>IFERROR(VLOOKUP($B42&amp;AB$5,'Mark Leave'!$A$1:$E$1841,5,0),"")</f>
        <v/>
      </c>
      <c r="AC42" s="39" t="str">
        <f>IFERROR(VLOOKUP($B42&amp;AC$5,'Mark Leave'!$A$1:$E$1841,5,0),"")</f>
        <v/>
      </c>
      <c r="AD42" s="39" t="str">
        <f>IFERROR(VLOOKUP($B42&amp;AD$5,'Mark Leave'!$A$1:$E$1841,5,0),"")</f>
        <v/>
      </c>
      <c r="AE42" s="39" t="str">
        <f>IFERROR(VLOOKUP($B42&amp;AE$5,'Mark Leave'!$A$1:$E$1841,5,0),"")</f>
        <v/>
      </c>
      <c r="AF42" s="39" t="str">
        <f>IFERROR(VLOOKUP($B42&amp;AF$5,'Mark Leave'!$A$1:$E$1841,5,0),"")</f>
        <v/>
      </c>
      <c r="AG42" s="39" t="str">
        <f>IFERROR(VLOOKUP($B42&amp;AG$5,'Mark Leave'!$A$1:$E$1841,5,0),"")</f>
        <v/>
      </c>
      <c r="AH42" s="39" t="str">
        <f>IFERROR(VLOOKUP($B42&amp;AH$5,'Mark Leave'!$A$1:$E$1841,5,0),"")</f>
        <v/>
      </c>
      <c r="AI42" s="98">
        <f>IF($B42&lt;&gt;"",COUNTIF($D42:$AH42,'Setting '!$H$2),"")</f>
        <v>4</v>
      </c>
      <c r="AJ42" s="98">
        <f>IF($B42&lt;&gt;"",COUNTIF($D42:$AH42,'Setting '!$H$3)/2,"")</f>
        <v>0</v>
      </c>
      <c r="AK42" s="98">
        <f>IF($B42&lt;&gt;"",COUNTIF($D42:$AH42,'Setting '!$H$4),"")</f>
        <v>0</v>
      </c>
      <c r="AL42" s="98">
        <f t="shared" si="13"/>
        <v>4</v>
      </c>
      <c r="AM42" s="117" t="str">
        <f>IF(B42&lt;&gt;"",_xlfn.IFNA(VLOOKUP(B42,'Leave Credit Sheet'!B42:K135,10,0),""),"")</f>
        <v/>
      </c>
      <c r="AN42" s="98">
        <f t="shared" si="17"/>
        <v>26</v>
      </c>
      <c r="AO42" s="106">
        <f>IF(B42&lt;&gt;"",_xlfn.IFNA(INDEX('CTC Sheet'!$C$6:$N$101,MATCH(AttendanceSheet!$B42,'CTC Sheet'!$A$6:$A$101,0),MATCH(AttendanceSheet!$T$1,'CTC Sheet'!$C$5:$N$5,0)),0),"")</f>
        <v>0</v>
      </c>
      <c r="AP42" s="106">
        <f>IF(B42&lt;&gt;"",_xlfn.IFNA(INDEX('CTC Sheet'!$R$6:$AC$100,MATCH(AttendanceSheet!$B42,'CTC Sheet'!$P$6:$P$100,0),MATCH(AttendanceSheet!$T$1,'CTC Sheet'!$R$5:$AC$5,0)),0),"")</f>
        <v>235</v>
      </c>
      <c r="AQ42" s="106">
        <f t="shared" si="18"/>
        <v>2036.463</v>
      </c>
      <c r="AR42" s="106">
        <f t="shared" si="19"/>
        <v>1018.2315</v>
      </c>
      <c r="AS42" s="106">
        <f t="shared" si="20"/>
        <v>1221.8778</v>
      </c>
      <c r="AT42" s="106">
        <f t="shared" si="21"/>
        <v>814.58519999999999</v>
      </c>
      <c r="AU42" s="106">
        <f t="shared" si="22"/>
        <v>610.93889999999999</v>
      </c>
      <c r="AV42" s="106">
        <f t="shared" si="23"/>
        <v>407.9035389</v>
      </c>
      <c r="AW42" s="106">
        <f>IF(B42&lt;&gt;"",_xlfn.IFNA(INDEX('OtherArrear payment'!$A$1:$N$95,MATCH(AttendanceSheet!$B42,'OtherArrear payment'!$A$1:$A$95,0),MATCH(AttendanceSheet!$T$1,'OtherArrear payment'!$A$1:$N$1,0)),0),"")</f>
        <v>0</v>
      </c>
      <c r="AX42" s="106">
        <f t="shared" si="14"/>
        <v>6109.9999388999995</v>
      </c>
      <c r="AY42" s="106">
        <f t="shared" si="24"/>
        <v>0</v>
      </c>
      <c r="AZ42" s="106">
        <f t="shared" si="25"/>
        <v>0</v>
      </c>
      <c r="BA42" s="106">
        <f t="shared" si="26"/>
        <v>0</v>
      </c>
      <c r="BB42" s="106">
        <f t="shared" si="27"/>
        <v>0</v>
      </c>
      <c r="BC42" s="106">
        <f>IF($B42&lt;&gt;"",IF(BL42="Yes",IF($BI42="Mr.",IF($AX42&lt;=7500,0,IF(AND($AX42&lt;10000,$AX42&gt;7501),175,IF(AND($AX42&gt;10000,'Setting '!$G$28&lt;&gt;11),200,300))),IF(AND($AX42&lt;=10000,$BI42="Ms."),0,IF(AND($AX42&gt;10000,'Setting '!$G$28&lt;&gt;11),200,300))),0),"")</f>
        <v>0</v>
      </c>
      <c r="BD42" s="42"/>
      <c r="BE42" s="212">
        <f>IF($B42&lt;&gt;"",IF('Advance Sheet'!AF39&gt;=0,INDEX('Advance Sheet'!$Q$3:$AD$100,MATCH(AttendanceSheet!$B42,'Advance Sheet'!$Q$3:$Q$100,0),MATCH(AttendanceSheet!$T$1,'Advance Sheet'!$Q$3:$AD$3,)),0),"")</f>
        <v>0</v>
      </c>
      <c r="BF42" s="137">
        <f t="shared" si="15"/>
        <v>6109.9999388999995</v>
      </c>
      <c r="BG42" s="97" t="str">
        <f>IF(B42&lt;&gt;"",VLOOKUP(B42,'Employee Details'!A41:S124,17,0),"")</f>
        <v>No</v>
      </c>
      <c r="BH42" s="97" t="str">
        <f>IF(B42&lt;&gt;"",VLOOKUP(B42,'Employee Details'!A41:S124,18,0),"")</f>
        <v>No</v>
      </c>
      <c r="BI42" s="40" t="str">
        <f>IF(B42&lt;&gt;"",VLOOKUP(B42,'Employee Details'!A40:S123,19,0),"")</f>
        <v>Mr.</v>
      </c>
      <c r="BJ42" s="38" t="str">
        <f>IF(B42&lt;&gt;"",VLOOKUP(B42,'Employee Details'!A41:D80,4,0),"")</f>
        <v>OFFROLL</v>
      </c>
      <c r="BK42" s="38" t="str">
        <f>IF(B42&lt;&gt;"",VLOOKUP(B42,'Employee Details'!A41:E124,5,0),"")</f>
        <v>BHARTI KAMBADI</v>
      </c>
      <c r="BL42" s="210" t="str">
        <f>IF(B42&lt;&gt;"",VLOOKUP(B42,'Employee Details'!A41:U124,21,0),"")</f>
        <v>No</v>
      </c>
      <c r="BM42" s="104"/>
      <c r="BO42" s="104"/>
      <c r="BP42" s="104">
        <f t="shared" si="16"/>
        <v>0</v>
      </c>
    </row>
    <row r="43" spans="2:68" ht="16.5" thickTop="1" thickBot="1" x14ac:dyDescent="0.3">
      <c r="B43" s="37" t="str">
        <f>_xlfn.IFNA(INDEX('Employee Details'!$A$7:$A46,MATCH(AttendanceSheet!$C43,'Employee Details'!$B$7:$B52,0)),"")</f>
        <v/>
      </c>
      <c r="C43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'!$J$1:J37))),"")</f>
        <v/>
      </c>
      <c r="D43" s="39" t="str">
        <f>IFERROR(VLOOKUP($B43&amp;D$5,'Mark Leave'!$A$1:$E$1841,5,0),"")</f>
        <v/>
      </c>
      <c r="E43" s="39" t="str">
        <f>IFERROR(VLOOKUP($B43&amp;E$5,'Mark Leave'!$A$1:$E$1841,5,0),"")</f>
        <v/>
      </c>
      <c r="F43" s="39" t="str">
        <f>IFERROR(VLOOKUP($B43&amp;F$5,'Mark Leave'!$A$1:$E$1841,5,0),"")</f>
        <v/>
      </c>
      <c r="G43" s="39" t="str">
        <f>IFERROR(VLOOKUP($B43&amp;G$5,'Mark Leave'!$A$1:$E$1841,5,0),"")</f>
        <v/>
      </c>
      <c r="H43" s="39" t="str">
        <f>IFERROR(VLOOKUP($B43&amp;H$5,'Mark Leave'!$A$1:$E$1841,5,0),"")</f>
        <v/>
      </c>
      <c r="I43" s="39" t="str">
        <f>IFERROR(VLOOKUP($B43&amp;I$5,'Mark Leave'!$A$1:$E$1841,5,0),"")</f>
        <v/>
      </c>
      <c r="J43" s="39" t="str">
        <f>IFERROR(VLOOKUP($B43&amp;J$5,'Mark Leave'!$A$1:$E$1841,5,0),"")</f>
        <v/>
      </c>
      <c r="K43" s="39" t="str">
        <f>IFERROR(VLOOKUP($B43&amp;K$5,'Mark Leave'!$A$1:$E$1841,5,0),"")</f>
        <v/>
      </c>
      <c r="L43" s="39" t="str">
        <f>IFERROR(VLOOKUP($B43&amp;L$5,'Mark Leave'!$A$1:$E$1841,5,0),"")</f>
        <v/>
      </c>
      <c r="M43" s="39" t="str">
        <f>IFERROR(VLOOKUP($B43&amp;M$5,'Mark Leave'!$A$1:$E$1841,5,0),"")</f>
        <v/>
      </c>
      <c r="N43" s="39" t="str">
        <f>IFERROR(VLOOKUP($B43&amp;N$5,'Mark Leave'!$A$1:$E$1841,5,0),"")</f>
        <v/>
      </c>
      <c r="O43" s="39" t="str">
        <f>IFERROR(VLOOKUP($B43&amp;O$5,'Mark Leave'!$A$1:$E$1841,5,0),"")</f>
        <v/>
      </c>
      <c r="P43" s="39" t="str">
        <f>IFERROR(VLOOKUP($B43&amp;P$5,'Mark Leave'!$A$1:$E$1841,5,0),"")</f>
        <v/>
      </c>
      <c r="Q43" s="39" t="str">
        <f>IFERROR(VLOOKUP($B43&amp;Q$5,'Mark Leave'!$A$1:$E$1841,5,0),"")</f>
        <v/>
      </c>
      <c r="R43" s="39" t="str">
        <f>IFERROR(VLOOKUP($B43&amp;R$5,'Mark Leave'!$A$1:$E$1841,5,0),"")</f>
        <v/>
      </c>
      <c r="S43" s="39" t="str">
        <f>IFERROR(VLOOKUP($B43&amp;S$5,'Mark Leave'!$A$1:$E$1841,5,0),"")</f>
        <v/>
      </c>
      <c r="T43" s="39" t="str">
        <f>IFERROR(VLOOKUP($B43&amp;T$5,'Mark Leave'!$A$1:$E$1841,5,0),"")</f>
        <v/>
      </c>
      <c r="U43" s="39" t="str">
        <f>IFERROR(VLOOKUP($B43&amp;U$5,'Mark Leave'!$A$1:$E$1841,5,0),"")</f>
        <v/>
      </c>
      <c r="V43" s="39" t="str">
        <f>IFERROR(VLOOKUP($B43&amp;V$5,'Mark Leave'!$A$1:$E$1841,5,0),"")</f>
        <v/>
      </c>
      <c r="W43" s="39" t="str">
        <f>IFERROR(VLOOKUP($B43&amp;W$5,'Mark Leave'!$A$1:$E$1841,5,0),"")</f>
        <v/>
      </c>
      <c r="X43" s="39" t="str">
        <f>IFERROR(VLOOKUP($B43&amp;X$5,'Mark Leave'!$A$1:$E$1841,5,0),"")</f>
        <v/>
      </c>
      <c r="Y43" s="39" t="str">
        <f>IFERROR(VLOOKUP($B43&amp;Y$5,'Mark Leave'!$A$1:$E$1841,5,0),"")</f>
        <v/>
      </c>
      <c r="Z43" s="39" t="str">
        <f>IFERROR(VLOOKUP($B43&amp;Z$5,'Mark Leave'!$A$1:$E$1841,5,0),"")</f>
        <v/>
      </c>
      <c r="AA43" s="39" t="str">
        <f>IFERROR(VLOOKUP($B43&amp;AA$5,'Mark Leave'!$A$1:$E$1841,5,0),"")</f>
        <v/>
      </c>
      <c r="AB43" s="39" t="str">
        <f>IFERROR(VLOOKUP($B43&amp;AB$5,'Mark Leave'!$A$1:$E$1841,5,0),"")</f>
        <v/>
      </c>
      <c r="AC43" s="39" t="str">
        <f>IFERROR(VLOOKUP($B43&amp;AC$5,'Mark Leave'!$A$1:$E$1841,5,0),"")</f>
        <v/>
      </c>
      <c r="AD43" s="39" t="str">
        <f>IFERROR(VLOOKUP($B43&amp;AD$5,'Mark Leave'!$A$1:$E$1841,5,0),"")</f>
        <v/>
      </c>
      <c r="AE43" s="39" t="str">
        <f>IFERROR(VLOOKUP($B43&amp;AE$5,'Mark Leave'!$A$1:$E$1841,5,0),"")</f>
        <v/>
      </c>
      <c r="AF43" s="39" t="str">
        <f>IFERROR(VLOOKUP($B43&amp;AF$5,'Mark Leave'!$A$1:$E$1841,5,0),"")</f>
        <v/>
      </c>
      <c r="AG43" s="39" t="str">
        <f>IFERROR(VLOOKUP($B43&amp;AG$5,'Mark Leave'!$A$1:$E$1841,5,0),"")</f>
        <v/>
      </c>
      <c r="AH43" s="39">
        <f>IFERROR(VLOOKUP($B43&amp;AH$5,'Mark Leave'!$A$1:$E$1841,5,0),"")</f>
        <v>0</v>
      </c>
      <c r="AI43" s="98" t="str">
        <f>IF($B43&lt;&gt;"",COUNTIF($D43:$AH43,'Setting '!$H$2),"")</f>
        <v/>
      </c>
      <c r="AJ43" s="98" t="str">
        <f>IF($B43&lt;&gt;"",COUNTIF($D43:$AH43,'Setting '!$H$3)/2,"")</f>
        <v/>
      </c>
      <c r="AK43" s="98" t="str">
        <f>IF($B43&lt;&gt;"",COUNTIF($D43:$AH43,'Setting '!$H$4),"")</f>
        <v/>
      </c>
      <c r="AL43" s="98" t="str">
        <f t="shared" si="13"/>
        <v/>
      </c>
      <c r="AM43" s="117" t="str">
        <f>IF(B43&lt;&gt;"",_xlfn.IFNA(VLOOKUP(B43,'Leave Credit Sheet'!B43:K136,10,0),""),"")</f>
        <v/>
      </c>
      <c r="AN43" s="98" t="str">
        <f t="shared" si="17"/>
        <v/>
      </c>
      <c r="AO43" s="106" t="str">
        <f>IF(B43&lt;&gt;"",_xlfn.IFNA(INDEX('CTC Sheet'!$C$6:$N$101,MATCH(AttendanceSheet!$B43,'CTC Sheet'!$A$6:$A$101,0),MATCH(AttendanceSheet!$T$1,'CTC Sheet'!$C$5:$N$5,0)),0),"")</f>
        <v/>
      </c>
      <c r="AP43" s="106" t="str">
        <f>IF(B43&lt;&gt;"",_xlfn.IFNA(INDEX('CTC Sheet'!$R$6:$AC$100,MATCH(AttendanceSheet!$B43,'CTC Sheet'!$P$6:$P$100,0),MATCH(AttendanceSheet!$T$1,'CTC Sheet'!$R$5:$AC$5,0)),0),"")</f>
        <v/>
      </c>
      <c r="AQ43" s="106" t="str">
        <f t="shared" si="18"/>
        <v/>
      </c>
      <c r="AR43" s="106" t="str">
        <f t="shared" si="19"/>
        <v/>
      </c>
      <c r="AS43" s="106" t="str">
        <f t="shared" si="20"/>
        <v/>
      </c>
      <c r="AT43" s="106" t="str">
        <f t="shared" si="21"/>
        <v/>
      </c>
      <c r="AU43" s="106" t="str">
        <f t="shared" si="22"/>
        <v/>
      </c>
      <c r="AV43" s="106" t="str">
        <f t="shared" si="23"/>
        <v/>
      </c>
      <c r="AW43" s="106" t="str">
        <f>IF(B43&lt;&gt;"",_xlfn.IFNA(INDEX('OtherArrear payment'!$A$1:$N$95,MATCH(AttendanceSheet!$B43,'OtherArrear payment'!$A$1:$A$95,0),MATCH(AttendanceSheet!$T$1,'OtherArrear payment'!$A$1:$N$1,0)),0),"")</f>
        <v/>
      </c>
      <c r="AX43" s="106" t="str">
        <f t="shared" si="14"/>
        <v/>
      </c>
      <c r="AY43" s="106">
        <f t="shared" si="24"/>
        <v>0</v>
      </c>
      <c r="AZ43" s="106">
        <f t="shared" si="25"/>
        <v>0</v>
      </c>
      <c r="BA43" s="106">
        <f t="shared" si="26"/>
        <v>0</v>
      </c>
      <c r="BB43" s="106">
        <f t="shared" si="27"/>
        <v>0</v>
      </c>
      <c r="BC43" s="106" t="str">
        <f>IF($B43&lt;&gt;"",IF(BL43="Yes",IF($BI43="Mr.",IF($AX43&lt;=7500,0,IF(AND($AX43&lt;10000,$AX43&gt;7501),175,IF(AND($AX43&gt;10000,'Setting '!$G$28&lt;&gt;11),200,300))),IF(AND($AX43&lt;=10000,$BI43="Ms."),0,IF(AND($AX43&gt;10000,'Setting '!$G$28&lt;&gt;11),200,300))),0),"")</f>
        <v/>
      </c>
      <c r="BD43" s="42"/>
      <c r="BE43" s="212" t="str">
        <f>IF($B43&lt;&gt;"",IF('Advance Sheet'!AF40&gt;=0,INDEX('Advance Sheet'!$Q$3:$AD$100,MATCH(AttendanceSheet!$B43,'Advance Sheet'!$Q$3:$Q$100,0),MATCH(AttendanceSheet!$T$1,'Advance Sheet'!$Q$3:$AD$3,)),0),"")</f>
        <v/>
      </c>
      <c r="BF43" s="137" t="str">
        <f t="shared" si="15"/>
        <v/>
      </c>
      <c r="BG43" s="97" t="str">
        <f>IF(B43&lt;&gt;"",VLOOKUP(B43,'Employee Details'!A42:S125,17,0),"")</f>
        <v/>
      </c>
      <c r="BH43" s="97" t="str">
        <f>IF(B43&lt;&gt;"",VLOOKUP(B43,'Employee Details'!A42:S125,18,0),"")</f>
        <v/>
      </c>
      <c r="BI43" s="40" t="str">
        <f>IF(B43&lt;&gt;"",VLOOKUP(B43,'Employee Details'!A41:S124,19,0),"")</f>
        <v/>
      </c>
      <c r="BJ43" s="38" t="str">
        <f>IF(B43&lt;&gt;"",VLOOKUP(B43,'Employee Details'!A42:D81,4,0),"")</f>
        <v/>
      </c>
      <c r="BK43" s="38" t="str">
        <f>IF(B43&lt;&gt;"",VLOOKUP(B43,'Employee Details'!A42:E125,5,0),"")</f>
        <v/>
      </c>
      <c r="BL43" s="210" t="str">
        <f>IF(B43&lt;&gt;"",VLOOKUP(B43,'Employee Details'!A42:U125,21,0),"")</f>
        <v/>
      </c>
      <c r="BM43" s="104"/>
      <c r="BO43" s="104"/>
      <c r="BP43" s="104">
        <f t="shared" si="16"/>
        <v>0</v>
      </c>
    </row>
    <row r="44" spans="2:68" ht="16.5" thickTop="1" thickBot="1" x14ac:dyDescent="0.3">
      <c r="B44" s="37" t="str">
        <f>_xlfn.IFNA(INDEX('Employee Details'!$A$7:$A47,MATCH(AttendanceSheet!$C44,'Employee Details'!$B$7:$B53,0)),"")</f>
        <v/>
      </c>
      <c r="C44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'!$J$1:J38))),"")</f>
        <v/>
      </c>
      <c r="D44" s="39" t="str">
        <f>IFERROR(VLOOKUP($B44&amp;D$5,'Mark Leave'!$A$1:$E$1841,5,0),"")</f>
        <v/>
      </c>
      <c r="E44" s="39" t="str">
        <f>IFERROR(VLOOKUP($B44&amp;E$5,'Mark Leave'!$A$1:$E$1841,5,0),"")</f>
        <v/>
      </c>
      <c r="F44" s="39" t="str">
        <f>IFERROR(VLOOKUP($B44&amp;F$5,'Mark Leave'!$A$1:$E$1841,5,0),"")</f>
        <v/>
      </c>
      <c r="G44" s="39" t="str">
        <f>IFERROR(VLOOKUP($B44&amp;G$5,'Mark Leave'!$A$1:$E$1841,5,0),"")</f>
        <v/>
      </c>
      <c r="H44" s="39" t="str">
        <f>IFERROR(VLOOKUP($B44&amp;H$5,'Mark Leave'!$A$1:$E$1841,5,0),"")</f>
        <v/>
      </c>
      <c r="I44" s="39" t="str">
        <f>IFERROR(VLOOKUP($B44&amp;I$5,'Mark Leave'!$A$1:$E$1841,5,0),"")</f>
        <v/>
      </c>
      <c r="J44" s="39" t="str">
        <f>IFERROR(VLOOKUP($B44&amp;J$5,'Mark Leave'!$A$1:$E$1841,5,0),"")</f>
        <v/>
      </c>
      <c r="K44" s="39" t="str">
        <f>IFERROR(VLOOKUP($B44&amp;K$5,'Mark Leave'!$A$1:$E$1841,5,0),"")</f>
        <v/>
      </c>
      <c r="L44" s="39" t="str">
        <f>IFERROR(VLOOKUP($B44&amp;L$5,'Mark Leave'!$A$1:$E$1841,5,0),"")</f>
        <v/>
      </c>
      <c r="M44" s="39" t="str">
        <f>IFERROR(VLOOKUP($B44&amp;M$5,'Mark Leave'!$A$1:$E$1841,5,0),"")</f>
        <v/>
      </c>
      <c r="N44" s="39" t="str">
        <f>IFERROR(VLOOKUP($B44&amp;N$5,'Mark Leave'!$A$1:$E$1841,5,0),"")</f>
        <v/>
      </c>
      <c r="O44" s="39" t="str">
        <f>IFERROR(VLOOKUP($B44&amp;O$5,'Mark Leave'!$A$1:$E$1841,5,0),"")</f>
        <v/>
      </c>
      <c r="P44" s="39" t="str">
        <f>IFERROR(VLOOKUP($B44&amp;P$5,'Mark Leave'!$A$1:$E$1841,5,0),"")</f>
        <v/>
      </c>
      <c r="Q44" s="39" t="str">
        <f>IFERROR(VLOOKUP($B44&amp;Q$5,'Mark Leave'!$A$1:$E$1841,5,0),"")</f>
        <v/>
      </c>
      <c r="R44" s="39" t="str">
        <f>IFERROR(VLOOKUP($B44&amp;R$5,'Mark Leave'!$A$1:$E$1841,5,0),"")</f>
        <v/>
      </c>
      <c r="S44" s="39" t="str">
        <f>IFERROR(VLOOKUP($B44&amp;S$5,'Mark Leave'!$A$1:$E$1841,5,0),"")</f>
        <v/>
      </c>
      <c r="T44" s="39" t="str">
        <f>IFERROR(VLOOKUP($B44&amp;T$5,'Mark Leave'!$A$1:$E$1841,5,0),"")</f>
        <v/>
      </c>
      <c r="U44" s="39" t="str">
        <f>IFERROR(VLOOKUP($B44&amp;U$5,'Mark Leave'!$A$1:$E$1841,5,0),"")</f>
        <v/>
      </c>
      <c r="V44" s="39" t="str">
        <f>IFERROR(VLOOKUP($B44&amp;V$5,'Mark Leave'!$A$1:$E$1841,5,0),"")</f>
        <v/>
      </c>
      <c r="W44" s="39" t="str">
        <f>IFERROR(VLOOKUP($B44&amp;W$5,'Mark Leave'!$A$1:$E$1841,5,0),"")</f>
        <v/>
      </c>
      <c r="X44" s="39" t="str">
        <f>IFERROR(VLOOKUP($B44&amp;X$5,'Mark Leave'!$A$1:$E$1841,5,0),"")</f>
        <v/>
      </c>
      <c r="Y44" s="39" t="str">
        <f>IFERROR(VLOOKUP($B44&amp;Y$5,'Mark Leave'!$A$1:$E$1841,5,0),"")</f>
        <v/>
      </c>
      <c r="Z44" s="39" t="str">
        <f>IFERROR(VLOOKUP($B44&amp;Z$5,'Mark Leave'!$A$1:$E$1841,5,0),"")</f>
        <v/>
      </c>
      <c r="AA44" s="39" t="str">
        <f>IFERROR(VLOOKUP($B44&amp;AA$5,'Mark Leave'!$A$1:$E$1841,5,0),"")</f>
        <v/>
      </c>
      <c r="AB44" s="39" t="str">
        <f>IFERROR(VLOOKUP($B44&amp;AB$5,'Mark Leave'!$A$1:$E$1841,5,0),"")</f>
        <v/>
      </c>
      <c r="AC44" s="39" t="str">
        <f>IFERROR(VLOOKUP($B44&amp;AC$5,'Mark Leave'!$A$1:$E$1841,5,0),"")</f>
        <v/>
      </c>
      <c r="AD44" s="39" t="str">
        <f>IFERROR(VLOOKUP($B44&amp;AD$5,'Mark Leave'!$A$1:$E$1841,5,0),"")</f>
        <v/>
      </c>
      <c r="AE44" s="39" t="str">
        <f>IFERROR(VLOOKUP($B44&amp;AE$5,'Mark Leave'!$A$1:$E$1841,5,0),"")</f>
        <v/>
      </c>
      <c r="AF44" s="39" t="str">
        <f>IFERROR(VLOOKUP($B44&amp;AF$5,'Mark Leave'!$A$1:$E$1841,5,0),"")</f>
        <v/>
      </c>
      <c r="AG44" s="39" t="str">
        <f>IFERROR(VLOOKUP($B44&amp;AG$5,'Mark Leave'!$A$1:$E$1841,5,0),"")</f>
        <v/>
      </c>
      <c r="AH44" s="39">
        <f>IFERROR(VLOOKUP($B44&amp;AH$5,'Mark Leave'!$A$1:$E$1841,5,0),"")</f>
        <v>0</v>
      </c>
      <c r="AI44" s="98" t="str">
        <f>IF($B44&lt;&gt;"",COUNTIF($D44:$AH44,'Setting '!$H$2),"")</f>
        <v/>
      </c>
      <c r="AJ44" s="98" t="str">
        <f>IF($B44&lt;&gt;"",COUNTIF($D44:$AH44,'Setting '!$H$3)/2,"")</f>
        <v/>
      </c>
      <c r="AK44" s="98" t="str">
        <f>IF($B44&lt;&gt;"",COUNTIF($D44:$AH44,'Setting '!$H$4),"")</f>
        <v/>
      </c>
      <c r="AL44" s="98" t="str">
        <f t="shared" si="13"/>
        <v/>
      </c>
      <c r="AM44" s="117" t="str">
        <f>IF(B44&lt;&gt;"",_xlfn.IFNA(VLOOKUP(B44,'Leave Credit Sheet'!B44:K137,10,0),""),"")</f>
        <v/>
      </c>
      <c r="AN44" s="98" t="str">
        <f t="shared" si="17"/>
        <v/>
      </c>
      <c r="AO44" s="106" t="str">
        <f>IF(B44&lt;&gt;"",_xlfn.IFNA(INDEX('CTC Sheet'!$C$6:$N$101,MATCH(AttendanceSheet!$B44,'CTC Sheet'!$A$6:$A$101,0),MATCH(AttendanceSheet!$T$1,'CTC Sheet'!$C$5:$N$5,0)),0),"")</f>
        <v/>
      </c>
      <c r="AP44" s="106" t="str">
        <f>IF(B44&lt;&gt;"",_xlfn.IFNA(INDEX('CTC Sheet'!$R$6:$AC$100,MATCH(AttendanceSheet!$B44,'CTC Sheet'!$P$6:$P$100,0),MATCH(AttendanceSheet!$T$1,'CTC Sheet'!$R$5:$AC$5,0)),0),"")</f>
        <v/>
      </c>
      <c r="AQ44" s="106" t="str">
        <f t="shared" si="18"/>
        <v/>
      </c>
      <c r="AR44" s="106" t="str">
        <f t="shared" si="19"/>
        <v/>
      </c>
      <c r="AS44" s="106" t="str">
        <f t="shared" si="20"/>
        <v/>
      </c>
      <c r="AT44" s="106" t="str">
        <f t="shared" si="21"/>
        <v/>
      </c>
      <c r="AU44" s="106" t="str">
        <f t="shared" si="22"/>
        <v/>
      </c>
      <c r="AV44" s="106" t="str">
        <f t="shared" si="23"/>
        <v/>
      </c>
      <c r="AW44" s="106" t="str">
        <f>IF(B44&lt;&gt;"",_xlfn.IFNA(INDEX('OtherArrear payment'!$A$1:$N$95,MATCH(AttendanceSheet!$B44,'OtherArrear payment'!$A$1:$A$95,0),MATCH(AttendanceSheet!$T$1,'OtherArrear payment'!$A$1:$N$1,0)),0),"")</f>
        <v/>
      </c>
      <c r="AX44" s="106" t="str">
        <f t="shared" si="14"/>
        <v/>
      </c>
      <c r="AY44" s="106">
        <f t="shared" si="24"/>
        <v>0</v>
      </c>
      <c r="AZ44" s="106">
        <f t="shared" si="25"/>
        <v>0</v>
      </c>
      <c r="BA44" s="106">
        <f t="shared" si="26"/>
        <v>0</v>
      </c>
      <c r="BB44" s="106">
        <f t="shared" si="27"/>
        <v>0</v>
      </c>
      <c r="BC44" s="106" t="str">
        <f>IF($B44&lt;&gt;"",IF(BL44="Yes",IF($BI44="Mr.",IF($AX44&lt;=7500,0,IF(AND($AX44&lt;10000,$AX44&gt;7501),175,IF(AND($AX44&gt;10000,'Setting '!$G$28&lt;&gt;11),200,300))),IF(AND($AX44&lt;=10000,$BI44="Ms."),0,IF(AND($AX44&gt;10000,'Setting '!$G$28&lt;&gt;11),200,300))),0),"")</f>
        <v/>
      </c>
      <c r="BD44" s="42"/>
      <c r="BE44" s="212" t="str">
        <f>IF($B44&lt;&gt;"",IF('Advance Sheet'!AF41&gt;=0,INDEX('Advance Sheet'!$Q$3:$AD$100,MATCH(AttendanceSheet!$B44,'Advance Sheet'!$Q$3:$Q$100,0),MATCH(AttendanceSheet!$T$1,'Advance Sheet'!$Q$3:$AD$3,)),0),"")</f>
        <v/>
      </c>
      <c r="BF44" s="137" t="str">
        <f t="shared" si="15"/>
        <v/>
      </c>
      <c r="BG44" s="97" t="str">
        <f>IF(B44&lt;&gt;"",VLOOKUP(B44,'Employee Details'!A43:S126,17,0),"")</f>
        <v/>
      </c>
      <c r="BH44" s="97" t="str">
        <f>IF(B44&lt;&gt;"",VLOOKUP(B44,'Employee Details'!A43:S126,18,0),"")</f>
        <v/>
      </c>
      <c r="BI44" s="40" t="str">
        <f>IF(B44&lt;&gt;"",VLOOKUP(B44,'Employee Details'!A42:S125,19,0),"")</f>
        <v/>
      </c>
      <c r="BJ44" s="38" t="str">
        <f>IF(B44&lt;&gt;"",VLOOKUP(B44,'Employee Details'!A43:D82,4,0),"")</f>
        <v/>
      </c>
      <c r="BK44" s="38" t="str">
        <f>IF(B44&lt;&gt;"",VLOOKUP(B44,'Employee Details'!A43:E126,5,0),"")</f>
        <v/>
      </c>
      <c r="BL44" s="210" t="str">
        <f>IF(B44&lt;&gt;"",VLOOKUP(B44,'Employee Details'!A43:U126,21,0),"")</f>
        <v/>
      </c>
      <c r="BM44" s="104"/>
      <c r="BO44" s="104"/>
      <c r="BP44" s="104">
        <f t="shared" si="16"/>
        <v>0</v>
      </c>
    </row>
    <row r="45" spans="2:68" ht="16.5" thickTop="1" thickBot="1" x14ac:dyDescent="0.3">
      <c r="B45" s="37" t="str">
        <f>_xlfn.IFNA(INDEX('Employee Details'!$A$7:$A48,MATCH(AttendanceSheet!$C45,'Employee Details'!$B$7:$B54,0)),"")</f>
        <v/>
      </c>
      <c r="C45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'!$J$1:J39))),"")</f>
        <v/>
      </c>
      <c r="D45" s="39" t="str">
        <f>IFERROR(VLOOKUP($B45&amp;D$5,'Mark Leave'!$A$1:$E$1841,5,0),"")</f>
        <v/>
      </c>
      <c r="E45" s="39" t="str">
        <f>IFERROR(VLOOKUP($B45&amp;E$5,'Mark Leave'!$A$1:$E$1841,5,0),"")</f>
        <v/>
      </c>
      <c r="F45" s="39" t="str">
        <f>IFERROR(VLOOKUP($B45&amp;F$5,'Mark Leave'!$A$1:$E$1841,5,0),"")</f>
        <v/>
      </c>
      <c r="G45" s="39" t="str">
        <f>IFERROR(VLOOKUP($B45&amp;G$5,'Mark Leave'!$A$1:$E$1841,5,0),"")</f>
        <v/>
      </c>
      <c r="H45" s="39" t="str">
        <f>IFERROR(VLOOKUP($B45&amp;H$5,'Mark Leave'!$A$1:$E$1841,5,0),"")</f>
        <v/>
      </c>
      <c r="I45" s="39" t="str">
        <f>IFERROR(VLOOKUP($B45&amp;I$5,'Mark Leave'!$A$1:$E$1841,5,0),"")</f>
        <v/>
      </c>
      <c r="J45" s="39" t="str">
        <f>IFERROR(VLOOKUP($B45&amp;J$5,'Mark Leave'!$A$1:$E$1841,5,0),"")</f>
        <v/>
      </c>
      <c r="K45" s="39" t="str">
        <f>IFERROR(VLOOKUP($B45&amp;K$5,'Mark Leave'!$A$1:$E$1841,5,0),"")</f>
        <v/>
      </c>
      <c r="L45" s="39" t="str">
        <f>IFERROR(VLOOKUP($B45&amp;L$5,'Mark Leave'!$A$1:$E$1841,5,0),"")</f>
        <v/>
      </c>
      <c r="M45" s="39" t="str">
        <f>IFERROR(VLOOKUP($B45&amp;M$5,'Mark Leave'!$A$1:$E$1841,5,0),"")</f>
        <v/>
      </c>
      <c r="N45" s="39" t="str">
        <f>IFERROR(VLOOKUP($B45&amp;N$5,'Mark Leave'!$A$1:$E$1841,5,0),"")</f>
        <v/>
      </c>
      <c r="O45" s="39" t="str">
        <f>IFERROR(VLOOKUP($B45&amp;O$5,'Mark Leave'!$A$1:$E$1841,5,0),"")</f>
        <v/>
      </c>
      <c r="P45" s="39" t="str">
        <f>IFERROR(VLOOKUP($B45&amp;P$5,'Mark Leave'!$A$1:$E$1841,5,0),"")</f>
        <v/>
      </c>
      <c r="Q45" s="39" t="str">
        <f>IFERROR(VLOOKUP($B45&amp;Q$5,'Mark Leave'!$A$1:$E$1841,5,0),"")</f>
        <v/>
      </c>
      <c r="R45" s="39" t="str">
        <f>IFERROR(VLOOKUP($B45&amp;R$5,'Mark Leave'!$A$1:$E$1841,5,0),"")</f>
        <v/>
      </c>
      <c r="S45" s="39" t="str">
        <f>IFERROR(VLOOKUP($B45&amp;S$5,'Mark Leave'!$A$1:$E$1841,5,0),"")</f>
        <v/>
      </c>
      <c r="T45" s="39" t="str">
        <f>IFERROR(VLOOKUP($B45&amp;T$5,'Mark Leave'!$A$1:$E$1841,5,0),"")</f>
        <v/>
      </c>
      <c r="U45" s="39" t="str">
        <f>IFERROR(VLOOKUP($B45&amp;U$5,'Mark Leave'!$A$1:$E$1841,5,0),"")</f>
        <v/>
      </c>
      <c r="V45" s="39" t="str">
        <f>IFERROR(VLOOKUP($B45&amp;V$5,'Mark Leave'!$A$1:$E$1841,5,0),"")</f>
        <v/>
      </c>
      <c r="W45" s="39" t="str">
        <f>IFERROR(VLOOKUP($B45&amp;W$5,'Mark Leave'!$A$1:$E$1841,5,0),"")</f>
        <v/>
      </c>
      <c r="X45" s="39" t="str">
        <f>IFERROR(VLOOKUP($B45&amp;X$5,'Mark Leave'!$A$1:$E$1841,5,0),"")</f>
        <v/>
      </c>
      <c r="Y45" s="39" t="str">
        <f>IFERROR(VLOOKUP($B45&amp;Y$5,'Mark Leave'!$A$1:$E$1841,5,0),"")</f>
        <v/>
      </c>
      <c r="Z45" s="39" t="str">
        <f>IFERROR(VLOOKUP($B45&amp;Z$5,'Mark Leave'!$A$1:$E$1841,5,0),"")</f>
        <v/>
      </c>
      <c r="AA45" s="39" t="str">
        <f>IFERROR(VLOOKUP($B45&amp;AA$5,'Mark Leave'!$A$1:$E$1841,5,0),"")</f>
        <v/>
      </c>
      <c r="AB45" s="39" t="str">
        <f>IFERROR(VLOOKUP($B45&amp;AB$5,'Mark Leave'!$A$1:$E$1841,5,0),"")</f>
        <v/>
      </c>
      <c r="AC45" s="39" t="str">
        <f>IFERROR(VLOOKUP($B45&amp;AC$5,'Mark Leave'!$A$1:$E$1841,5,0),"")</f>
        <v/>
      </c>
      <c r="AD45" s="39" t="str">
        <f>IFERROR(VLOOKUP($B45&amp;AD$5,'Mark Leave'!$A$1:$E$1841,5,0),"")</f>
        <v/>
      </c>
      <c r="AE45" s="39" t="str">
        <f>IFERROR(VLOOKUP($B45&amp;AE$5,'Mark Leave'!$A$1:$E$1841,5,0),"")</f>
        <v/>
      </c>
      <c r="AF45" s="39" t="str">
        <f>IFERROR(VLOOKUP($B45&amp;AF$5,'Mark Leave'!$A$1:$E$1841,5,0),"")</f>
        <v/>
      </c>
      <c r="AG45" s="39" t="str">
        <f>IFERROR(VLOOKUP($B45&amp;AG$5,'Mark Leave'!$A$1:$E$1841,5,0),"")</f>
        <v/>
      </c>
      <c r="AH45" s="39">
        <f>IFERROR(VLOOKUP($B45&amp;AH$5,'Mark Leave'!$A$1:$E$1841,5,0),"")</f>
        <v>0</v>
      </c>
      <c r="AI45" s="98" t="str">
        <f>IF($B45&lt;&gt;"",COUNTIF($D45:$AH45,'Setting '!$H$2),"")</f>
        <v/>
      </c>
      <c r="AJ45" s="98" t="str">
        <f>IF($B45&lt;&gt;"",COUNTIF($D45:$AH45,'Setting '!$H$3)/2,"")</f>
        <v/>
      </c>
      <c r="AK45" s="98" t="str">
        <f>IF($B45&lt;&gt;"",COUNTIF($D45:$AH45,'Setting '!$H$4),"")</f>
        <v/>
      </c>
      <c r="AL45" s="98" t="str">
        <f t="shared" si="13"/>
        <v/>
      </c>
      <c r="AM45" s="117" t="str">
        <f>IF(B45&lt;&gt;"",_xlfn.IFNA(VLOOKUP(B45,'Leave Credit Sheet'!B45:K138,10,0),""),"")</f>
        <v/>
      </c>
      <c r="AN45" s="98" t="str">
        <f t="shared" si="17"/>
        <v/>
      </c>
      <c r="AO45" s="106" t="str">
        <f>IF(B45&lt;&gt;"",_xlfn.IFNA(INDEX('CTC Sheet'!$C$6:$N$101,MATCH(AttendanceSheet!$B45,'CTC Sheet'!$A$6:$A$101,0),MATCH(AttendanceSheet!$T$1,'CTC Sheet'!$C$5:$N$5,0)),0),"")</f>
        <v/>
      </c>
      <c r="AP45" s="106" t="str">
        <f>IF(B45&lt;&gt;"",_xlfn.IFNA(INDEX('CTC Sheet'!$R$6:$AC$100,MATCH(AttendanceSheet!$B45,'CTC Sheet'!$P$6:$P$100,0),MATCH(AttendanceSheet!$T$1,'CTC Sheet'!$R$5:$AC$5,0)),0),"")</f>
        <v/>
      </c>
      <c r="AQ45" s="106" t="str">
        <f t="shared" si="18"/>
        <v/>
      </c>
      <c r="AR45" s="106" t="str">
        <f t="shared" si="19"/>
        <v/>
      </c>
      <c r="AS45" s="106" t="str">
        <f t="shared" si="20"/>
        <v/>
      </c>
      <c r="AT45" s="106" t="str">
        <f t="shared" si="21"/>
        <v/>
      </c>
      <c r="AU45" s="106" t="str">
        <f t="shared" si="22"/>
        <v/>
      </c>
      <c r="AV45" s="106" t="str">
        <f t="shared" si="23"/>
        <v/>
      </c>
      <c r="AW45" s="106" t="str">
        <f>IF(B45&lt;&gt;"",_xlfn.IFNA(INDEX('OtherArrear payment'!$A$1:$N$95,MATCH(AttendanceSheet!$B45,'OtherArrear payment'!$A$1:$A$95,0),MATCH(AttendanceSheet!$T$1,'OtherArrear payment'!$A$1:$N$1,0)),0),"")</f>
        <v/>
      </c>
      <c r="AX45" s="106" t="str">
        <f t="shared" si="14"/>
        <v/>
      </c>
      <c r="AY45" s="106">
        <f t="shared" si="24"/>
        <v>0</v>
      </c>
      <c r="AZ45" s="106">
        <f t="shared" si="25"/>
        <v>0</v>
      </c>
      <c r="BA45" s="106">
        <f t="shared" si="26"/>
        <v>0</v>
      </c>
      <c r="BB45" s="106">
        <f t="shared" si="27"/>
        <v>0</v>
      </c>
      <c r="BC45" s="106" t="str">
        <f>IF($B45&lt;&gt;"",IF(BL45="Yes",IF($BI45="Mr.",IF($AX45&lt;=7500,0,IF(AND($AX45&lt;10000,$AX45&gt;7501),175,IF(AND($AX45&gt;10000,'Setting '!$G$28&lt;&gt;11),200,300))),IF(AND($AX45&lt;=10000,$BI45="Ms."),0,IF(AND($AX45&gt;10000,'Setting '!$G$28&lt;&gt;11),200,300))),0),"")</f>
        <v/>
      </c>
      <c r="BD45" s="42"/>
      <c r="BE45" s="212" t="str">
        <f>IF($B45&lt;&gt;"",IF('Advance Sheet'!AF42&gt;=0,INDEX('Advance Sheet'!$Q$3:$AD$100,MATCH(AttendanceSheet!$B45,'Advance Sheet'!$Q$3:$Q$100,0),MATCH(AttendanceSheet!$T$1,'Advance Sheet'!$Q$3:$AD$3,)),0),"")</f>
        <v/>
      </c>
      <c r="BF45" s="137" t="str">
        <f t="shared" si="15"/>
        <v/>
      </c>
      <c r="BG45" s="97" t="str">
        <f>IF(B45&lt;&gt;"",VLOOKUP(B45,'Employee Details'!A44:S127,17,0),"")</f>
        <v/>
      </c>
      <c r="BH45" s="97" t="str">
        <f>IF(B45&lt;&gt;"",VLOOKUP(B45,'Employee Details'!A44:S127,18,0),"")</f>
        <v/>
      </c>
      <c r="BI45" s="40" t="str">
        <f>IF(B45&lt;&gt;"",VLOOKUP(B45,'Employee Details'!A43:S126,19,0),"")</f>
        <v/>
      </c>
      <c r="BJ45" s="38" t="str">
        <f>IF(B45&lt;&gt;"",VLOOKUP(B45,'Employee Details'!A44:D83,4,0),"")</f>
        <v/>
      </c>
      <c r="BK45" s="38" t="str">
        <f>IF(B45&lt;&gt;"",VLOOKUP(B45,'Employee Details'!A44:E127,5,0),"")</f>
        <v/>
      </c>
      <c r="BL45" s="210" t="str">
        <f>IF(B45&lt;&gt;"",VLOOKUP(B45,'Employee Details'!A44:U127,21,0),"")</f>
        <v/>
      </c>
      <c r="BM45" s="104"/>
      <c r="BO45" s="104"/>
      <c r="BP45" s="104">
        <f t="shared" si="16"/>
        <v>0</v>
      </c>
    </row>
    <row r="46" spans="2:68" ht="16.5" thickTop="1" thickBot="1" x14ac:dyDescent="0.3">
      <c r="B46" s="37" t="str">
        <f>_xlfn.IFNA(INDEX('Employee Details'!$A$7:$A49,MATCH(AttendanceSheet!$C46,'Employee Details'!$B$7:$B55,0)),"")</f>
        <v/>
      </c>
      <c r="C46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'!$J$1:J40))),"")</f>
        <v/>
      </c>
      <c r="D46" s="39" t="str">
        <f>IFERROR(VLOOKUP($B46&amp;D$5,'Mark Leave'!$A$1:$E$1841,5,0),"")</f>
        <v/>
      </c>
      <c r="E46" s="39" t="str">
        <f>IFERROR(VLOOKUP($B46&amp;E$5,'Mark Leave'!$A$1:$E$1841,5,0),"")</f>
        <v/>
      </c>
      <c r="F46" s="39" t="str">
        <f>IFERROR(VLOOKUP($B46&amp;F$5,'Mark Leave'!$A$1:$E$1841,5,0),"")</f>
        <v/>
      </c>
      <c r="G46" s="39" t="str">
        <f>IFERROR(VLOOKUP($B46&amp;G$5,'Mark Leave'!$A$1:$E$1841,5,0),"")</f>
        <v/>
      </c>
      <c r="H46" s="39" t="str">
        <f>IFERROR(VLOOKUP($B46&amp;H$5,'Mark Leave'!$A$1:$E$1841,5,0),"")</f>
        <v/>
      </c>
      <c r="I46" s="39" t="str">
        <f>IFERROR(VLOOKUP($B46&amp;I$5,'Mark Leave'!$A$1:$E$1841,5,0),"")</f>
        <v/>
      </c>
      <c r="J46" s="39" t="str">
        <f>IFERROR(VLOOKUP($B46&amp;J$5,'Mark Leave'!$A$1:$E$1841,5,0),"")</f>
        <v/>
      </c>
      <c r="K46" s="39" t="str">
        <f>IFERROR(VLOOKUP($B46&amp;K$5,'Mark Leave'!$A$1:$E$1841,5,0),"")</f>
        <v/>
      </c>
      <c r="L46" s="39" t="str">
        <f>IFERROR(VLOOKUP($B46&amp;L$5,'Mark Leave'!$A$1:$E$1841,5,0),"")</f>
        <v/>
      </c>
      <c r="M46" s="39" t="str">
        <f>IFERROR(VLOOKUP($B46&amp;M$5,'Mark Leave'!$A$1:$E$1841,5,0),"")</f>
        <v/>
      </c>
      <c r="N46" s="39" t="str">
        <f>IFERROR(VLOOKUP($B46&amp;N$5,'Mark Leave'!$A$1:$E$1841,5,0),"")</f>
        <v/>
      </c>
      <c r="O46" s="39" t="str">
        <f>IFERROR(VLOOKUP($B46&amp;O$5,'Mark Leave'!$A$1:$E$1841,5,0),"")</f>
        <v/>
      </c>
      <c r="P46" s="39" t="str">
        <f>IFERROR(VLOOKUP($B46&amp;P$5,'Mark Leave'!$A$1:$E$1841,5,0),"")</f>
        <v/>
      </c>
      <c r="Q46" s="39" t="str">
        <f>IFERROR(VLOOKUP($B46&amp;Q$5,'Mark Leave'!$A$1:$E$1841,5,0),"")</f>
        <v/>
      </c>
      <c r="R46" s="39" t="str">
        <f>IFERROR(VLOOKUP($B46&amp;R$5,'Mark Leave'!$A$1:$E$1841,5,0),"")</f>
        <v/>
      </c>
      <c r="S46" s="39" t="str">
        <f>IFERROR(VLOOKUP($B46&amp;S$5,'Mark Leave'!$A$1:$E$1841,5,0),"")</f>
        <v/>
      </c>
      <c r="T46" s="39" t="str">
        <f>IFERROR(VLOOKUP($B46&amp;T$5,'Mark Leave'!$A$1:$E$1841,5,0),"")</f>
        <v/>
      </c>
      <c r="U46" s="39" t="str">
        <f>IFERROR(VLOOKUP($B46&amp;U$5,'Mark Leave'!$A$1:$E$1841,5,0),"")</f>
        <v/>
      </c>
      <c r="V46" s="39" t="str">
        <f>IFERROR(VLOOKUP($B46&amp;V$5,'Mark Leave'!$A$1:$E$1841,5,0),"")</f>
        <v/>
      </c>
      <c r="W46" s="39" t="str">
        <f>IFERROR(VLOOKUP($B46&amp;W$5,'Mark Leave'!$A$1:$E$1841,5,0),"")</f>
        <v/>
      </c>
      <c r="X46" s="39" t="str">
        <f>IFERROR(VLOOKUP($B46&amp;X$5,'Mark Leave'!$A$1:$E$1841,5,0),"")</f>
        <v/>
      </c>
      <c r="Y46" s="39" t="str">
        <f>IFERROR(VLOOKUP($B46&amp;Y$5,'Mark Leave'!$A$1:$E$1841,5,0),"")</f>
        <v/>
      </c>
      <c r="Z46" s="39" t="str">
        <f>IFERROR(VLOOKUP($B46&amp;Z$5,'Mark Leave'!$A$1:$E$1841,5,0),"")</f>
        <v/>
      </c>
      <c r="AA46" s="39" t="str">
        <f>IFERROR(VLOOKUP($B46&amp;AA$5,'Mark Leave'!$A$1:$E$1841,5,0),"")</f>
        <v/>
      </c>
      <c r="AB46" s="39" t="str">
        <f>IFERROR(VLOOKUP($B46&amp;AB$5,'Mark Leave'!$A$1:$E$1841,5,0),"")</f>
        <v/>
      </c>
      <c r="AC46" s="39" t="str">
        <f>IFERROR(VLOOKUP($B46&amp;AC$5,'Mark Leave'!$A$1:$E$1841,5,0),"")</f>
        <v/>
      </c>
      <c r="AD46" s="39" t="str">
        <f>IFERROR(VLOOKUP($B46&amp;AD$5,'Mark Leave'!$A$1:$E$1841,5,0),"")</f>
        <v/>
      </c>
      <c r="AE46" s="39" t="str">
        <f>IFERROR(VLOOKUP($B46&amp;AE$5,'Mark Leave'!$A$1:$E$1841,5,0),"")</f>
        <v/>
      </c>
      <c r="AF46" s="39" t="str">
        <f>IFERROR(VLOOKUP($B46&amp;AF$5,'Mark Leave'!$A$1:$E$1841,5,0),"")</f>
        <v/>
      </c>
      <c r="AG46" s="39" t="str">
        <f>IFERROR(VLOOKUP($B46&amp;AG$5,'Mark Leave'!$A$1:$E$1841,5,0),"")</f>
        <v/>
      </c>
      <c r="AH46" s="39">
        <f>IFERROR(VLOOKUP($B46&amp;AH$5,'Mark Leave'!$A$1:$E$1841,5,0),"")</f>
        <v>0</v>
      </c>
      <c r="AI46" s="98" t="str">
        <f>IF($B46&lt;&gt;"",COUNTIF($D46:$AH46,'Setting '!$H$2),"")</f>
        <v/>
      </c>
      <c r="AJ46" s="98" t="str">
        <f>IF($B46&lt;&gt;"",COUNTIF($D46:$AH46,'Setting '!$H$3)/2,"")</f>
        <v/>
      </c>
      <c r="AK46" s="98" t="str">
        <f>IF($B46&lt;&gt;"",COUNTIF($D46:$AH46,'Setting '!$H$4),"")</f>
        <v/>
      </c>
      <c r="AL46" s="98" t="str">
        <f t="shared" si="13"/>
        <v/>
      </c>
      <c r="AM46" s="117" t="str">
        <f>IF(B46&lt;&gt;"",_xlfn.IFNA(VLOOKUP(B46,'Leave Credit Sheet'!B46:K139,10,0),""),"")</f>
        <v/>
      </c>
      <c r="AN46" s="98" t="str">
        <f t="shared" si="17"/>
        <v/>
      </c>
      <c r="AO46" s="106" t="str">
        <f>IF(B46&lt;&gt;"",_xlfn.IFNA(INDEX('CTC Sheet'!$C$6:$N$101,MATCH(AttendanceSheet!$B46,'CTC Sheet'!$A$6:$A$101,0),MATCH(AttendanceSheet!$T$1,'CTC Sheet'!$C$5:$N$5,0)),0),"")</f>
        <v/>
      </c>
      <c r="AP46" s="106" t="str">
        <f>IF(B46&lt;&gt;"",_xlfn.IFNA(INDEX('CTC Sheet'!$R$6:$AC$100,MATCH(AttendanceSheet!$B46,'CTC Sheet'!$P$6:$P$100,0),MATCH(AttendanceSheet!$T$1,'CTC Sheet'!$R$5:$AC$5,0)),0),"")</f>
        <v/>
      </c>
      <c r="AQ46" s="106" t="str">
        <f t="shared" si="18"/>
        <v/>
      </c>
      <c r="AR46" s="106" t="str">
        <f t="shared" si="19"/>
        <v/>
      </c>
      <c r="AS46" s="106" t="str">
        <f t="shared" si="20"/>
        <v/>
      </c>
      <c r="AT46" s="106" t="str">
        <f t="shared" si="21"/>
        <v/>
      </c>
      <c r="AU46" s="106" t="str">
        <f t="shared" si="22"/>
        <v/>
      </c>
      <c r="AV46" s="106" t="str">
        <f t="shared" si="23"/>
        <v/>
      </c>
      <c r="AW46" s="106" t="str">
        <f>IF(B46&lt;&gt;"",_xlfn.IFNA(INDEX('OtherArrear payment'!$A$1:$N$95,MATCH(AttendanceSheet!$B46,'OtherArrear payment'!$A$1:$A$95,0),MATCH(AttendanceSheet!$T$1,'OtherArrear payment'!$A$1:$N$1,0)),0),"")</f>
        <v/>
      </c>
      <c r="AX46" s="106" t="str">
        <f t="shared" si="14"/>
        <v/>
      </c>
      <c r="AY46" s="106">
        <f t="shared" si="24"/>
        <v>0</v>
      </c>
      <c r="AZ46" s="106">
        <f t="shared" si="25"/>
        <v>0</v>
      </c>
      <c r="BA46" s="106">
        <f t="shared" si="26"/>
        <v>0</v>
      </c>
      <c r="BB46" s="106">
        <f t="shared" si="27"/>
        <v>0</v>
      </c>
      <c r="BC46" s="106" t="str">
        <f>IF($B46&lt;&gt;"",IF(BL46="Yes",IF($BI46="Mr.",IF($AX46&lt;=7500,0,IF(AND($AX46&lt;10000,$AX46&gt;7501),175,IF(AND($AX46&gt;10000,'Setting '!$G$28&lt;&gt;11),200,300))),IF(AND($AX46&lt;=10000,$BI46="Ms."),0,IF(AND($AX46&gt;10000,'Setting '!$G$28&lt;&gt;11),200,300))),0),"")</f>
        <v/>
      </c>
      <c r="BD46" s="42"/>
      <c r="BE46" s="212" t="str">
        <f>IF($B46&lt;&gt;"",IF('Advance Sheet'!AF43&gt;=0,INDEX('Advance Sheet'!$Q$3:$AD$100,MATCH(AttendanceSheet!$B46,'Advance Sheet'!$Q$3:$Q$100,0),MATCH(AttendanceSheet!$T$1,'Advance Sheet'!$Q$3:$AD$3,)),0),"")</f>
        <v/>
      </c>
      <c r="BF46" s="137" t="str">
        <f t="shared" si="15"/>
        <v/>
      </c>
      <c r="BG46" s="97" t="str">
        <f>IF(B46&lt;&gt;"",VLOOKUP(B46,'Employee Details'!A45:S128,17,0),"")</f>
        <v/>
      </c>
      <c r="BH46" s="97" t="str">
        <f>IF(B46&lt;&gt;"",VLOOKUP(B46,'Employee Details'!A45:S128,18,0),"")</f>
        <v/>
      </c>
      <c r="BI46" s="40" t="str">
        <f>IF(B46&lt;&gt;"",VLOOKUP(B46,'Employee Details'!A44:S127,19,0),"")</f>
        <v/>
      </c>
      <c r="BJ46" s="38" t="str">
        <f>IF(B46&lt;&gt;"",VLOOKUP(B46,'Employee Details'!A45:D84,4,0),"")</f>
        <v/>
      </c>
      <c r="BK46" s="38" t="str">
        <f>IF(B46&lt;&gt;"",VLOOKUP(B46,'Employee Details'!A45:E128,5,0),"")</f>
        <v/>
      </c>
      <c r="BL46" s="210" t="str">
        <f>IF(B46&lt;&gt;"",VLOOKUP(B46,'Employee Details'!A45:U128,21,0),"")</f>
        <v/>
      </c>
    </row>
    <row r="47" spans="2:68" ht="16.5" thickTop="1" thickBot="1" x14ac:dyDescent="0.3">
      <c r="B47" s="37" t="str">
        <f>_xlfn.IFNA(INDEX('Employee Details'!$A$7:$A50,MATCH(AttendanceSheet!$C47,'Employee Details'!$B$7:$B56,0)),"")</f>
        <v/>
      </c>
      <c r="C47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'!$J$1:J41))),"")</f>
        <v/>
      </c>
      <c r="D47" s="39" t="str">
        <f>IFERROR(VLOOKUP($B47&amp;D$5,'Mark Leave'!$A$1:$E$1841,5,0),"")</f>
        <v/>
      </c>
      <c r="E47" s="39" t="str">
        <f>IFERROR(VLOOKUP($B47&amp;E$5,'Mark Leave'!$A$1:$E$1841,5,0),"")</f>
        <v/>
      </c>
      <c r="F47" s="39" t="str">
        <f>IFERROR(VLOOKUP($B47&amp;F$5,'Mark Leave'!$A$1:$E$1841,5,0),"")</f>
        <v/>
      </c>
      <c r="G47" s="39" t="str">
        <f>IFERROR(VLOOKUP($B47&amp;G$5,'Mark Leave'!$A$1:$E$1841,5,0),"")</f>
        <v/>
      </c>
      <c r="H47" s="39" t="str">
        <f>IFERROR(VLOOKUP($B47&amp;H$5,'Mark Leave'!$A$1:$E$1841,5,0),"")</f>
        <v/>
      </c>
      <c r="I47" s="39" t="str">
        <f>IFERROR(VLOOKUP($B47&amp;I$5,'Mark Leave'!$A$1:$E$1841,5,0),"")</f>
        <v/>
      </c>
      <c r="J47" s="39" t="str">
        <f>IFERROR(VLOOKUP($B47&amp;J$5,'Mark Leave'!$A$1:$E$1841,5,0),"")</f>
        <v/>
      </c>
      <c r="K47" s="39" t="str">
        <f>IFERROR(VLOOKUP($B47&amp;K$5,'Mark Leave'!$A$1:$E$1841,5,0),"")</f>
        <v/>
      </c>
      <c r="L47" s="39" t="str">
        <f>IFERROR(VLOOKUP($B47&amp;L$5,'Mark Leave'!$A$1:$E$1841,5,0),"")</f>
        <v/>
      </c>
      <c r="M47" s="39" t="str">
        <f>IFERROR(VLOOKUP($B47&amp;M$5,'Mark Leave'!$A$1:$E$1841,5,0),"")</f>
        <v/>
      </c>
      <c r="N47" s="39" t="str">
        <f>IFERROR(VLOOKUP($B47&amp;N$5,'Mark Leave'!$A$1:$E$1841,5,0),"")</f>
        <v/>
      </c>
      <c r="O47" s="39" t="str">
        <f>IFERROR(VLOOKUP($B47&amp;O$5,'Mark Leave'!$A$1:$E$1841,5,0),"")</f>
        <v/>
      </c>
      <c r="P47" s="39" t="str">
        <f>IFERROR(VLOOKUP($B47&amp;P$5,'Mark Leave'!$A$1:$E$1841,5,0),"")</f>
        <v/>
      </c>
      <c r="Q47" s="39" t="str">
        <f>IFERROR(VLOOKUP($B47&amp;Q$5,'Mark Leave'!$A$1:$E$1841,5,0),"")</f>
        <v/>
      </c>
      <c r="R47" s="39" t="str">
        <f>IFERROR(VLOOKUP($B47&amp;R$5,'Mark Leave'!$A$1:$E$1841,5,0),"")</f>
        <v/>
      </c>
      <c r="S47" s="39" t="str">
        <f>IFERROR(VLOOKUP($B47&amp;S$5,'Mark Leave'!$A$1:$E$1841,5,0),"")</f>
        <v/>
      </c>
      <c r="T47" s="39" t="str">
        <f>IFERROR(VLOOKUP($B47&amp;T$5,'Mark Leave'!$A$1:$E$1841,5,0),"")</f>
        <v/>
      </c>
      <c r="U47" s="39" t="str">
        <f>IFERROR(VLOOKUP($B47&amp;U$5,'Mark Leave'!$A$1:$E$1841,5,0),"")</f>
        <v/>
      </c>
      <c r="V47" s="39" t="str">
        <f>IFERROR(VLOOKUP($B47&amp;V$5,'Mark Leave'!$A$1:$E$1841,5,0),"")</f>
        <v/>
      </c>
      <c r="W47" s="39" t="str">
        <f>IFERROR(VLOOKUP($B47&amp;W$5,'Mark Leave'!$A$1:$E$1841,5,0),"")</f>
        <v/>
      </c>
      <c r="X47" s="39" t="str">
        <f>IFERROR(VLOOKUP($B47&amp;X$5,'Mark Leave'!$A$1:$E$1841,5,0),"")</f>
        <v/>
      </c>
      <c r="Y47" s="39" t="str">
        <f>IFERROR(VLOOKUP($B47&amp;Y$5,'Mark Leave'!$A$1:$E$1841,5,0),"")</f>
        <v/>
      </c>
      <c r="Z47" s="39" t="str">
        <f>IFERROR(VLOOKUP($B47&amp;Z$5,'Mark Leave'!$A$1:$E$1841,5,0),"")</f>
        <v/>
      </c>
      <c r="AA47" s="39" t="str">
        <f>IFERROR(VLOOKUP($B47&amp;AA$5,'Mark Leave'!$A$1:$E$1841,5,0),"")</f>
        <v/>
      </c>
      <c r="AB47" s="39" t="str">
        <f>IFERROR(VLOOKUP($B47&amp;AB$5,'Mark Leave'!$A$1:$E$1841,5,0),"")</f>
        <v/>
      </c>
      <c r="AC47" s="39" t="str">
        <f>IFERROR(VLOOKUP($B47&amp;AC$5,'Mark Leave'!$A$1:$E$1841,5,0),"")</f>
        <v/>
      </c>
      <c r="AD47" s="39" t="str">
        <f>IFERROR(VLOOKUP($B47&amp;AD$5,'Mark Leave'!$A$1:$E$1841,5,0),"")</f>
        <v/>
      </c>
      <c r="AE47" s="39" t="str">
        <f>IFERROR(VLOOKUP($B47&amp;AE$5,'Mark Leave'!$A$1:$E$1841,5,0),"")</f>
        <v/>
      </c>
      <c r="AF47" s="39" t="str">
        <f>IFERROR(VLOOKUP($B47&amp;AF$5,'Mark Leave'!$A$1:$E$1841,5,0),"")</f>
        <v/>
      </c>
      <c r="AG47" s="39" t="str">
        <f>IFERROR(VLOOKUP($B47&amp;AG$5,'Mark Leave'!$A$1:$E$1841,5,0),"")</f>
        <v/>
      </c>
      <c r="AH47" s="39">
        <f>IFERROR(VLOOKUP($B47&amp;AH$5,'Mark Leave'!$A$1:$E$1841,5,0),"")</f>
        <v>0</v>
      </c>
      <c r="AI47" s="98" t="str">
        <f>IF($B47&lt;&gt;"",COUNTIF($D47:$AH47,'Setting '!$H$2),"")</f>
        <v/>
      </c>
      <c r="AJ47" s="98" t="str">
        <f>IF($B47&lt;&gt;"",COUNTIF($D47:$AH47,'Setting '!$H$3)/2,"")</f>
        <v/>
      </c>
      <c r="AK47" s="98" t="str">
        <f>IF($B47&lt;&gt;"",COUNTIF($D47:$AH47,'Setting '!$H$4),"")</f>
        <v/>
      </c>
      <c r="AL47" s="98" t="str">
        <f t="shared" si="13"/>
        <v/>
      </c>
      <c r="AM47" s="117" t="str">
        <f>IF(B47&lt;&gt;"",_xlfn.IFNA(VLOOKUP(B47,'Leave Credit Sheet'!B47:K140,10,0),""),"")</f>
        <v/>
      </c>
      <c r="AN47" s="98" t="str">
        <f t="shared" si="17"/>
        <v/>
      </c>
      <c r="AO47" s="106" t="str">
        <f>IF(B47&lt;&gt;"",_xlfn.IFNA(INDEX('CTC Sheet'!$C$6:$N$101,MATCH(AttendanceSheet!$B47,'CTC Sheet'!$A$6:$A$101,0),MATCH(AttendanceSheet!$T$1,'CTC Sheet'!$C$5:$N$5,0)),0),"")</f>
        <v/>
      </c>
      <c r="AP47" s="106" t="str">
        <f>IF(B47&lt;&gt;"",_xlfn.IFNA(INDEX('CTC Sheet'!$R$6:$AC$100,MATCH(AttendanceSheet!$B47,'CTC Sheet'!$P$6:$P$100,0),MATCH(AttendanceSheet!$T$1,'CTC Sheet'!$R$5:$AC$5,0)),0),"")</f>
        <v/>
      </c>
      <c r="AQ47" s="106" t="str">
        <f t="shared" si="18"/>
        <v/>
      </c>
      <c r="AR47" s="106" t="str">
        <f t="shared" si="19"/>
        <v/>
      </c>
      <c r="AS47" s="106" t="str">
        <f t="shared" si="20"/>
        <v/>
      </c>
      <c r="AT47" s="106" t="str">
        <f t="shared" si="21"/>
        <v/>
      </c>
      <c r="AU47" s="106" t="str">
        <f t="shared" si="22"/>
        <v/>
      </c>
      <c r="AV47" s="106" t="str">
        <f t="shared" si="23"/>
        <v/>
      </c>
      <c r="AW47" s="106" t="str">
        <f>IF(B47&lt;&gt;"",_xlfn.IFNA(INDEX('OtherArrear payment'!$A$1:$N$95,MATCH(AttendanceSheet!$B47,'OtherArrear payment'!$A$1:$A$95,0),MATCH(AttendanceSheet!$T$1,'OtherArrear payment'!$A$1:$N$1,0)),0),"")</f>
        <v/>
      </c>
      <c r="AX47" s="106" t="str">
        <f t="shared" si="14"/>
        <v/>
      </c>
      <c r="AY47" s="106">
        <f t="shared" si="24"/>
        <v>0</v>
      </c>
      <c r="AZ47" s="106">
        <f t="shared" si="25"/>
        <v>0</v>
      </c>
      <c r="BA47" s="106">
        <f t="shared" si="26"/>
        <v>0</v>
      </c>
      <c r="BB47" s="106">
        <f t="shared" si="27"/>
        <v>0</v>
      </c>
      <c r="BC47" s="106" t="str">
        <f>IF($B47&lt;&gt;"",IF(BL47="Yes",IF($BI47="Mr.",IF($AX47&lt;=7500,0,IF(AND($AX47&lt;10000,$AX47&gt;7501),175,IF(AND($AX47&gt;10000,'Setting '!$G$28&lt;&gt;11),200,300))),IF(AND($AX47&lt;=10000,$BI47="Ms."),0,IF(AND($AX47&gt;10000,'Setting '!$G$28&lt;&gt;11),200,300))),0),"")</f>
        <v/>
      </c>
      <c r="BD47" s="42"/>
      <c r="BE47" s="212" t="str">
        <f>IF($B47&lt;&gt;"",IF('Advance Sheet'!AF44&gt;=0,INDEX('Advance Sheet'!$Q$3:$AD$100,MATCH(AttendanceSheet!$B47,'Advance Sheet'!$Q$3:$Q$100,0),MATCH(AttendanceSheet!$T$1,'Advance Sheet'!$Q$3:$AD$3,)),0),"")</f>
        <v/>
      </c>
      <c r="BF47" s="137" t="str">
        <f t="shared" si="15"/>
        <v/>
      </c>
      <c r="BG47" s="97" t="str">
        <f>IF(B47&lt;&gt;"",VLOOKUP(B47,'Employee Details'!A46:S129,17,0),"")</f>
        <v/>
      </c>
      <c r="BH47" s="97" t="str">
        <f>IF(B47&lt;&gt;"",VLOOKUP(B47,'Employee Details'!A46:S129,18,0),"")</f>
        <v/>
      </c>
      <c r="BI47" s="40" t="str">
        <f>IF(B47&lt;&gt;"",VLOOKUP(B47,'Employee Details'!A45:S128,19,0),"")</f>
        <v/>
      </c>
      <c r="BJ47" s="38" t="str">
        <f>IF(B47&lt;&gt;"",VLOOKUP(B47,'Employee Details'!A46:D85,4,0),"")</f>
        <v/>
      </c>
      <c r="BK47" s="38" t="str">
        <f>IF(B47&lt;&gt;"",VLOOKUP(B47,'Employee Details'!A46:E129,5,0),"")</f>
        <v/>
      </c>
      <c r="BL47" s="210" t="str">
        <f>IF(B47&lt;&gt;"",VLOOKUP(B47,'Employee Details'!A46:U129,21,0),"")</f>
        <v/>
      </c>
    </row>
    <row r="48" spans="2:68" ht="16.5" thickTop="1" thickBot="1" x14ac:dyDescent="0.3">
      <c r="B48" s="37" t="str">
        <f>_xlfn.IFNA(INDEX('Employee Details'!$A$7:$A51,MATCH(AttendanceSheet!$C48,'Employee Details'!$B$7:$B57,0)),"")</f>
        <v/>
      </c>
      <c r="C48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'!$J$1:J42))),"")</f>
        <v/>
      </c>
      <c r="D48" s="39" t="str">
        <f>IFERROR(VLOOKUP($B48&amp;D$5,'Mark Leave'!$A$1:$E$1841,5,0),"")</f>
        <v/>
      </c>
      <c r="E48" s="39" t="str">
        <f>IFERROR(VLOOKUP($B48&amp;E$5,'Mark Leave'!$A$1:$E$1841,5,0),"")</f>
        <v/>
      </c>
      <c r="F48" s="39" t="str">
        <f>IFERROR(VLOOKUP($B48&amp;F$5,'Mark Leave'!$A$1:$E$1841,5,0),"")</f>
        <v/>
      </c>
      <c r="G48" s="39" t="str">
        <f>IFERROR(VLOOKUP($B48&amp;G$5,'Mark Leave'!$A$1:$E$1841,5,0),"")</f>
        <v/>
      </c>
      <c r="H48" s="39" t="str">
        <f>IFERROR(VLOOKUP($B48&amp;H$5,'Mark Leave'!$A$1:$E$1841,5,0),"")</f>
        <v/>
      </c>
      <c r="I48" s="39" t="str">
        <f>IFERROR(VLOOKUP($B48&amp;I$5,'Mark Leave'!$A$1:$E$1841,5,0),"")</f>
        <v/>
      </c>
      <c r="J48" s="39" t="str">
        <f>IFERROR(VLOOKUP($B48&amp;J$5,'Mark Leave'!$A$1:$E$1841,5,0),"")</f>
        <v/>
      </c>
      <c r="K48" s="39" t="str">
        <f>IFERROR(VLOOKUP($B48&amp;K$5,'Mark Leave'!$A$1:$E$1841,5,0),"")</f>
        <v/>
      </c>
      <c r="L48" s="39" t="str">
        <f>IFERROR(VLOOKUP($B48&amp;L$5,'Mark Leave'!$A$1:$E$1841,5,0),"")</f>
        <v/>
      </c>
      <c r="M48" s="39" t="str">
        <f>IFERROR(VLOOKUP($B48&amp;M$5,'Mark Leave'!$A$1:$E$1841,5,0),"")</f>
        <v/>
      </c>
      <c r="N48" s="39" t="str">
        <f>IFERROR(VLOOKUP($B48&amp;N$5,'Mark Leave'!$A$1:$E$1841,5,0),"")</f>
        <v/>
      </c>
      <c r="O48" s="39" t="str">
        <f>IFERROR(VLOOKUP($B48&amp;O$5,'Mark Leave'!$A$1:$E$1841,5,0),"")</f>
        <v/>
      </c>
      <c r="P48" s="39" t="str">
        <f>IFERROR(VLOOKUP($B48&amp;P$5,'Mark Leave'!$A$1:$E$1841,5,0),"")</f>
        <v/>
      </c>
      <c r="Q48" s="39" t="str">
        <f>IFERROR(VLOOKUP($B48&amp;Q$5,'Mark Leave'!$A$1:$E$1841,5,0),"")</f>
        <v/>
      </c>
      <c r="R48" s="39" t="str">
        <f>IFERROR(VLOOKUP($B48&amp;R$5,'Mark Leave'!$A$1:$E$1841,5,0),"")</f>
        <v/>
      </c>
      <c r="S48" s="39" t="str">
        <f>IFERROR(VLOOKUP($B48&amp;S$5,'Mark Leave'!$A$1:$E$1841,5,0),"")</f>
        <v/>
      </c>
      <c r="T48" s="39" t="str">
        <f>IFERROR(VLOOKUP($B48&amp;T$5,'Mark Leave'!$A$1:$E$1841,5,0),"")</f>
        <v/>
      </c>
      <c r="U48" s="39" t="str">
        <f>IFERROR(VLOOKUP($B48&amp;U$5,'Mark Leave'!$A$1:$E$1841,5,0),"")</f>
        <v/>
      </c>
      <c r="V48" s="39" t="str">
        <f>IFERROR(VLOOKUP($B48&amp;V$5,'Mark Leave'!$A$1:$E$1841,5,0),"")</f>
        <v/>
      </c>
      <c r="W48" s="39" t="str">
        <f>IFERROR(VLOOKUP($B48&amp;W$5,'Mark Leave'!$A$1:$E$1841,5,0),"")</f>
        <v/>
      </c>
      <c r="X48" s="39" t="str">
        <f>IFERROR(VLOOKUP($B48&amp;X$5,'Mark Leave'!$A$1:$E$1841,5,0),"")</f>
        <v/>
      </c>
      <c r="Y48" s="39" t="str">
        <f>IFERROR(VLOOKUP($B48&amp;Y$5,'Mark Leave'!$A$1:$E$1841,5,0),"")</f>
        <v/>
      </c>
      <c r="Z48" s="39" t="str">
        <f>IFERROR(VLOOKUP($B48&amp;Z$5,'Mark Leave'!$A$1:$E$1841,5,0),"")</f>
        <v/>
      </c>
      <c r="AA48" s="39" t="str">
        <f>IFERROR(VLOOKUP($B48&amp;AA$5,'Mark Leave'!$A$1:$E$1841,5,0),"")</f>
        <v/>
      </c>
      <c r="AB48" s="39" t="str">
        <f>IFERROR(VLOOKUP($B48&amp;AB$5,'Mark Leave'!$A$1:$E$1841,5,0),"")</f>
        <v/>
      </c>
      <c r="AC48" s="39" t="str">
        <f>IFERROR(VLOOKUP($B48&amp;AC$5,'Mark Leave'!$A$1:$E$1841,5,0),"")</f>
        <v/>
      </c>
      <c r="AD48" s="39" t="str">
        <f>IFERROR(VLOOKUP($B48&amp;AD$5,'Mark Leave'!$A$1:$E$1841,5,0),"")</f>
        <v/>
      </c>
      <c r="AE48" s="39" t="str">
        <f>IFERROR(VLOOKUP($B48&amp;AE$5,'Mark Leave'!$A$1:$E$1841,5,0),"")</f>
        <v/>
      </c>
      <c r="AF48" s="39" t="str">
        <f>IFERROR(VLOOKUP($B48&amp;AF$5,'Mark Leave'!$A$1:$E$1841,5,0),"")</f>
        <v/>
      </c>
      <c r="AG48" s="39" t="str">
        <f>IFERROR(VLOOKUP($B48&amp;AG$5,'Mark Leave'!$A$1:$E$1841,5,0),"")</f>
        <v/>
      </c>
      <c r="AH48" s="39">
        <f>IFERROR(VLOOKUP($B48&amp;AH$5,'Mark Leave'!$A$1:$E$1841,5,0),"")</f>
        <v>0</v>
      </c>
      <c r="AI48" s="98" t="str">
        <f>IF($B48&lt;&gt;"",COUNTIF($D48:$AH48,'Setting '!$H$2),"")</f>
        <v/>
      </c>
      <c r="AJ48" s="98" t="str">
        <f>IF($B48&lt;&gt;"",COUNTIF($D48:$AH48,'Setting '!$H$3)/2,"")</f>
        <v/>
      </c>
      <c r="AK48" s="98" t="str">
        <f>IF($B48&lt;&gt;"",COUNTIF($D48:$AH48,'Setting '!$H$4),"")</f>
        <v/>
      </c>
      <c r="AL48" s="98" t="str">
        <f t="shared" si="13"/>
        <v/>
      </c>
      <c r="AM48" s="117" t="str">
        <f>IF(B48&lt;&gt;"",_xlfn.IFNA(VLOOKUP(B48,'Leave Credit Sheet'!B48:K141,10,0),""),"")</f>
        <v/>
      </c>
      <c r="AN48" s="98" t="str">
        <f t="shared" si="17"/>
        <v/>
      </c>
      <c r="AO48" s="106" t="str">
        <f>IF(B48&lt;&gt;"",_xlfn.IFNA(INDEX('CTC Sheet'!$C$6:$N$101,MATCH(AttendanceSheet!$B48,'CTC Sheet'!$A$6:$A$101,0),MATCH(AttendanceSheet!$T$1,'CTC Sheet'!$C$5:$N$5,0)),0),"")</f>
        <v/>
      </c>
      <c r="AP48" s="106" t="str">
        <f>IF(B48&lt;&gt;"",_xlfn.IFNA(INDEX('CTC Sheet'!$R$6:$AC$100,MATCH(AttendanceSheet!$B48,'CTC Sheet'!$P$6:$P$100,0),MATCH(AttendanceSheet!$T$1,'CTC Sheet'!$R$5:$AC$5,0)),0),"")</f>
        <v/>
      </c>
      <c r="AQ48" s="106" t="str">
        <f t="shared" si="18"/>
        <v/>
      </c>
      <c r="AR48" s="106" t="str">
        <f t="shared" si="19"/>
        <v/>
      </c>
      <c r="AS48" s="106" t="str">
        <f t="shared" si="20"/>
        <v/>
      </c>
      <c r="AT48" s="106" t="str">
        <f t="shared" si="21"/>
        <v/>
      </c>
      <c r="AU48" s="106" t="str">
        <f t="shared" si="22"/>
        <v/>
      </c>
      <c r="AV48" s="106" t="str">
        <f t="shared" si="23"/>
        <v/>
      </c>
      <c r="AW48" s="106" t="str">
        <f>IF(B48&lt;&gt;"",_xlfn.IFNA(INDEX('OtherArrear payment'!$A$1:$N$95,MATCH(AttendanceSheet!$B48,'OtherArrear payment'!$A$1:$A$95,0),MATCH(AttendanceSheet!$T$1,'OtherArrear payment'!$A$1:$N$1,0)),0),"")</f>
        <v/>
      </c>
      <c r="AX48" s="106" t="str">
        <f t="shared" si="14"/>
        <v/>
      </c>
      <c r="AY48" s="106">
        <f t="shared" si="24"/>
        <v>0</v>
      </c>
      <c r="AZ48" s="106">
        <f t="shared" si="25"/>
        <v>0</v>
      </c>
      <c r="BA48" s="106">
        <f t="shared" si="26"/>
        <v>0</v>
      </c>
      <c r="BB48" s="106">
        <f t="shared" si="27"/>
        <v>0</v>
      </c>
      <c r="BC48" s="106" t="str">
        <f>IF($B48&lt;&gt;"",IF(BL48="Yes",IF($BI48="Mr.",IF($AX48&lt;=7500,0,IF(AND($AX48&lt;10000,$AX48&gt;7501),175,IF(AND($AX48&gt;10000,'Setting '!$G$28&lt;&gt;11),200,300))),IF(AND($AX48&lt;=10000,$BI48="Ms."),0,IF(AND($AX48&gt;10000,'Setting '!$G$28&lt;&gt;11),200,300))),0),"")</f>
        <v/>
      </c>
      <c r="BD48" s="42"/>
      <c r="BE48" s="212" t="str">
        <f>IF($B48&lt;&gt;"",IF('Advance Sheet'!AF45&gt;=0,INDEX('Advance Sheet'!$Q$3:$AD$100,MATCH(AttendanceSheet!$B48,'Advance Sheet'!$Q$3:$Q$100,0),MATCH(AttendanceSheet!$T$1,'Advance Sheet'!$Q$3:$AD$3,)),0),"")</f>
        <v/>
      </c>
      <c r="BF48" s="137" t="str">
        <f t="shared" si="15"/>
        <v/>
      </c>
      <c r="BG48" s="97" t="str">
        <f>IF(B48&lt;&gt;"",VLOOKUP(B48,'Employee Details'!A47:S130,17,0),"")</f>
        <v/>
      </c>
      <c r="BH48" s="97" t="str">
        <f>IF(B48&lt;&gt;"",VLOOKUP(B48,'Employee Details'!A47:S130,18,0),"")</f>
        <v/>
      </c>
      <c r="BI48" s="40" t="str">
        <f>IF(B48&lt;&gt;"",VLOOKUP(B48,'Employee Details'!A46:S129,19,0),"")</f>
        <v/>
      </c>
      <c r="BJ48" s="38" t="str">
        <f>IF(B48&lt;&gt;"",VLOOKUP(B48,'Employee Details'!A47:D86,4,0),"")</f>
        <v/>
      </c>
      <c r="BK48" s="38" t="str">
        <f>IF(B48&lt;&gt;"",VLOOKUP(B48,'Employee Details'!A47:E130,5,0),"")</f>
        <v/>
      </c>
      <c r="BL48" s="210" t="str">
        <f>IF(B48&lt;&gt;"",VLOOKUP(B48,'Employee Details'!A47:U130,21,0),"")</f>
        <v/>
      </c>
    </row>
    <row r="49" spans="2:64" ht="16.5" thickTop="1" thickBot="1" x14ac:dyDescent="0.3">
      <c r="B49" s="37" t="str">
        <f>_xlfn.IFNA(INDEX('Employee Details'!$A$7:$A52,MATCH(AttendanceSheet!$C49,'Employee Details'!$B$7:$B58,0)),"")</f>
        <v/>
      </c>
      <c r="C49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'!$J$1:J43))),"")</f>
        <v/>
      </c>
      <c r="D49" s="39" t="str">
        <f>IFERROR(VLOOKUP($B49&amp;D$5,'Mark Leave'!$A$1:$E$1841,5,0),"")</f>
        <v/>
      </c>
      <c r="E49" s="39" t="str">
        <f>IFERROR(VLOOKUP($B49&amp;E$5,'Mark Leave'!$A$1:$E$1841,5,0),"")</f>
        <v/>
      </c>
      <c r="F49" s="39" t="str">
        <f>IFERROR(VLOOKUP($B49&amp;F$5,'Mark Leave'!$A$1:$E$1841,5,0),"")</f>
        <v/>
      </c>
      <c r="G49" s="39" t="str">
        <f>IFERROR(VLOOKUP($B49&amp;G$5,'Mark Leave'!$A$1:$E$1841,5,0),"")</f>
        <v/>
      </c>
      <c r="H49" s="39" t="str">
        <f>IFERROR(VLOOKUP($B49&amp;H$5,'Mark Leave'!$A$1:$E$1841,5,0),"")</f>
        <v/>
      </c>
      <c r="I49" s="39" t="str">
        <f>IFERROR(VLOOKUP($B49&amp;I$5,'Mark Leave'!$A$1:$E$1841,5,0),"")</f>
        <v/>
      </c>
      <c r="J49" s="39" t="str">
        <f>IFERROR(VLOOKUP($B49&amp;J$5,'Mark Leave'!$A$1:$E$1841,5,0),"")</f>
        <v/>
      </c>
      <c r="K49" s="39" t="str">
        <f>IFERROR(VLOOKUP($B49&amp;K$5,'Mark Leave'!$A$1:$E$1841,5,0),"")</f>
        <v/>
      </c>
      <c r="L49" s="39" t="str">
        <f>IFERROR(VLOOKUP($B49&amp;L$5,'Mark Leave'!$A$1:$E$1841,5,0),"")</f>
        <v/>
      </c>
      <c r="M49" s="39" t="str">
        <f>IFERROR(VLOOKUP($B49&amp;M$5,'Mark Leave'!$A$1:$E$1841,5,0),"")</f>
        <v/>
      </c>
      <c r="N49" s="39" t="str">
        <f>IFERROR(VLOOKUP($B49&amp;N$5,'Mark Leave'!$A$1:$E$1841,5,0),"")</f>
        <v/>
      </c>
      <c r="O49" s="39" t="str">
        <f>IFERROR(VLOOKUP($B49&amp;O$5,'Mark Leave'!$A$1:$E$1841,5,0),"")</f>
        <v/>
      </c>
      <c r="P49" s="39" t="str">
        <f>IFERROR(VLOOKUP($B49&amp;P$5,'Mark Leave'!$A$1:$E$1841,5,0),"")</f>
        <v/>
      </c>
      <c r="Q49" s="39" t="str">
        <f>IFERROR(VLOOKUP($B49&amp;Q$5,'Mark Leave'!$A$1:$E$1841,5,0),"")</f>
        <v/>
      </c>
      <c r="R49" s="39" t="str">
        <f>IFERROR(VLOOKUP($B49&amp;R$5,'Mark Leave'!$A$1:$E$1841,5,0),"")</f>
        <v/>
      </c>
      <c r="S49" s="39" t="str">
        <f>IFERROR(VLOOKUP($B49&amp;S$5,'Mark Leave'!$A$1:$E$1841,5,0),"")</f>
        <v/>
      </c>
      <c r="T49" s="39" t="str">
        <f>IFERROR(VLOOKUP($B49&amp;T$5,'Mark Leave'!$A$1:$E$1841,5,0),"")</f>
        <v/>
      </c>
      <c r="U49" s="39" t="str">
        <f>IFERROR(VLOOKUP($B49&amp;U$5,'Mark Leave'!$A$1:$E$1841,5,0),"")</f>
        <v/>
      </c>
      <c r="V49" s="39" t="str">
        <f>IFERROR(VLOOKUP($B49&amp;V$5,'Mark Leave'!$A$1:$E$1841,5,0),"")</f>
        <v/>
      </c>
      <c r="W49" s="39" t="str">
        <f>IFERROR(VLOOKUP($B49&amp;W$5,'Mark Leave'!$A$1:$E$1841,5,0),"")</f>
        <v/>
      </c>
      <c r="X49" s="39" t="str">
        <f>IFERROR(VLOOKUP($B49&amp;X$5,'Mark Leave'!$A$1:$E$1841,5,0),"")</f>
        <v/>
      </c>
      <c r="Y49" s="39" t="str">
        <f>IFERROR(VLOOKUP($B49&amp;Y$5,'Mark Leave'!$A$1:$E$1841,5,0),"")</f>
        <v/>
      </c>
      <c r="Z49" s="39" t="str">
        <f>IFERROR(VLOOKUP($B49&amp;Z$5,'Mark Leave'!$A$1:$E$1841,5,0),"")</f>
        <v/>
      </c>
      <c r="AA49" s="39" t="str">
        <f>IFERROR(VLOOKUP($B49&amp;AA$5,'Mark Leave'!$A$1:$E$1841,5,0),"")</f>
        <v/>
      </c>
      <c r="AB49" s="39" t="str">
        <f>IFERROR(VLOOKUP($B49&amp;AB$5,'Mark Leave'!$A$1:$E$1841,5,0),"")</f>
        <v/>
      </c>
      <c r="AC49" s="39" t="str">
        <f>IFERROR(VLOOKUP($B49&amp;AC$5,'Mark Leave'!$A$1:$E$1841,5,0),"")</f>
        <v/>
      </c>
      <c r="AD49" s="39" t="str">
        <f>IFERROR(VLOOKUP($B49&amp;AD$5,'Mark Leave'!$A$1:$E$1841,5,0),"")</f>
        <v/>
      </c>
      <c r="AE49" s="39" t="str">
        <f>IFERROR(VLOOKUP($B49&amp;AE$5,'Mark Leave'!$A$1:$E$1841,5,0),"")</f>
        <v/>
      </c>
      <c r="AF49" s="39" t="str">
        <f>IFERROR(VLOOKUP($B49&amp;AF$5,'Mark Leave'!$A$1:$E$1841,5,0),"")</f>
        <v/>
      </c>
      <c r="AG49" s="39" t="str">
        <f>IFERROR(VLOOKUP($B49&amp;AG$5,'Mark Leave'!$A$1:$E$1841,5,0),"")</f>
        <v/>
      </c>
      <c r="AH49" s="39">
        <f>IFERROR(VLOOKUP($B49&amp;AH$5,'Mark Leave'!$A$1:$E$1841,5,0),"")</f>
        <v>0</v>
      </c>
      <c r="AI49" s="98" t="str">
        <f>IF($B49&lt;&gt;"",COUNTIF($D49:$AH49,'Setting '!$H$2),"")</f>
        <v/>
      </c>
      <c r="AJ49" s="98" t="str">
        <f>IF($B49&lt;&gt;"",COUNTIF($D49:$AH49,'Setting '!$H$3)/2,"")</f>
        <v/>
      </c>
      <c r="AK49" s="98" t="str">
        <f>IF($B49&lt;&gt;"",COUNTIF($D49:$AH49,'Setting '!$H$4),"")</f>
        <v/>
      </c>
      <c r="AL49" s="98" t="str">
        <f t="shared" si="13"/>
        <v/>
      </c>
      <c r="AM49" s="117" t="str">
        <f>IF(B49&lt;&gt;"",_xlfn.IFNA(VLOOKUP(B49,'Leave Credit Sheet'!B49:K142,10,0),""),"")</f>
        <v/>
      </c>
      <c r="AN49" s="98" t="str">
        <f t="shared" si="17"/>
        <v/>
      </c>
      <c r="AO49" s="106" t="str">
        <f>IF(B49&lt;&gt;"",_xlfn.IFNA(INDEX('CTC Sheet'!$C$6:$N$101,MATCH(AttendanceSheet!$B49,'CTC Sheet'!$A$6:$A$101,0),MATCH(AttendanceSheet!$T$1,'CTC Sheet'!$C$5:$N$5,0)),0),"")</f>
        <v/>
      </c>
      <c r="AP49" s="106" t="str">
        <f>IF(B49&lt;&gt;"",_xlfn.IFNA(INDEX('CTC Sheet'!$R$6:$AC$100,MATCH(AttendanceSheet!$B49,'CTC Sheet'!$P$6:$P$100,0),MATCH(AttendanceSheet!$T$1,'CTC Sheet'!$R$5:$AC$5,0)),0),"")</f>
        <v/>
      </c>
      <c r="AQ49" s="106" t="str">
        <f t="shared" si="18"/>
        <v/>
      </c>
      <c r="AR49" s="106" t="str">
        <f t="shared" si="19"/>
        <v/>
      </c>
      <c r="AS49" s="106" t="str">
        <f t="shared" si="20"/>
        <v/>
      </c>
      <c r="AT49" s="106" t="str">
        <f t="shared" si="21"/>
        <v/>
      </c>
      <c r="AU49" s="106" t="str">
        <f t="shared" si="22"/>
        <v/>
      </c>
      <c r="AV49" s="106" t="str">
        <f t="shared" si="23"/>
        <v/>
      </c>
      <c r="AW49" s="106" t="str">
        <f>IF(B49&lt;&gt;"",_xlfn.IFNA(INDEX('OtherArrear payment'!$A$1:$N$95,MATCH(AttendanceSheet!$B49,'OtherArrear payment'!$A$1:$A$95,0),MATCH(AttendanceSheet!$T$1,'OtherArrear payment'!$A$1:$N$1,0)),0),"")</f>
        <v/>
      </c>
      <c r="AX49" s="106" t="str">
        <f t="shared" si="14"/>
        <v/>
      </c>
      <c r="AY49" s="106">
        <f t="shared" si="24"/>
        <v>0</v>
      </c>
      <c r="AZ49" s="106">
        <f t="shared" si="25"/>
        <v>0</v>
      </c>
      <c r="BA49" s="106">
        <f t="shared" si="26"/>
        <v>0</v>
      </c>
      <c r="BB49" s="106">
        <f t="shared" si="27"/>
        <v>0</v>
      </c>
      <c r="BC49" s="106" t="str">
        <f>IF($B49&lt;&gt;"",IF(BL49="Yes",IF($BI49="Mr.",IF($AX49&lt;=7500,0,IF(AND($AX49&lt;10000,$AX49&gt;7501),175,IF(AND($AX49&gt;10000,'Setting '!$G$28&lt;&gt;11),200,300))),IF(AND($AX49&lt;=10000,$BI49="Ms."),0,IF(AND($AX49&gt;10000,'Setting '!$G$28&lt;&gt;11),200,300))),0),"")</f>
        <v/>
      </c>
      <c r="BD49" s="42"/>
      <c r="BE49" s="212" t="str">
        <f>IF($B49&lt;&gt;"",IF('Advance Sheet'!AF46&gt;=0,INDEX('Advance Sheet'!$Q$3:$AD$100,MATCH(AttendanceSheet!$B49,'Advance Sheet'!$Q$3:$Q$100,0),MATCH(AttendanceSheet!$T$1,'Advance Sheet'!$Q$3:$AD$3,)),0),"")</f>
        <v/>
      </c>
      <c r="BF49" s="137" t="str">
        <f t="shared" si="15"/>
        <v/>
      </c>
      <c r="BG49" s="97" t="str">
        <f>IF(B49&lt;&gt;"",VLOOKUP(B49,'Employee Details'!A48:S131,17,0),"")</f>
        <v/>
      </c>
      <c r="BH49" s="97" t="str">
        <f>IF(B49&lt;&gt;"",VLOOKUP(B49,'Employee Details'!A48:S131,18,0),"")</f>
        <v/>
      </c>
      <c r="BI49" s="40" t="str">
        <f>IF(B49&lt;&gt;"",VLOOKUP(B49,'Employee Details'!A47:S130,19,0),"")</f>
        <v/>
      </c>
      <c r="BJ49" s="38" t="str">
        <f>IF(B49&lt;&gt;"",VLOOKUP(B49,'Employee Details'!A48:D87,4,0),"")</f>
        <v/>
      </c>
      <c r="BK49" s="38" t="str">
        <f>IF(B49&lt;&gt;"",VLOOKUP(B49,'Employee Details'!A48:E131,5,0),"")</f>
        <v/>
      </c>
      <c r="BL49" s="210" t="str">
        <f>IF(B49&lt;&gt;"",VLOOKUP(B49,'Employee Details'!A48:U131,21,0),"")</f>
        <v/>
      </c>
    </row>
    <row r="50" spans="2:64" ht="16.5" thickTop="1" thickBot="1" x14ac:dyDescent="0.3">
      <c r="B50" s="37" t="str">
        <f>_xlfn.IFNA(INDEX('Employee Details'!$A$7:$A53,MATCH(AttendanceSheet!$C50,'Employee Details'!$B$7:$B59,0)),"")</f>
        <v/>
      </c>
      <c r="C50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'!$J$1:J44))),"")</f>
        <v/>
      </c>
      <c r="D50" s="39" t="str">
        <f>IFERROR(VLOOKUP($B50&amp;D$5,'Mark Leave'!$A$1:$E$1841,5,0),"")</f>
        <v/>
      </c>
      <c r="E50" s="39" t="str">
        <f>IFERROR(VLOOKUP($B50&amp;E$5,'Mark Leave'!$A$1:$E$1841,5,0),"")</f>
        <v/>
      </c>
      <c r="F50" s="39" t="str">
        <f>IFERROR(VLOOKUP($B50&amp;F$5,'Mark Leave'!$A$1:$E$1841,5,0),"")</f>
        <v/>
      </c>
      <c r="G50" s="39" t="str">
        <f>IFERROR(VLOOKUP($B50&amp;G$5,'Mark Leave'!$A$1:$E$1841,5,0),"")</f>
        <v/>
      </c>
      <c r="H50" s="39" t="str">
        <f>IFERROR(VLOOKUP($B50&amp;H$5,'Mark Leave'!$A$1:$E$1841,5,0),"")</f>
        <v/>
      </c>
      <c r="I50" s="39" t="str">
        <f>IFERROR(VLOOKUP($B50&amp;I$5,'Mark Leave'!$A$1:$E$1841,5,0),"")</f>
        <v/>
      </c>
      <c r="J50" s="39" t="str">
        <f>IFERROR(VLOOKUP($B50&amp;J$5,'Mark Leave'!$A$1:$E$1841,5,0),"")</f>
        <v/>
      </c>
      <c r="K50" s="39" t="str">
        <f>IFERROR(VLOOKUP($B50&amp;K$5,'Mark Leave'!$A$1:$E$1841,5,0),"")</f>
        <v/>
      </c>
      <c r="L50" s="39" t="str">
        <f>IFERROR(VLOOKUP($B50&amp;L$5,'Mark Leave'!$A$1:$E$1841,5,0),"")</f>
        <v/>
      </c>
      <c r="M50" s="39" t="str">
        <f>IFERROR(VLOOKUP($B50&amp;M$5,'Mark Leave'!$A$1:$E$1841,5,0),"")</f>
        <v/>
      </c>
      <c r="N50" s="39" t="str">
        <f>IFERROR(VLOOKUP($B50&amp;N$5,'Mark Leave'!$A$1:$E$1841,5,0),"")</f>
        <v/>
      </c>
      <c r="O50" s="39" t="str">
        <f>IFERROR(VLOOKUP($B50&amp;O$5,'Mark Leave'!$A$1:$E$1841,5,0),"")</f>
        <v/>
      </c>
      <c r="P50" s="39" t="str">
        <f>IFERROR(VLOOKUP($B50&amp;P$5,'Mark Leave'!$A$1:$E$1841,5,0),"")</f>
        <v/>
      </c>
      <c r="Q50" s="39" t="str">
        <f>IFERROR(VLOOKUP($B50&amp;Q$5,'Mark Leave'!$A$1:$E$1841,5,0),"")</f>
        <v/>
      </c>
      <c r="R50" s="39" t="str">
        <f>IFERROR(VLOOKUP($B50&amp;R$5,'Mark Leave'!$A$1:$E$1841,5,0),"")</f>
        <v/>
      </c>
      <c r="S50" s="39" t="str">
        <f>IFERROR(VLOOKUP($B50&amp;S$5,'Mark Leave'!$A$1:$E$1841,5,0),"")</f>
        <v/>
      </c>
      <c r="T50" s="39" t="str">
        <f>IFERROR(VLOOKUP($B50&amp;T$5,'Mark Leave'!$A$1:$E$1841,5,0),"")</f>
        <v/>
      </c>
      <c r="U50" s="39" t="str">
        <f>IFERROR(VLOOKUP($B50&amp;U$5,'Mark Leave'!$A$1:$E$1841,5,0),"")</f>
        <v/>
      </c>
      <c r="V50" s="39" t="str">
        <f>IFERROR(VLOOKUP($B50&amp;V$5,'Mark Leave'!$A$1:$E$1841,5,0),"")</f>
        <v/>
      </c>
      <c r="W50" s="39" t="str">
        <f>IFERROR(VLOOKUP($B50&amp;W$5,'Mark Leave'!$A$1:$E$1841,5,0),"")</f>
        <v/>
      </c>
      <c r="X50" s="39" t="str">
        <f>IFERROR(VLOOKUP($B50&amp;X$5,'Mark Leave'!$A$1:$E$1841,5,0),"")</f>
        <v/>
      </c>
      <c r="Y50" s="39" t="str">
        <f>IFERROR(VLOOKUP($B50&amp;Y$5,'Mark Leave'!$A$1:$E$1841,5,0),"")</f>
        <v/>
      </c>
      <c r="Z50" s="39" t="str">
        <f>IFERROR(VLOOKUP($B50&amp;Z$5,'Mark Leave'!$A$1:$E$1841,5,0),"")</f>
        <v/>
      </c>
      <c r="AA50" s="39" t="str">
        <f>IFERROR(VLOOKUP($B50&amp;AA$5,'Mark Leave'!$A$1:$E$1841,5,0),"")</f>
        <v/>
      </c>
      <c r="AB50" s="39" t="str">
        <f>IFERROR(VLOOKUP($B50&amp;AB$5,'Mark Leave'!$A$1:$E$1841,5,0),"")</f>
        <v/>
      </c>
      <c r="AC50" s="39" t="str">
        <f>IFERROR(VLOOKUP($B50&amp;AC$5,'Mark Leave'!$A$1:$E$1841,5,0),"")</f>
        <v/>
      </c>
      <c r="AD50" s="39" t="str">
        <f>IFERROR(VLOOKUP($B50&amp;AD$5,'Mark Leave'!$A$1:$E$1841,5,0),"")</f>
        <v/>
      </c>
      <c r="AE50" s="39" t="str">
        <f>IFERROR(VLOOKUP($B50&amp;AE$5,'Mark Leave'!$A$1:$E$1841,5,0),"")</f>
        <v/>
      </c>
      <c r="AF50" s="39" t="str">
        <f>IFERROR(VLOOKUP($B50&amp;AF$5,'Mark Leave'!$A$1:$E$1841,5,0),"")</f>
        <v/>
      </c>
      <c r="AG50" s="39" t="str">
        <f>IFERROR(VLOOKUP($B50&amp;AG$5,'Mark Leave'!$A$1:$E$1841,5,0),"")</f>
        <v/>
      </c>
      <c r="AH50" s="39">
        <f>IFERROR(VLOOKUP($B50&amp;AH$5,'Mark Leave'!$A$1:$E$1841,5,0),"")</f>
        <v>0</v>
      </c>
      <c r="AI50" s="98" t="str">
        <f>IF($B50&lt;&gt;"",COUNTIF($D50:$AH50,'Setting '!$H$2),"")</f>
        <v/>
      </c>
      <c r="AJ50" s="98" t="str">
        <f>IF($B50&lt;&gt;"",COUNTIF($D50:$AH50,'Setting '!$H$3)/2,"")</f>
        <v/>
      </c>
      <c r="AK50" s="98" t="str">
        <f>IF($B50&lt;&gt;"",COUNTIF($D50:$AH50,'Setting '!$H$4),"")</f>
        <v/>
      </c>
      <c r="AL50" s="98" t="str">
        <f t="shared" si="13"/>
        <v/>
      </c>
      <c r="AM50" s="117" t="str">
        <f>IF(B50&lt;&gt;"",_xlfn.IFNA(VLOOKUP(B50,'Leave Credit Sheet'!B50:K143,10,0),""),"")</f>
        <v/>
      </c>
      <c r="AN50" s="98" t="str">
        <f t="shared" si="17"/>
        <v/>
      </c>
      <c r="AO50" s="106" t="str">
        <f>IF(B50&lt;&gt;"",_xlfn.IFNA(INDEX('CTC Sheet'!$C$6:$N$101,MATCH(AttendanceSheet!$B50,'CTC Sheet'!$A$6:$A$101,0),MATCH(AttendanceSheet!$T$1,'CTC Sheet'!$C$5:$N$5,0)),0),"")</f>
        <v/>
      </c>
      <c r="AP50" s="106" t="str">
        <f>IF(B50&lt;&gt;"",_xlfn.IFNA(INDEX('CTC Sheet'!$R$6:$AC$100,MATCH(AttendanceSheet!$B50,'CTC Sheet'!$P$6:$P$100,0),MATCH(AttendanceSheet!$T$1,'CTC Sheet'!$R$5:$AC$5,0)),0),"")</f>
        <v/>
      </c>
      <c r="AQ50" s="106" t="str">
        <f t="shared" si="18"/>
        <v/>
      </c>
      <c r="AR50" s="106" t="str">
        <f t="shared" si="19"/>
        <v/>
      </c>
      <c r="AS50" s="106" t="str">
        <f t="shared" si="20"/>
        <v/>
      </c>
      <c r="AT50" s="106" t="str">
        <f t="shared" si="21"/>
        <v/>
      </c>
      <c r="AU50" s="106" t="str">
        <f t="shared" si="22"/>
        <v/>
      </c>
      <c r="AV50" s="106" t="str">
        <f t="shared" si="23"/>
        <v/>
      </c>
      <c r="AW50" s="106" t="str">
        <f>IF(B50&lt;&gt;"",_xlfn.IFNA(INDEX('OtherArrear payment'!$A$1:$N$95,MATCH(AttendanceSheet!$B50,'OtherArrear payment'!$A$1:$A$95,0),MATCH(AttendanceSheet!$T$1,'OtherArrear payment'!$A$1:$N$1,0)),0),"")</f>
        <v/>
      </c>
      <c r="AX50" s="106" t="str">
        <f t="shared" si="14"/>
        <v/>
      </c>
      <c r="AY50" s="106">
        <f t="shared" si="24"/>
        <v>0</v>
      </c>
      <c r="AZ50" s="106">
        <f t="shared" si="25"/>
        <v>0</v>
      </c>
      <c r="BA50" s="106">
        <f t="shared" si="26"/>
        <v>0</v>
      </c>
      <c r="BB50" s="106">
        <f t="shared" si="27"/>
        <v>0</v>
      </c>
      <c r="BC50" s="106" t="str">
        <f>IF($B50&lt;&gt;"",IF(BL50="Yes",IF($BI50="Mr.",IF($AX50&lt;=7500,0,IF(AND($AX50&lt;10000,$AX50&gt;7501),175,IF(AND($AX50&gt;10000,'Setting '!$G$28&lt;&gt;11),200,300))),IF(AND($AX50&lt;=10000,$BI50="Ms."),0,IF(AND($AX50&gt;10000,'Setting '!$G$28&lt;&gt;11),200,300))),0),"")</f>
        <v/>
      </c>
      <c r="BD50" s="42"/>
      <c r="BE50" s="212" t="str">
        <f>IF($B50&lt;&gt;"",IF('Advance Sheet'!AF47&gt;=0,INDEX('Advance Sheet'!$Q$3:$AD$100,MATCH(AttendanceSheet!$B50,'Advance Sheet'!$Q$3:$Q$100,0),MATCH(AttendanceSheet!$T$1,'Advance Sheet'!$Q$3:$AD$3,)),0),"")</f>
        <v/>
      </c>
      <c r="BF50" s="137" t="str">
        <f t="shared" si="15"/>
        <v/>
      </c>
      <c r="BG50" s="97" t="str">
        <f>IF(B50&lt;&gt;"",VLOOKUP(B50,'Employee Details'!A49:S132,17,0),"")</f>
        <v/>
      </c>
      <c r="BH50" s="97" t="str">
        <f>IF(B50&lt;&gt;"",VLOOKUP(B50,'Employee Details'!A49:S132,18,0),"")</f>
        <v/>
      </c>
      <c r="BI50" s="40" t="str">
        <f>IF(B50&lt;&gt;"",VLOOKUP(B50,'Employee Details'!A48:S131,19,0),"")</f>
        <v/>
      </c>
      <c r="BJ50" s="38" t="str">
        <f>IF(B50&lt;&gt;"",VLOOKUP(B50,'Employee Details'!A49:D88,4,0),"")</f>
        <v/>
      </c>
      <c r="BK50" s="38" t="str">
        <f>IF(B50&lt;&gt;"",VLOOKUP(B50,'Employee Details'!A49:E132,5,0),"")</f>
        <v/>
      </c>
      <c r="BL50" s="210" t="str">
        <f>IF(B50&lt;&gt;"",VLOOKUP(B50,'Employee Details'!A49:U132,21,0),"")</f>
        <v/>
      </c>
    </row>
    <row r="51" spans="2:64" ht="16.5" thickTop="1" thickBot="1" x14ac:dyDescent="0.3">
      <c r="B51" s="37" t="str">
        <f>_xlfn.IFNA(INDEX('Employee Details'!$A$7:$A54,MATCH(AttendanceSheet!$C51,'Employee Details'!$B$7:$B60,0)),"")</f>
        <v/>
      </c>
      <c r="C51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'!$J$1:J45))),"")</f>
        <v/>
      </c>
      <c r="D51" s="39" t="str">
        <f>IFERROR(VLOOKUP($B51&amp;D$5,'Mark Leave'!$A$1:$E$1841,5,0),"")</f>
        <v/>
      </c>
      <c r="E51" s="39" t="str">
        <f>IFERROR(VLOOKUP($B51&amp;E$5,'Mark Leave'!$A$1:$E$1841,5,0),"")</f>
        <v/>
      </c>
      <c r="F51" s="39" t="str">
        <f>IFERROR(VLOOKUP($B51&amp;F$5,'Mark Leave'!$A$1:$E$1841,5,0),"")</f>
        <v/>
      </c>
      <c r="G51" s="39" t="str">
        <f>IFERROR(VLOOKUP($B51&amp;G$5,'Mark Leave'!$A$1:$E$1841,5,0),"")</f>
        <v/>
      </c>
      <c r="H51" s="39" t="str">
        <f>IFERROR(VLOOKUP($B51&amp;H$5,'Mark Leave'!$A$1:$E$1841,5,0),"")</f>
        <v/>
      </c>
      <c r="I51" s="39" t="str">
        <f>IFERROR(VLOOKUP($B51&amp;I$5,'Mark Leave'!$A$1:$E$1841,5,0),"")</f>
        <v/>
      </c>
      <c r="J51" s="39" t="str">
        <f>IFERROR(VLOOKUP($B51&amp;J$5,'Mark Leave'!$A$1:$E$1841,5,0),"")</f>
        <v/>
      </c>
      <c r="K51" s="39" t="str">
        <f>IFERROR(VLOOKUP($B51&amp;K$5,'Mark Leave'!$A$1:$E$1841,5,0),"")</f>
        <v/>
      </c>
      <c r="L51" s="39" t="str">
        <f>IFERROR(VLOOKUP($B51&amp;L$5,'Mark Leave'!$A$1:$E$1841,5,0),"")</f>
        <v/>
      </c>
      <c r="M51" s="39" t="str">
        <f>IFERROR(VLOOKUP($B51&amp;M$5,'Mark Leave'!$A$1:$E$1841,5,0),"")</f>
        <v/>
      </c>
      <c r="N51" s="39" t="str">
        <f>IFERROR(VLOOKUP($B51&amp;N$5,'Mark Leave'!$A$1:$E$1841,5,0),"")</f>
        <v/>
      </c>
      <c r="O51" s="39" t="str">
        <f>IFERROR(VLOOKUP($B51&amp;O$5,'Mark Leave'!$A$1:$E$1841,5,0),"")</f>
        <v/>
      </c>
      <c r="P51" s="39" t="str">
        <f>IFERROR(VLOOKUP($B51&amp;P$5,'Mark Leave'!$A$1:$E$1841,5,0),"")</f>
        <v/>
      </c>
      <c r="Q51" s="39" t="str">
        <f>IFERROR(VLOOKUP($B51&amp;Q$5,'Mark Leave'!$A$1:$E$1841,5,0),"")</f>
        <v/>
      </c>
      <c r="R51" s="39" t="str">
        <f>IFERROR(VLOOKUP($B51&amp;R$5,'Mark Leave'!$A$1:$E$1841,5,0),"")</f>
        <v/>
      </c>
      <c r="S51" s="39" t="str">
        <f>IFERROR(VLOOKUP($B51&amp;S$5,'Mark Leave'!$A$1:$E$1841,5,0),"")</f>
        <v/>
      </c>
      <c r="T51" s="39" t="str">
        <f>IFERROR(VLOOKUP($B51&amp;T$5,'Mark Leave'!$A$1:$E$1841,5,0),"")</f>
        <v/>
      </c>
      <c r="U51" s="39" t="str">
        <f>IFERROR(VLOOKUP($B51&amp;U$5,'Mark Leave'!$A$1:$E$1841,5,0),"")</f>
        <v/>
      </c>
      <c r="V51" s="39" t="str">
        <f>IFERROR(VLOOKUP($B51&amp;V$5,'Mark Leave'!$A$1:$E$1841,5,0),"")</f>
        <v/>
      </c>
      <c r="W51" s="39" t="str">
        <f>IFERROR(VLOOKUP($B51&amp;W$5,'Mark Leave'!$A$1:$E$1841,5,0),"")</f>
        <v/>
      </c>
      <c r="X51" s="39" t="str">
        <f>IFERROR(VLOOKUP($B51&amp;X$5,'Mark Leave'!$A$1:$E$1841,5,0),"")</f>
        <v/>
      </c>
      <c r="Y51" s="39" t="str">
        <f>IFERROR(VLOOKUP($B51&amp;Y$5,'Mark Leave'!$A$1:$E$1841,5,0),"")</f>
        <v/>
      </c>
      <c r="Z51" s="39" t="str">
        <f>IFERROR(VLOOKUP($B51&amp;Z$5,'Mark Leave'!$A$1:$E$1841,5,0),"")</f>
        <v/>
      </c>
      <c r="AA51" s="39" t="str">
        <f>IFERROR(VLOOKUP($B51&amp;AA$5,'Mark Leave'!$A$1:$E$1841,5,0),"")</f>
        <v/>
      </c>
      <c r="AB51" s="39" t="str">
        <f>IFERROR(VLOOKUP($B51&amp;AB$5,'Mark Leave'!$A$1:$E$1841,5,0),"")</f>
        <v/>
      </c>
      <c r="AC51" s="39" t="str">
        <f>IFERROR(VLOOKUP($B51&amp;AC$5,'Mark Leave'!$A$1:$E$1841,5,0),"")</f>
        <v/>
      </c>
      <c r="AD51" s="39" t="str">
        <f>IFERROR(VLOOKUP($B51&amp;AD$5,'Mark Leave'!$A$1:$E$1841,5,0),"")</f>
        <v/>
      </c>
      <c r="AE51" s="39" t="str">
        <f>IFERROR(VLOOKUP($B51&amp;AE$5,'Mark Leave'!$A$1:$E$1841,5,0),"")</f>
        <v/>
      </c>
      <c r="AF51" s="39" t="str">
        <f>IFERROR(VLOOKUP($B51&amp;AF$5,'Mark Leave'!$A$1:$E$1841,5,0),"")</f>
        <v/>
      </c>
      <c r="AG51" s="39" t="str">
        <f>IFERROR(VLOOKUP($B51&amp;AG$5,'Mark Leave'!$A$1:$E$1841,5,0),"")</f>
        <v/>
      </c>
      <c r="AH51" s="39">
        <f>IFERROR(VLOOKUP($B51&amp;AH$5,'Mark Leave'!$A$1:$E$1841,5,0),"")</f>
        <v>0</v>
      </c>
      <c r="AI51" s="98" t="str">
        <f>IF($B51&lt;&gt;"",COUNTIF($D51:$AH51,'Setting '!$H$2),"")</f>
        <v/>
      </c>
      <c r="AJ51" s="98" t="str">
        <f>IF($B51&lt;&gt;"",COUNTIF($D51:$AH51,'Setting '!$H$3)/2,"")</f>
        <v/>
      </c>
      <c r="AK51" s="98" t="str">
        <f>IF($B51&lt;&gt;"",COUNTIF($D51:$AH51,'Setting '!$H$4),"")</f>
        <v/>
      </c>
      <c r="AL51" s="98" t="str">
        <f t="shared" si="13"/>
        <v/>
      </c>
      <c r="AM51" s="117" t="str">
        <f>IF(B51&lt;&gt;"",_xlfn.IFNA(VLOOKUP(B51,'Leave Credit Sheet'!B51:K144,10,0),""),"")</f>
        <v/>
      </c>
      <c r="AN51" s="98" t="str">
        <f t="shared" si="17"/>
        <v/>
      </c>
      <c r="AO51" s="106" t="str">
        <f>IF(B51&lt;&gt;"",_xlfn.IFNA(INDEX('CTC Sheet'!$C$6:$N$101,MATCH(AttendanceSheet!$B51,'CTC Sheet'!$A$6:$A$101,0),MATCH(AttendanceSheet!$T$1,'CTC Sheet'!$C$5:$N$5,0)),0),"")</f>
        <v/>
      </c>
      <c r="AP51" s="106" t="str">
        <f>IF(B51&lt;&gt;"",_xlfn.IFNA(INDEX('CTC Sheet'!$R$6:$AC$100,MATCH(AttendanceSheet!$B51,'CTC Sheet'!$P$6:$P$100,0),MATCH(AttendanceSheet!$T$1,'CTC Sheet'!$R$5:$AC$5,0)),0),"")</f>
        <v/>
      </c>
      <c r="AQ51" s="106" t="str">
        <f t="shared" si="18"/>
        <v/>
      </c>
      <c r="AR51" s="106" t="str">
        <f t="shared" si="19"/>
        <v/>
      </c>
      <c r="AS51" s="106" t="str">
        <f t="shared" si="20"/>
        <v/>
      </c>
      <c r="AT51" s="106" t="str">
        <f t="shared" si="21"/>
        <v/>
      </c>
      <c r="AU51" s="106" t="str">
        <f t="shared" si="22"/>
        <v/>
      </c>
      <c r="AV51" s="106" t="str">
        <f t="shared" si="23"/>
        <v/>
      </c>
      <c r="AW51" s="106" t="str">
        <f>IF(B51&lt;&gt;"",_xlfn.IFNA(INDEX('OtherArrear payment'!$A$1:$N$95,MATCH(AttendanceSheet!$B51,'OtherArrear payment'!$A$1:$A$95,0),MATCH(AttendanceSheet!$T$1,'OtherArrear payment'!$A$1:$N$1,0)),0),"")</f>
        <v/>
      </c>
      <c r="AX51" s="106" t="str">
        <f t="shared" si="14"/>
        <v/>
      </c>
      <c r="AY51" s="106">
        <f t="shared" si="24"/>
        <v>0</v>
      </c>
      <c r="AZ51" s="106">
        <f t="shared" si="25"/>
        <v>0</v>
      </c>
      <c r="BA51" s="106">
        <f t="shared" si="26"/>
        <v>0</v>
      </c>
      <c r="BB51" s="106">
        <f t="shared" si="27"/>
        <v>0</v>
      </c>
      <c r="BC51" s="106" t="str">
        <f>IF($B51&lt;&gt;"",IF(BL51="Yes",IF($BI51="Mr.",IF($AX51&lt;=7500,0,IF(AND($AX51&lt;10000,$AX51&gt;7501),175,IF(AND($AX51&gt;10000,'Setting '!$G$28&lt;&gt;11),200,300))),IF(AND($AX51&lt;=10000,$BI51="Ms."),0,IF(AND($AX51&gt;10000,'Setting '!$G$28&lt;&gt;11),200,300))),0),"")</f>
        <v/>
      </c>
      <c r="BD51" s="42"/>
      <c r="BE51" s="212" t="str">
        <f>IF($B51&lt;&gt;"",IF('Advance Sheet'!AF48&gt;=0,INDEX('Advance Sheet'!$Q$3:$AD$100,MATCH(AttendanceSheet!$B51,'Advance Sheet'!$Q$3:$Q$100,0),MATCH(AttendanceSheet!$T$1,'Advance Sheet'!$Q$3:$AD$3,)),0),"")</f>
        <v/>
      </c>
      <c r="BF51" s="137" t="str">
        <f t="shared" si="15"/>
        <v/>
      </c>
      <c r="BG51" s="97" t="str">
        <f>IF(B51&lt;&gt;"",VLOOKUP(B51,'Employee Details'!A50:S133,17,0),"")</f>
        <v/>
      </c>
      <c r="BH51" s="97" t="str">
        <f>IF(B51&lt;&gt;"",VLOOKUP(B51,'Employee Details'!A50:S133,18,0),"")</f>
        <v/>
      </c>
      <c r="BI51" s="40" t="str">
        <f>IF(B51&lt;&gt;"",VLOOKUP(B51,'Employee Details'!A49:S132,19,0),"")</f>
        <v/>
      </c>
      <c r="BJ51" s="38" t="str">
        <f>IF(B51&lt;&gt;"",VLOOKUP(B51,'Employee Details'!A50:D89,4,0),"")</f>
        <v/>
      </c>
      <c r="BK51" s="38" t="str">
        <f>IF(B51&lt;&gt;"",VLOOKUP(B51,'Employee Details'!A50:E133,5,0),"")</f>
        <v/>
      </c>
      <c r="BL51" s="210" t="str">
        <f>IF(B51&lt;&gt;"",VLOOKUP(B51,'Employee Details'!A50:U133,21,0),"")</f>
        <v/>
      </c>
    </row>
    <row r="52" spans="2:64" ht="16.5" thickTop="1" thickBot="1" x14ac:dyDescent="0.3">
      <c r="B52" s="37" t="str">
        <f>_xlfn.IFNA(INDEX('Employee Details'!$A$7:$A55,MATCH(AttendanceSheet!$C52,'Employee Details'!$B$7:$B61,0)),"")</f>
        <v/>
      </c>
      <c r="C52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'!$J$1:J46))),"")</f>
        <v/>
      </c>
      <c r="D52" s="39" t="str">
        <f>IFERROR(VLOOKUP($B52&amp;D$5,'Mark Leave'!$A$1:$E$1841,5,0),"")</f>
        <v/>
      </c>
      <c r="E52" s="39" t="str">
        <f>IFERROR(VLOOKUP($B52&amp;E$5,'Mark Leave'!$A$1:$E$1841,5,0),"")</f>
        <v/>
      </c>
      <c r="F52" s="39" t="str">
        <f>IFERROR(VLOOKUP($B52&amp;F$5,'Mark Leave'!$A$1:$E$1841,5,0),"")</f>
        <v/>
      </c>
      <c r="G52" s="39" t="str">
        <f>IFERROR(VLOOKUP($B52&amp;G$5,'Mark Leave'!$A$1:$E$1841,5,0),"")</f>
        <v/>
      </c>
      <c r="H52" s="39" t="str">
        <f>IFERROR(VLOOKUP($B52&amp;H$5,'Mark Leave'!$A$1:$E$1841,5,0),"")</f>
        <v/>
      </c>
      <c r="I52" s="39" t="str">
        <f>IFERROR(VLOOKUP($B52&amp;I$5,'Mark Leave'!$A$1:$E$1841,5,0),"")</f>
        <v/>
      </c>
      <c r="J52" s="39" t="str">
        <f>IFERROR(VLOOKUP($B52&amp;J$5,'Mark Leave'!$A$1:$E$1841,5,0),"")</f>
        <v/>
      </c>
      <c r="K52" s="39" t="str">
        <f>IFERROR(VLOOKUP($B52&amp;K$5,'Mark Leave'!$A$1:$E$1841,5,0),"")</f>
        <v/>
      </c>
      <c r="L52" s="39" t="str">
        <f>IFERROR(VLOOKUP($B52&amp;L$5,'Mark Leave'!$A$1:$E$1841,5,0),"")</f>
        <v/>
      </c>
      <c r="M52" s="39" t="str">
        <f>IFERROR(VLOOKUP($B52&amp;M$5,'Mark Leave'!$A$1:$E$1841,5,0),"")</f>
        <v/>
      </c>
      <c r="N52" s="39" t="str">
        <f>IFERROR(VLOOKUP($B52&amp;N$5,'Mark Leave'!$A$1:$E$1841,5,0),"")</f>
        <v/>
      </c>
      <c r="O52" s="39" t="str">
        <f>IFERROR(VLOOKUP($B52&amp;O$5,'Mark Leave'!$A$1:$E$1841,5,0),"")</f>
        <v/>
      </c>
      <c r="P52" s="39" t="str">
        <f>IFERROR(VLOOKUP($B52&amp;P$5,'Mark Leave'!$A$1:$E$1841,5,0),"")</f>
        <v/>
      </c>
      <c r="Q52" s="39" t="str">
        <f>IFERROR(VLOOKUP($B52&amp;Q$5,'Mark Leave'!$A$1:$E$1841,5,0),"")</f>
        <v/>
      </c>
      <c r="R52" s="39" t="str">
        <f>IFERROR(VLOOKUP($B52&amp;R$5,'Mark Leave'!$A$1:$E$1841,5,0),"")</f>
        <v/>
      </c>
      <c r="S52" s="39" t="str">
        <f>IFERROR(VLOOKUP($B52&amp;S$5,'Mark Leave'!$A$1:$E$1841,5,0),"")</f>
        <v/>
      </c>
      <c r="T52" s="39" t="str">
        <f>IFERROR(VLOOKUP($B52&amp;T$5,'Mark Leave'!$A$1:$E$1841,5,0),"")</f>
        <v/>
      </c>
      <c r="U52" s="39" t="str">
        <f>IFERROR(VLOOKUP($B52&amp;U$5,'Mark Leave'!$A$1:$E$1841,5,0),"")</f>
        <v/>
      </c>
      <c r="V52" s="39" t="str">
        <f>IFERROR(VLOOKUP($B52&amp;V$5,'Mark Leave'!$A$1:$E$1841,5,0),"")</f>
        <v/>
      </c>
      <c r="W52" s="39" t="str">
        <f>IFERROR(VLOOKUP($B52&amp;W$5,'Mark Leave'!$A$1:$E$1841,5,0),"")</f>
        <v/>
      </c>
      <c r="X52" s="39" t="str">
        <f>IFERROR(VLOOKUP($B52&amp;X$5,'Mark Leave'!$A$1:$E$1841,5,0),"")</f>
        <v/>
      </c>
      <c r="Y52" s="39" t="str">
        <f>IFERROR(VLOOKUP($B52&amp;Y$5,'Mark Leave'!$A$1:$E$1841,5,0),"")</f>
        <v/>
      </c>
      <c r="Z52" s="39" t="str">
        <f>IFERROR(VLOOKUP($B52&amp;Z$5,'Mark Leave'!$A$1:$E$1841,5,0),"")</f>
        <v/>
      </c>
      <c r="AA52" s="39" t="str">
        <f>IFERROR(VLOOKUP($B52&amp;AA$5,'Mark Leave'!$A$1:$E$1841,5,0),"")</f>
        <v/>
      </c>
      <c r="AB52" s="39" t="str">
        <f>IFERROR(VLOOKUP($B52&amp;AB$5,'Mark Leave'!$A$1:$E$1841,5,0),"")</f>
        <v/>
      </c>
      <c r="AC52" s="39" t="str">
        <f>IFERROR(VLOOKUP($B52&amp;AC$5,'Mark Leave'!$A$1:$E$1841,5,0),"")</f>
        <v/>
      </c>
      <c r="AD52" s="39" t="str">
        <f>IFERROR(VLOOKUP($B52&amp;AD$5,'Mark Leave'!$A$1:$E$1841,5,0),"")</f>
        <v/>
      </c>
      <c r="AE52" s="39" t="str">
        <f>IFERROR(VLOOKUP($B52&amp;AE$5,'Mark Leave'!$A$1:$E$1841,5,0),"")</f>
        <v/>
      </c>
      <c r="AF52" s="39" t="str">
        <f>IFERROR(VLOOKUP($B52&amp;AF$5,'Mark Leave'!$A$1:$E$1841,5,0),"")</f>
        <v/>
      </c>
      <c r="AG52" s="39" t="str">
        <f>IFERROR(VLOOKUP($B52&amp;AG$5,'Mark Leave'!$A$1:$E$1841,5,0),"")</f>
        <v/>
      </c>
      <c r="AH52" s="39">
        <f>IFERROR(VLOOKUP($B52&amp;AH$5,'Mark Leave'!$A$1:$E$1841,5,0),"")</f>
        <v>0</v>
      </c>
      <c r="AI52" s="98" t="str">
        <f>IF($B52&lt;&gt;"",COUNTIF($D52:$AH52,'Setting '!$H$2),"")</f>
        <v/>
      </c>
      <c r="AJ52" s="98" t="str">
        <f>IF($B52&lt;&gt;"",COUNTIF($D52:$AH52,'Setting '!$H$3)/2,"")</f>
        <v/>
      </c>
      <c r="AK52" s="98" t="str">
        <f>IF($B52&lt;&gt;"",COUNTIF($D52:$AH52,'Setting '!$H$4),"")</f>
        <v/>
      </c>
      <c r="AL52" s="98" t="str">
        <f t="shared" si="13"/>
        <v/>
      </c>
      <c r="AM52" s="117" t="str">
        <f>IF(B52&lt;&gt;"",_xlfn.IFNA(VLOOKUP(B52,'Leave Credit Sheet'!B52:K145,10,0),""),"")</f>
        <v/>
      </c>
      <c r="AN52" s="98" t="str">
        <f t="shared" si="17"/>
        <v/>
      </c>
      <c r="AO52" s="106" t="str">
        <f>IF(B52&lt;&gt;"",_xlfn.IFNA(INDEX('CTC Sheet'!$C$6:$N$101,MATCH(AttendanceSheet!$B52,'CTC Sheet'!$A$6:$A$101,0),MATCH(AttendanceSheet!$T$1,'CTC Sheet'!$C$5:$N$5,0)),0),"")</f>
        <v/>
      </c>
      <c r="AP52" s="106" t="str">
        <f>IF(B52&lt;&gt;"",_xlfn.IFNA(INDEX('CTC Sheet'!$R$6:$AC$100,MATCH(AttendanceSheet!$B52,'CTC Sheet'!$P$6:$P$100,0),MATCH(AttendanceSheet!$T$1,'CTC Sheet'!$R$5:$AC$5,0)),0),"")</f>
        <v/>
      </c>
      <c r="AQ52" s="106" t="str">
        <f t="shared" si="18"/>
        <v/>
      </c>
      <c r="AR52" s="106" t="str">
        <f t="shared" si="19"/>
        <v/>
      </c>
      <c r="AS52" s="106" t="str">
        <f t="shared" si="20"/>
        <v/>
      </c>
      <c r="AT52" s="106" t="str">
        <f t="shared" si="21"/>
        <v/>
      </c>
      <c r="AU52" s="106" t="str">
        <f t="shared" si="22"/>
        <v/>
      </c>
      <c r="AV52" s="106" t="str">
        <f t="shared" si="23"/>
        <v/>
      </c>
      <c r="AW52" s="106" t="str">
        <f>IF(B52&lt;&gt;"",_xlfn.IFNA(INDEX('OtherArrear payment'!$A$1:$N$95,MATCH(AttendanceSheet!$B52,'OtherArrear payment'!$A$1:$A$95,0),MATCH(AttendanceSheet!$T$1,'OtherArrear payment'!$A$1:$N$1,0)),0),"")</f>
        <v/>
      </c>
      <c r="AX52" s="106" t="str">
        <f t="shared" si="14"/>
        <v/>
      </c>
      <c r="AY52" s="106">
        <f t="shared" si="24"/>
        <v>0</v>
      </c>
      <c r="AZ52" s="106">
        <f t="shared" si="25"/>
        <v>0</v>
      </c>
      <c r="BA52" s="106">
        <f t="shared" si="26"/>
        <v>0</v>
      </c>
      <c r="BB52" s="106">
        <f t="shared" si="27"/>
        <v>0</v>
      </c>
      <c r="BC52" s="106" t="str">
        <f>IF($B52&lt;&gt;"",IF(BL52="Yes",IF($BI52="Mr.",IF($AX52&lt;=7500,0,IF(AND($AX52&lt;10000,$AX52&gt;7501),175,IF(AND($AX52&gt;10000,'Setting '!$G$28&lt;&gt;11),200,300))),IF(AND($AX52&lt;=10000,$BI52="Ms."),0,IF(AND($AX52&gt;10000,'Setting '!$G$28&lt;&gt;11),200,300))),0),"")</f>
        <v/>
      </c>
      <c r="BD52" s="42"/>
      <c r="BE52" s="212" t="str">
        <f>IF($B52&lt;&gt;"",IF('Advance Sheet'!AF49&gt;=0,INDEX('Advance Sheet'!$Q$3:$AD$100,MATCH(AttendanceSheet!$B52,'Advance Sheet'!$Q$3:$Q$100,0),MATCH(AttendanceSheet!$T$1,'Advance Sheet'!$Q$3:$AD$3,)),0),"")</f>
        <v/>
      </c>
      <c r="BF52" s="137" t="str">
        <f t="shared" si="15"/>
        <v/>
      </c>
      <c r="BG52" s="97" t="str">
        <f>IF(B52&lt;&gt;"",VLOOKUP(B52,'Employee Details'!A51:S134,17,0),"")</f>
        <v/>
      </c>
      <c r="BH52" s="97" t="str">
        <f>IF(B52&lt;&gt;"",VLOOKUP(B52,'Employee Details'!A51:S134,18,0),"")</f>
        <v/>
      </c>
      <c r="BI52" s="40" t="str">
        <f>IF(B52&lt;&gt;"",VLOOKUP(B52,'Employee Details'!A50:S133,19,0),"")</f>
        <v/>
      </c>
      <c r="BJ52" s="38" t="str">
        <f>IF(B52&lt;&gt;"",VLOOKUP(B52,'Employee Details'!A51:D90,4,0),"")</f>
        <v/>
      </c>
      <c r="BK52" s="38" t="str">
        <f>IF(B52&lt;&gt;"",VLOOKUP(B52,'Employee Details'!A51:E134,5,0),"")</f>
        <v/>
      </c>
      <c r="BL52" s="210" t="str">
        <f>IF(B52&lt;&gt;"",VLOOKUP(B52,'Employee Details'!A51:U134,21,0),"")</f>
        <v/>
      </c>
    </row>
    <row r="53" spans="2:64" ht="16.5" thickTop="1" thickBot="1" x14ac:dyDescent="0.3">
      <c r="B53" s="37" t="str">
        <f>_xlfn.IFNA(INDEX('Employee Details'!$A$7:$A56,MATCH(AttendanceSheet!$C53,'Employee Details'!$B$7:$B62,0)),"")</f>
        <v/>
      </c>
      <c r="C53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'!$J$1:J47))),"")</f>
        <v/>
      </c>
      <c r="D53" s="39" t="str">
        <f>IFERROR(VLOOKUP($B53&amp;D$5,'Mark Leave'!$A$1:$E$1841,5,0),"")</f>
        <v/>
      </c>
      <c r="E53" s="39" t="str">
        <f>IFERROR(VLOOKUP($B53&amp;E$5,'Mark Leave'!$A$1:$E$1841,5,0),"")</f>
        <v/>
      </c>
      <c r="F53" s="39" t="str">
        <f>IFERROR(VLOOKUP($B53&amp;F$5,'Mark Leave'!$A$1:$E$1841,5,0),"")</f>
        <v/>
      </c>
      <c r="G53" s="39" t="str">
        <f>IFERROR(VLOOKUP($B53&amp;G$5,'Mark Leave'!$A$1:$E$1841,5,0),"")</f>
        <v/>
      </c>
      <c r="H53" s="39" t="str">
        <f>IFERROR(VLOOKUP($B53&amp;H$5,'Mark Leave'!$A$1:$E$1841,5,0),"")</f>
        <v/>
      </c>
      <c r="I53" s="39" t="str">
        <f>IFERROR(VLOOKUP($B53&amp;I$5,'Mark Leave'!$A$1:$E$1841,5,0),"")</f>
        <v/>
      </c>
      <c r="J53" s="39" t="str">
        <f>IFERROR(VLOOKUP($B53&amp;J$5,'Mark Leave'!$A$1:$E$1841,5,0),"")</f>
        <v/>
      </c>
      <c r="K53" s="39" t="str">
        <f>IFERROR(VLOOKUP($B53&amp;K$5,'Mark Leave'!$A$1:$E$1841,5,0),"")</f>
        <v/>
      </c>
      <c r="L53" s="39" t="str">
        <f>IFERROR(VLOOKUP($B53&amp;L$5,'Mark Leave'!$A$1:$E$1841,5,0),"")</f>
        <v/>
      </c>
      <c r="M53" s="39" t="str">
        <f>IFERROR(VLOOKUP($B53&amp;M$5,'Mark Leave'!$A$1:$E$1841,5,0),"")</f>
        <v/>
      </c>
      <c r="N53" s="39" t="str">
        <f>IFERROR(VLOOKUP($B53&amp;N$5,'Mark Leave'!$A$1:$E$1841,5,0),"")</f>
        <v/>
      </c>
      <c r="O53" s="39" t="str">
        <f>IFERROR(VLOOKUP($B53&amp;O$5,'Mark Leave'!$A$1:$E$1841,5,0),"")</f>
        <v/>
      </c>
      <c r="P53" s="39" t="str">
        <f>IFERROR(VLOOKUP($B53&amp;P$5,'Mark Leave'!$A$1:$E$1841,5,0),"")</f>
        <v/>
      </c>
      <c r="Q53" s="39" t="str">
        <f>IFERROR(VLOOKUP($B53&amp;Q$5,'Mark Leave'!$A$1:$E$1841,5,0),"")</f>
        <v/>
      </c>
      <c r="R53" s="39" t="str">
        <f>IFERROR(VLOOKUP($B53&amp;R$5,'Mark Leave'!$A$1:$E$1841,5,0),"")</f>
        <v/>
      </c>
      <c r="S53" s="39" t="str">
        <f>IFERROR(VLOOKUP($B53&amp;S$5,'Mark Leave'!$A$1:$E$1841,5,0),"")</f>
        <v/>
      </c>
      <c r="T53" s="39" t="str">
        <f>IFERROR(VLOOKUP($B53&amp;T$5,'Mark Leave'!$A$1:$E$1841,5,0),"")</f>
        <v/>
      </c>
      <c r="U53" s="39" t="str">
        <f>IFERROR(VLOOKUP($B53&amp;U$5,'Mark Leave'!$A$1:$E$1841,5,0),"")</f>
        <v/>
      </c>
      <c r="V53" s="39" t="str">
        <f>IFERROR(VLOOKUP($B53&amp;V$5,'Mark Leave'!$A$1:$E$1841,5,0),"")</f>
        <v/>
      </c>
      <c r="W53" s="39" t="str">
        <f>IFERROR(VLOOKUP($B53&amp;W$5,'Mark Leave'!$A$1:$E$1841,5,0),"")</f>
        <v/>
      </c>
      <c r="X53" s="39" t="str">
        <f>IFERROR(VLOOKUP($B53&amp;X$5,'Mark Leave'!$A$1:$E$1841,5,0),"")</f>
        <v/>
      </c>
      <c r="Y53" s="39" t="str">
        <f>IFERROR(VLOOKUP($B53&amp;Y$5,'Mark Leave'!$A$1:$E$1841,5,0),"")</f>
        <v/>
      </c>
      <c r="Z53" s="39" t="str">
        <f>IFERROR(VLOOKUP($B53&amp;Z$5,'Mark Leave'!$A$1:$E$1841,5,0),"")</f>
        <v/>
      </c>
      <c r="AA53" s="39" t="str">
        <f>IFERROR(VLOOKUP($B53&amp;AA$5,'Mark Leave'!$A$1:$E$1841,5,0),"")</f>
        <v/>
      </c>
      <c r="AB53" s="39" t="str">
        <f>IFERROR(VLOOKUP($B53&amp;AB$5,'Mark Leave'!$A$1:$E$1841,5,0),"")</f>
        <v/>
      </c>
      <c r="AC53" s="39" t="str">
        <f>IFERROR(VLOOKUP($B53&amp;AC$5,'Mark Leave'!$A$1:$E$1841,5,0),"")</f>
        <v/>
      </c>
      <c r="AD53" s="39" t="str">
        <f>IFERROR(VLOOKUP($B53&amp;AD$5,'Mark Leave'!$A$1:$E$1841,5,0),"")</f>
        <v/>
      </c>
      <c r="AE53" s="39" t="str">
        <f>IFERROR(VLOOKUP($B53&amp;AE$5,'Mark Leave'!$A$1:$E$1841,5,0),"")</f>
        <v/>
      </c>
      <c r="AF53" s="39" t="str">
        <f>IFERROR(VLOOKUP($B53&amp;AF$5,'Mark Leave'!$A$1:$E$1841,5,0),"")</f>
        <v/>
      </c>
      <c r="AG53" s="39" t="str">
        <f>IFERROR(VLOOKUP($B53&amp;AG$5,'Mark Leave'!$A$1:$E$1841,5,0),"")</f>
        <v/>
      </c>
      <c r="AH53" s="39">
        <f>IFERROR(VLOOKUP($B53&amp;AH$5,'Mark Leave'!$A$1:$E$1841,5,0),"")</f>
        <v>0</v>
      </c>
      <c r="AI53" s="98" t="str">
        <f>IF($B53&lt;&gt;"",COUNTIF($D53:$AH53,'Setting '!$H$2),"")</f>
        <v/>
      </c>
      <c r="AJ53" s="98" t="str">
        <f>IF($B53&lt;&gt;"",COUNTIF($D53:$AH53,'Setting '!$H$3)/2,"")</f>
        <v/>
      </c>
      <c r="AK53" s="98" t="str">
        <f>IF($B53&lt;&gt;"",COUNTIF($D53:$AH53,'Setting '!$H$4),"")</f>
        <v/>
      </c>
      <c r="AL53" s="98" t="str">
        <f t="shared" si="13"/>
        <v/>
      </c>
      <c r="AM53" s="117" t="str">
        <f>IF(B53&lt;&gt;"",_xlfn.IFNA(VLOOKUP(B53,'Leave Credit Sheet'!B53:K146,10,0),""),"")</f>
        <v/>
      </c>
      <c r="AN53" s="98" t="str">
        <f t="shared" si="17"/>
        <v/>
      </c>
      <c r="AO53" s="106" t="str">
        <f>IF(B53&lt;&gt;"",_xlfn.IFNA(INDEX('CTC Sheet'!$C$6:$N$101,MATCH(AttendanceSheet!$B53,'CTC Sheet'!$A$6:$A$101,0),MATCH(AttendanceSheet!$T$1,'CTC Sheet'!$C$5:$N$5,0)),0),"")</f>
        <v/>
      </c>
      <c r="AP53" s="106" t="str">
        <f>IF(B53&lt;&gt;"",_xlfn.IFNA(INDEX('CTC Sheet'!$R$6:$AC$100,MATCH(AttendanceSheet!$B53,'CTC Sheet'!$P$6:$P$100,0),MATCH(AttendanceSheet!$T$1,'CTC Sheet'!$R$5:$AC$5,0)),0),"")</f>
        <v/>
      </c>
      <c r="AQ53" s="106" t="str">
        <f t="shared" si="18"/>
        <v/>
      </c>
      <c r="AR53" s="106" t="str">
        <f t="shared" si="19"/>
        <v/>
      </c>
      <c r="AS53" s="106" t="str">
        <f t="shared" si="20"/>
        <v/>
      </c>
      <c r="AT53" s="106" t="str">
        <f t="shared" si="21"/>
        <v/>
      </c>
      <c r="AU53" s="106" t="str">
        <f t="shared" si="22"/>
        <v/>
      </c>
      <c r="AV53" s="106" t="str">
        <f t="shared" si="23"/>
        <v/>
      </c>
      <c r="AW53" s="106" t="str">
        <f>IF(B53&lt;&gt;"",_xlfn.IFNA(INDEX('OtherArrear payment'!$A$1:$N$95,MATCH(AttendanceSheet!$B53,'OtherArrear payment'!$A$1:$A$95,0),MATCH(AttendanceSheet!$T$1,'OtherArrear payment'!$A$1:$N$1,0)),0),"")</f>
        <v/>
      </c>
      <c r="AX53" s="106" t="str">
        <f t="shared" si="14"/>
        <v/>
      </c>
      <c r="AY53" s="106">
        <f t="shared" si="24"/>
        <v>0</v>
      </c>
      <c r="AZ53" s="106">
        <f t="shared" si="25"/>
        <v>0</v>
      </c>
      <c r="BA53" s="106">
        <f t="shared" si="26"/>
        <v>0</v>
      </c>
      <c r="BB53" s="106">
        <f t="shared" si="27"/>
        <v>0</v>
      </c>
      <c r="BC53" s="106" t="str">
        <f>IF($B53&lt;&gt;"",IF(BL53="Yes",IF($BI53="Mr.",IF($AX53&lt;=7500,0,IF(AND($AX53&lt;10000,$AX53&gt;7501),175,IF(AND($AX53&gt;10000,'Setting '!$G$28&lt;&gt;11),200,300))),IF(AND($AX53&lt;=10000,$BI53="Ms."),0,IF(AND($AX53&gt;10000,'Setting '!$G$28&lt;&gt;11),200,300))),0),"")</f>
        <v/>
      </c>
      <c r="BD53" s="42"/>
      <c r="BE53" s="212" t="str">
        <f>IF($B53&lt;&gt;"",IF('Advance Sheet'!AF50&gt;=0,INDEX('Advance Sheet'!$Q$3:$AD$100,MATCH(AttendanceSheet!$B53,'Advance Sheet'!$Q$3:$Q$100,0),MATCH(AttendanceSheet!$T$1,'Advance Sheet'!$Q$3:$AD$3,)),0),"")</f>
        <v/>
      </c>
      <c r="BF53" s="137" t="str">
        <f t="shared" si="15"/>
        <v/>
      </c>
      <c r="BG53" s="97" t="str">
        <f>IF(B53&lt;&gt;"",VLOOKUP(B53,'Employee Details'!A52:S135,17,0),"")</f>
        <v/>
      </c>
      <c r="BH53" s="97" t="str">
        <f>IF(B53&lt;&gt;"",VLOOKUP(B53,'Employee Details'!A52:S135,18,0),"")</f>
        <v/>
      </c>
      <c r="BI53" s="40" t="str">
        <f>IF(B53&lt;&gt;"",VLOOKUP(B53,'Employee Details'!A51:S134,19,0),"")</f>
        <v/>
      </c>
      <c r="BJ53" s="38" t="str">
        <f>IF(B53&lt;&gt;"",VLOOKUP(B53,'Employee Details'!A52:D91,4,0),"")</f>
        <v/>
      </c>
      <c r="BK53" s="38" t="str">
        <f>IF(B53&lt;&gt;"",VLOOKUP(B53,'Employee Details'!A52:E135,5,0),"")</f>
        <v/>
      </c>
      <c r="BL53" s="210" t="str">
        <f>IF(B53&lt;&gt;"",VLOOKUP(B53,'Employee Details'!A52:U135,21,0),"")</f>
        <v/>
      </c>
    </row>
    <row r="54" spans="2:64" ht="16.5" thickTop="1" thickBot="1" x14ac:dyDescent="0.3">
      <c r="B54" s="37" t="str">
        <f>_xlfn.IFNA(INDEX('Employee Details'!$A$7:$A57,MATCH(AttendanceSheet!$C54,'Employee Details'!$B$7:$B63,0)),"")</f>
        <v/>
      </c>
      <c r="C54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'!$J$1:J48))),"")</f>
        <v/>
      </c>
      <c r="D54" s="39" t="str">
        <f>IFERROR(VLOOKUP($B54&amp;D$5,'Mark Leave'!$A$1:$E$1841,5,0),"")</f>
        <v/>
      </c>
      <c r="E54" s="39" t="str">
        <f>IFERROR(VLOOKUP($B54&amp;E$5,'Mark Leave'!$A$1:$E$1841,5,0),"")</f>
        <v/>
      </c>
      <c r="F54" s="39" t="str">
        <f>IFERROR(VLOOKUP($B54&amp;F$5,'Mark Leave'!$A$1:$E$1841,5,0),"")</f>
        <v/>
      </c>
      <c r="G54" s="39" t="str">
        <f>IFERROR(VLOOKUP($B54&amp;G$5,'Mark Leave'!$A$1:$E$1841,5,0),"")</f>
        <v/>
      </c>
      <c r="H54" s="39" t="str">
        <f>IFERROR(VLOOKUP($B54&amp;H$5,'Mark Leave'!$A$1:$E$1841,5,0),"")</f>
        <v/>
      </c>
      <c r="I54" s="39" t="str">
        <f>IFERROR(VLOOKUP($B54&amp;I$5,'Mark Leave'!$A$1:$E$1841,5,0),"")</f>
        <v/>
      </c>
      <c r="J54" s="39" t="str">
        <f>IFERROR(VLOOKUP($B54&amp;J$5,'Mark Leave'!$A$1:$E$1841,5,0),"")</f>
        <v/>
      </c>
      <c r="K54" s="39" t="str">
        <f>IFERROR(VLOOKUP($B54&amp;K$5,'Mark Leave'!$A$1:$E$1841,5,0),"")</f>
        <v/>
      </c>
      <c r="L54" s="39" t="str">
        <f>IFERROR(VLOOKUP($B54&amp;L$5,'Mark Leave'!$A$1:$E$1841,5,0),"")</f>
        <v/>
      </c>
      <c r="M54" s="39" t="str">
        <f>IFERROR(VLOOKUP($B54&amp;M$5,'Mark Leave'!$A$1:$E$1841,5,0),"")</f>
        <v/>
      </c>
      <c r="N54" s="39" t="str">
        <f>IFERROR(VLOOKUP($B54&amp;N$5,'Mark Leave'!$A$1:$E$1841,5,0),"")</f>
        <v/>
      </c>
      <c r="O54" s="39" t="str">
        <f>IFERROR(VLOOKUP($B54&amp;O$5,'Mark Leave'!$A$1:$E$1841,5,0),"")</f>
        <v/>
      </c>
      <c r="P54" s="39" t="str">
        <f>IFERROR(VLOOKUP($B54&amp;P$5,'Mark Leave'!$A$1:$E$1841,5,0),"")</f>
        <v/>
      </c>
      <c r="Q54" s="39" t="str">
        <f>IFERROR(VLOOKUP($B54&amp;Q$5,'Mark Leave'!$A$1:$E$1841,5,0),"")</f>
        <v/>
      </c>
      <c r="R54" s="39" t="str">
        <f>IFERROR(VLOOKUP($B54&amp;R$5,'Mark Leave'!$A$1:$E$1841,5,0),"")</f>
        <v/>
      </c>
      <c r="S54" s="39" t="str">
        <f>IFERROR(VLOOKUP($B54&amp;S$5,'Mark Leave'!$A$1:$E$1841,5,0),"")</f>
        <v/>
      </c>
      <c r="T54" s="39" t="str">
        <f>IFERROR(VLOOKUP($B54&amp;T$5,'Mark Leave'!$A$1:$E$1841,5,0),"")</f>
        <v/>
      </c>
      <c r="U54" s="39" t="str">
        <f>IFERROR(VLOOKUP($B54&amp;U$5,'Mark Leave'!$A$1:$E$1841,5,0),"")</f>
        <v/>
      </c>
      <c r="V54" s="39" t="str">
        <f>IFERROR(VLOOKUP($B54&amp;V$5,'Mark Leave'!$A$1:$E$1841,5,0),"")</f>
        <v/>
      </c>
      <c r="W54" s="39" t="str">
        <f>IFERROR(VLOOKUP($B54&amp;W$5,'Mark Leave'!$A$1:$E$1841,5,0),"")</f>
        <v/>
      </c>
      <c r="X54" s="39" t="str">
        <f>IFERROR(VLOOKUP($B54&amp;X$5,'Mark Leave'!$A$1:$E$1841,5,0),"")</f>
        <v/>
      </c>
      <c r="Y54" s="39" t="str">
        <f>IFERROR(VLOOKUP($B54&amp;Y$5,'Mark Leave'!$A$1:$E$1841,5,0),"")</f>
        <v/>
      </c>
      <c r="Z54" s="39" t="str">
        <f>IFERROR(VLOOKUP($B54&amp;Z$5,'Mark Leave'!$A$1:$E$1841,5,0),"")</f>
        <v/>
      </c>
      <c r="AA54" s="39" t="str">
        <f>IFERROR(VLOOKUP($B54&amp;AA$5,'Mark Leave'!$A$1:$E$1841,5,0),"")</f>
        <v/>
      </c>
      <c r="AB54" s="39" t="str">
        <f>IFERROR(VLOOKUP($B54&amp;AB$5,'Mark Leave'!$A$1:$E$1841,5,0),"")</f>
        <v/>
      </c>
      <c r="AC54" s="39" t="str">
        <f>IFERROR(VLOOKUP($B54&amp;AC$5,'Mark Leave'!$A$1:$E$1841,5,0),"")</f>
        <v/>
      </c>
      <c r="AD54" s="39" t="str">
        <f>IFERROR(VLOOKUP($B54&amp;AD$5,'Mark Leave'!$A$1:$E$1841,5,0),"")</f>
        <v/>
      </c>
      <c r="AE54" s="39" t="str">
        <f>IFERROR(VLOOKUP($B54&amp;AE$5,'Mark Leave'!$A$1:$E$1841,5,0),"")</f>
        <v/>
      </c>
      <c r="AF54" s="39" t="str">
        <f>IFERROR(VLOOKUP($B54&amp;AF$5,'Mark Leave'!$A$1:$E$1841,5,0),"")</f>
        <v/>
      </c>
      <c r="AG54" s="39" t="str">
        <f>IFERROR(VLOOKUP($B54&amp;AG$5,'Mark Leave'!$A$1:$E$1841,5,0),"")</f>
        <v/>
      </c>
      <c r="AH54" s="39">
        <f>IFERROR(VLOOKUP($B54&amp;AH$5,'Mark Leave'!$A$1:$E$1841,5,0),"")</f>
        <v>0</v>
      </c>
      <c r="AI54" s="98" t="str">
        <f>IF($B54&lt;&gt;"",COUNTIF($D54:$AH54,'Setting '!$H$2),"")</f>
        <v/>
      </c>
      <c r="AJ54" s="98" t="str">
        <f>IF($B54&lt;&gt;"",COUNTIF($D54:$AH54,'Setting '!$H$3)/2,"")</f>
        <v/>
      </c>
      <c r="AK54" s="98" t="str">
        <f>IF($B54&lt;&gt;"",COUNTIF($D54:$AH54,'Setting '!$H$4),"")</f>
        <v/>
      </c>
      <c r="AL54" s="98" t="str">
        <f t="shared" si="13"/>
        <v/>
      </c>
      <c r="AM54" s="117" t="str">
        <f>IF(B54&lt;&gt;"",_xlfn.IFNA(VLOOKUP(B54,'Leave Credit Sheet'!B54:K147,10,0),""),"")</f>
        <v/>
      </c>
      <c r="AN54" s="98" t="str">
        <f t="shared" si="17"/>
        <v/>
      </c>
      <c r="AO54" s="106" t="str">
        <f>IF(B54&lt;&gt;"",_xlfn.IFNA(INDEX('CTC Sheet'!$C$6:$N$101,MATCH(AttendanceSheet!$B54,'CTC Sheet'!$A$6:$A$101,0),MATCH(AttendanceSheet!$T$1,'CTC Sheet'!$C$5:$N$5,0)),0),"")</f>
        <v/>
      </c>
      <c r="AP54" s="106" t="str">
        <f>IF(B54&lt;&gt;"",_xlfn.IFNA(INDEX('CTC Sheet'!$R$6:$AC$100,MATCH(AttendanceSheet!$B54,'CTC Sheet'!$P$6:$P$100,0),MATCH(AttendanceSheet!$T$1,'CTC Sheet'!$R$5:$AC$5,0)),0),"")</f>
        <v/>
      </c>
      <c r="AQ54" s="106" t="str">
        <f t="shared" si="18"/>
        <v/>
      </c>
      <c r="AR54" s="106" t="str">
        <f t="shared" si="19"/>
        <v/>
      </c>
      <c r="AS54" s="106" t="str">
        <f t="shared" si="20"/>
        <v/>
      </c>
      <c r="AT54" s="106" t="str">
        <f t="shared" si="21"/>
        <v/>
      </c>
      <c r="AU54" s="106" t="str">
        <f t="shared" si="22"/>
        <v/>
      </c>
      <c r="AV54" s="106" t="str">
        <f t="shared" si="23"/>
        <v/>
      </c>
      <c r="AW54" s="106" t="str">
        <f>IF(B54&lt;&gt;"",_xlfn.IFNA(INDEX('OtherArrear payment'!$A$1:$N$95,MATCH(AttendanceSheet!$B54,'OtherArrear payment'!$A$1:$A$95,0),MATCH(AttendanceSheet!$T$1,'OtherArrear payment'!$A$1:$N$1,0)),0),"")</f>
        <v/>
      </c>
      <c r="AX54" s="106" t="str">
        <f t="shared" si="14"/>
        <v/>
      </c>
      <c r="AY54" s="106">
        <f t="shared" si="24"/>
        <v>0</v>
      </c>
      <c r="AZ54" s="106">
        <f t="shared" si="25"/>
        <v>0</v>
      </c>
      <c r="BA54" s="106">
        <f t="shared" si="26"/>
        <v>0</v>
      </c>
      <c r="BB54" s="106">
        <f t="shared" si="27"/>
        <v>0</v>
      </c>
      <c r="BC54" s="106" t="str">
        <f>IF($B54&lt;&gt;"",IF(BL54="Yes",IF($BI54="Mr.",IF($AX54&lt;=7500,0,IF(AND($AX54&lt;10000,$AX54&gt;7501),175,IF(AND($AX54&gt;10000,'Setting '!$G$28&lt;&gt;11),200,300))),IF(AND($AX54&lt;=10000,$BI54="Ms."),0,IF(AND($AX54&gt;10000,'Setting '!$G$28&lt;&gt;11),200,300))),0),"")</f>
        <v/>
      </c>
      <c r="BD54" s="42"/>
      <c r="BE54" s="212" t="str">
        <f>IF($B54&lt;&gt;"",IF('Advance Sheet'!AF51&gt;=0,INDEX('Advance Sheet'!$Q$3:$AD$100,MATCH(AttendanceSheet!$B54,'Advance Sheet'!$Q$3:$Q$100,0),MATCH(AttendanceSheet!$T$1,'Advance Sheet'!$Q$3:$AD$3,)),0),"")</f>
        <v/>
      </c>
      <c r="BF54" s="137" t="str">
        <f t="shared" si="15"/>
        <v/>
      </c>
      <c r="BG54" s="97" t="str">
        <f>IF(B54&lt;&gt;"",VLOOKUP(B54,'Employee Details'!A53:S136,17,0),"")</f>
        <v/>
      </c>
      <c r="BH54" s="97" t="str">
        <f>IF(B54&lt;&gt;"",VLOOKUP(B54,'Employee Details'!A53:S136,18,0),"")</f>
        <v/>
      </c>
      <c r="BI54" s="40" t="str">
        <f>IF(B54&lt;&gt;"",VLOOKUP(B54,'Employee Details'!A52:S135,19,0),"")</f>
        <v/>
      </c>
      <c r="BJ54" s="38" t="str">
        <f>IF(B54&lt;&gt;"",VLOOKUP(B54,'Employee Details'!A53:D92,4,0),"")</f>
        <v/>
      </c>
      <c r="BK54" s="38" t="str">
        <f>IF(B54&lt;&gt;"",VLOOKUP(B54,'Employee Details'!A53:E136,5,0),"")</f>
        <v/>
      </c>
      <c r="BL54" s="210" t="str">
        <f>IF(B54&lt;&gt;"",VLOOKUP(B54,'Employee Details'!A53:U136,21,0),"")</f>
        <v/>
      </c>
    </row>
    <row r="55" spans="2:64" ht="16.5" thickTop="1" thickBot="1" x14ac:dyDescent="0.3">
      <c r="B55" s="37" t="str">
        <f>_xlfn.IFNA(INDEX('Employee Details'!$A$7:$A58,MATCH(AttendanceSheet!$C55,'Employee Details'!$B$7:$B64,0)),"")</f>
        <v/>
      </c>
      <c r="C55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'!$J$1:J49))),"")</f>
        <v/>
      </c>
      <c r="D55" s="39" t="str">
        <f>IFERROR(VLOOKUP($B55&amp;D$5,'Mark Leave'!$A$1:$E$1841,5,0),"")</f>
        <v/>
      </c>
      <c r="E55" s="39" t="str">
        <f>IFERROR(VLOOKUP($B55&amp;E$5,'Mark Leave'!$A$1:$E$1841,5,0),"")</f>
        <v/>
      </c>
      <c r="F55" s="39" t="str">
        <f>IFERROR(VLOOKUP($B55&amp;F$5,'Mark Leave'!$A$1:$E$1841,5,0),"")</f>
        <v/>
      </c>
      <c r="G55" s="39" t="str">
        <f>IFERROR(VLOOKUP($B55&amp;G$5,'Mark Leave'!$A$1:$E$1841,5,0),"")</f>
        <v/>
      </c>
      <c r="H55" s="39" t="str">
        <f>IFERROR(VLOOKUP($B55&amp;H$5,'Mark Leave'!$A$1:$E$1841,5,0),"")</f>
        <v/>
      </c>
      <c r="I55" s="39" t="str">
        <f>IFERROR(VLOOKUP($B55&amp;I$5,'Mark Leave'!$A$1:$E$1841,5,0),"")</f>
        <v/>
      </c>
      <c r="J55" s="39" t="str">
        <f>IFERROR(VLOOKUP($B55&amp;J$5,'Mark Leave'!$A$1:$E$1841,5,0),"")</f>
        <v/>
      </c>
      <c r="K55" s="39" t="str">
        <f>IFERROR(VLOOKUP($B55&amp;K$5,'Mark Leave'!$A$1:$E$1841,5,0),"")</f>
        <v/>
      </c>
      <c r="L55" s="39" t="str">
        <f>IFERROR(VLOOKUP($B55&amp;L$5,'Mark Leave'!$A$1:$E$1841,5,0),"")</f>
        <v/>
      </c>
      <c r="M55" s="39" t="str">
        <f>IFERROR(VLOOKUP($B55&amp;M$5,'Mark Leave'!$A$1:$E$1841,5,0),"")</f>
        <v/>
      </c>
      <c r="N55" s="39" t="str">
        <f>IFERROR(VLOOKUP($B55&amp;N$5,'Mark Leave'!$A$1:$E$1841,5,0),"")</f>
        <v/>
      </c>
      <c r="O55" s="39" t="str">
        <f>IFERROR(VLOOKUP($B55&amp;O$5,'Mark Leave'!$A$1:$E$1841,5,0),"")</f>
        <v/>
      </c>
      <c r="P55" s="39" t="str">
        <f>IFERROR(VLOOKUP($B55&amp;P$5,'Mark Leave'!$A$1:$E$1841,5,0),"")</f>
        <v/>
      </c>
      <c r="Q55" s="39" t="str">
        <f>IFERROR(VLOOKUP($B55&amp;Q$5,'Mark Leave'!$A$1:$E$1841,5,0),"")</f>
        <v/>
      </c>
      <c r="R55" s="39" t="str">
        <f>IFERROR(VLOOKUP($B55&amp;R$5,'Mark Leave'!$A$1:$E$1841,5,0),"")</f>
        <v/>
      </c>
      <c r="S55" s="39" t="str">
        <f>IFERROR(VLOOKUP($B55&amp;S$5,'Mark Leave'!$A$1:$E$1841,5,0),"")</f>
        <v/>
      </c>
      <c r="T55" s="39" t="str">
        <f>IFERROR(VLOOKUP($B55&amp;T$5,'Mark Leave'!$A$1:$E$1841,5,0),"")</f>
        <v/>
      </c>
      <c r="U55" s="39" t="str">
        <f>IFERROR(VLOOKUP($B55&amp;U$5,'Mark Leave'!$A$1:$E$1841,5,0),"")</f>
        <v/>
      </c>
      <c r="V55" s="39" t="str">
        <f>IFERROR(VLOOKUP($B55&amp;V$5,'Mark Leave'!$A$1:$E$1841,5,0),"")</f>
        <v/>
      </c>
      <c r="W55" s="39" t="str">
        <f>IFERROR(VLOOKUP($B55&amp;W$5,'Mark Leave'!$A$1:$E$1841,5,0),"")</f>
        <v/>
      </c>
      <c r="X55" s="39" t="str">
        <f>IFERROR(VLOOKUP($B55&amp;X$5,'Mark Leave'!$A$1:$E$1841,5,0),"")</f>
        <v/>
      </c>
      <c r="Y55" s="39" t="str">
        <f>IFERROR(VLOOKUP($B55&amp;Y$5,'Mark Leave'!$A$1:$E$1841,5,0),"")</f>
        <v/>
      </c>
      <c r="Z55" s="39" t="str">
        <f>IFERROR(VLOOKUP($B55&amp;Z$5,'Mark Leave'!$A$1:$E$1841,5,0),"")</f>
        <v/>
      </c>
      <c r="AA55" s="39" t="str">
        <f>IFERROR(VLOOKUP($B55&amp;AA$5,'Mark Leave'!$A$1:$E$1841,5,0),"")</f>
        <v/>
      </c>
      <c r="AB55" s="39" t="str">
        <f>IFERROR(VLOOKUP($B55&amp;AB$5,'Mark Leave'!$A$1:$E$1841,5,0),"")</f>
        <v/>
      </c>
      <c r="AC55" s="39" t="str">
        <f>IFERROR(VLOOKUP($B55&amp;AC$5,'Mark Leave'!$A$1:$E$1841,5,0),"")</f>
        <v/>
      </c>
      <c r="AD55" s="39" t="str">
        <f>IFERROR(VLOOKUP($B55&amp;AD$5,'Mark Leave'!$A$1:$E$1841,5,0),"")</f>
        <v/>
      </c>
      <c r="AE55" s="39" t="str">
        <f>IFERROR(VLOOKUP($B55&amp;AE$5,'Mark Leave'!$A$1:$E$1841,5,0),"")</f>
        <v/>
      </c>
      <c r="AF55" s="39" t="str">
        <f>IFERROR(VLOOKUP($B55&amp;AF$5,'Mark Leave'!$A$1:$E$1841,5,0),"")</f>
        <v/>
      </c>
      <c r="AG55" s="39" t="str">
        <f>IFERROR(VLOOKUP($B55&amp;AG$5,'Mark Leave'!$A$1:$E$1841,5,0),"")</f>
        <v/>
      </c>
      <c r="AH55" s="39">
        <f>IFERROR(VLOOKUP($B55&amp;AH$5,'Mark Leave'!$A$1:$E$1841,5,0),"")</f>
        <v>0</v>
      </c>
      <c r="AI55" s="98" t="str">
        <f>IF($B55&lt;&gt;"",COUNTIF($D55:$AH55,'Setting '!$H$2),"")</f>
        <v/>
      </c>
      <c r="AJ55" s="98" t="str">
        <f>IF($B55&lt;&gt;"",COUNTIF($D55:$AH55,'Setting '!$H$3)/2,"")</f>
        <v/>
      </c>
      <c r="AK55" s="98" t="str">
        <f>IF($B55&lt;&gt;"",COUNTIF($D55:$AH55,'Setting '!$H$4),"")</f>
        <v/>
      </c>
      <c r="AL55" s="98" t="str">
        <f t="shared" si="13"/>
        <v/>
      </c>
      <c r="AM55" s="117" t="str">
        <f>IF(B55&lt;&gt;"",_xlfn.IFNA(VLOOKUP(B55,'Leave Credit Sheet'!B55:K148,10,0),""),"")</f>
        <v/>
      </c>
      <c r="AN55" s="98" t="str">
        <f t="shared" si="17"/>
        <v/>
      </c>
      <c r="AO55" s="106" t="str">
        <f>IF(B55&lt;&gt;"",_xlfn.IFNA(INDEX('CTC Sheet'!$C$6:$N$101,MATCH(AttendanceSheet!$B55,'CTC Sheet'!$A$6:$A$101,0),MATCH(AttendanceSheet!$T$1,'CTC Sheet'!$C$5:$N$5,0)),0),"")</f>
        <v/>
      </c>
      <c r="AP55" s="106" t="str">
        <f>IF(B55&lt;&gt;"",_xlfn.IFNA(INDEX('CTC Sheet'!$R$6:$AC$100,MATCH(AttendanceSheet!$B55,'CTC Sheet'!$P$6:$P$100,0),MATCH(AttendanceSheet!$T$1,'CTC Sheet'!$R$5:$AC$5,0)),0),"")</f>
        <v/>
      </c>
      <c r="AQ55" s="106" t="str">
        <f t="shared" si="18"/>
        <v/>
      </c>
      <c r="AR55" s="106" t="str">
        <f t="shared" si="19"/>
        <v/>
      </c>
      <c r="AS55" s="106" t="str">
        <f t="shared" si="20"/>
        <v/>
      </c>
      <c r="AT55" s="106" t="str">
        <f t="shared" si="21"/>
        <v/>
      </c>
      <c r="AU55" s="106" t="str">
        <f t="shared" si="22"/>
        <v/>
      </c>
      <c r="AV55" s="106" t="str">
        <f t="shared" si="23"/>
        <v/>
      </c>
      <c r="AW55" s="106" t="str">
        <f>IF(B55&lt;&gt;"",_xlfn.IFNA(INDEX('OtherArrear payment'!$A$1:$N$95,MATCH(AttendanceSheet!$B55,'OtherArrear payment'!$A$1:$A$95,0),MATCH(AttendanceSheet!$T$1,'OtherArrear payment'!$A$1:$N$1,0)),0),"")</f>
        <v/>
      </c>
      <c r="AX55" s="106" t="str">
        <f t="shared" si="14"/>
        <v/>
      </c>
      <c r="AY55" s="106">
        <f t="shared" si="24"/>
        <v>0</v>
      </c>
      <c r="AZ55" s="106">
        <f t="shared" si="25"/>
        <v>0</v>
      </c>
      <c r="BA55" s="106">
        <f t="shared" si="26"/>
        <v>0</v>
      </c>
      <c r="BB55" s="106">
        <f t="shared" si="27"/>
        <v>0</v>
      </c>
      <c r="BC55" s="106" t="str">
        <f>IF($B55&lt;&gt;"",IF(BL55="Yes",IF($BI55="Mr.",IF($AX55&lt;=7500,0,IF(AND($AX55&lt;10000,$AX55&gt;7501),175,IF(AND($AX55&gt;10000,'Setting '!$G$28&lt;&gt;11),200,300))),IF(AND($AX55&lt;=10000,$BI55="Ms."),0,IF(AND($AX55&gt;10000,'Setting '!$G$28&lt;&gt;11),200,300))),0),"")</f>
        <v/>
      </c>
      <c r="BD55" s="42"/>
      <c r="BE55" s="212" t="str">
        <f>IF($B55&lt;&gt;"",IF('Advance Sheet'!AF52&gt;=0,INDEX('Advance Sheet'!$Q$3:$AD$100,MATCH(AttendanceSheet!$B55,'Advance Sheet'!$Q$3:$Q$100,0),MATCH(AttendanceSheet!$T$1,'Advance Sheet'!$Q$3:$AD$3,)),0),"")</f>
        <v/>
      </c>
      <c r="BF55" s="137" t="str">
        <f t="shared" si="15"/>
        <v/>
      </c>
      <c r="BG55" s="97" t="str">
        <f>IF(B55&lt;&gt;"",VLOOKUP(B55,'Employee Details'!A54:S137,17,0),"")</f>
        <v/>
      </c>
      <c r="BH55" s="97" t="str">
        <f>IF(B55&lt;&gt;"",VLOOKUP(B55,'Employee Details'!A54:S137,18,0),"")</f>
        <v/>
      </c>
      <c r="BI55" s="40" t="str">
        <f>IF(B55&lt;&gt;"",VLOOKUP(B55,'Employee Details'!A53:S136,19,0),"")</f>
        <v/>
      </c>
      <c r="BJ55" s="38" t="str">
        <f>IF(B55&lt;&gt;"",VLOOKUP(B55,'Employee Details'!A54:D93,4,0),"")</f>
        <v/>
      </c>
      <c r="BK55" s="38" t="str">
        <f>IF(B55&lt;&gt;"",VLOOKUP(B55,'Employee Details'!A54:E137,5,0),"")</f>
        <v/>
      </c>
      <c r="BL55" s="210" t="str">
        <f>IF(B55&lt;&gt;"",VLOOKUP(B55,'Employee Details'!A54:U137,21,0),"")</f>
        <v/>
      </c>
    </row>
    <row r="56" spans="2:64" ht="16.5" thickTop="1" thickBot="1" x14ac:dyDescent="0.3">
      <c r="B56" s="37" t="str">
        <f>_xlfn.IFNA(INDEX('Employee Details'!$A$7:$A59,MATCH(AttendanceSheet!$C56,'Employee Details'!$B$7:$B65,0)),"")</f>
        <v/>
      </c>
      <c r="C56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'!$J$1:J50))),"")</f>
        <v/>
      </c>
      <c r="D56" s="39" t="str">
        <f>IFERROR(VLOOKUP($B56&amp;D$5,'Mark Leave'!$A$1:$E$1841,5,0),"")</f>
        <v/>
      </c>
      <c r="E56" s="39" t="str">
        <f>IFERROR(VLOOKUP($B56&amp;E$5,'Mark Leave'!$A$1:$E$1841,5,0),"")</f>
        <v/>
      </c>
      <c r="F56" s="39" t="str">
        <f>IFERROR(VLOOKUP($B56&amp;F$5,'Mark Leave'!$A$1:$E$1841,5,0),"")</f>
        <v/>
      </c>
      <c r="G56" s="39" t="str">
        <f>IFERROR(VLOOKUP($B56&amp;G$5,'Mark Leave'!$A$1:$E$1841,5,0),"")</f>
        <v/>
      </c>
      <c r="H56" s="39" t="str">
        <f>IFERROR(VLOOKUP($B56&amp;H$5,'Mark Leave'!$A$1:$E$1841,5,0),"")</f>
        <v/>
      </c>
      <c r="I56" s="39" t="str">
        <f>IFERROR(VLOOKUP($B56&amp;I$5,'Mark Leave'!$A$1:$E$1841,5,0),"")</f>
        <v/>
      </c>
      <c r="J56" s="39" t="str">
        <f>IFERROR(VLOOKUP($B56&amp;J$5,'Mark Leave'!$A$1:$E$1841,5,0),"")</f>
        <v/>
      </c>
      <c r="K56" s="39" t="str">
        <f>IFERROR(VLOOKUP($B56&amp;K$5,'Mark Leave'!$A$1:$E$1841,5,0),"")</f>
        <v/>
      </c>
      <c r="L56" s="39" t="str">
        <f>IFERROR(VLOOKUP($B56&amp;L$5,'Mark Leave'!$A$1:$E$1841,5,0),"")</f>
        <v/>
      </c>
      <c r="M56" s="39" t="str">
        <f>IFERROR(VLOOKUP($B56&amp;M$5,'Mark Leave'!$A$1:$E$1841,5,0),"")</f>
        <v/>
      </c>
      <c r="N56" s="39" t="str">
        <f>IFERROR(VLOOKUP($B56&amp;N$5,'Mark Leave'!$A$1:$E$1841,5,0),"")</f>
        <v/>
      </c>
      <c r="O56" s="39" t="str">
        <f>IFERROR(VLOOKUP($B56&amp;O$5,'Mark Leave'!$A$1:$E$1841,5,0),"")</f>
        <v/>
      </c>
      <c r="P56" s="39" t="str">
        <f>IFERROR(VLOOKUP($B56&amp;P$5,'Mark Leave'!$A$1:$E$1841,5,0),"")</f>
        <v/>
      </c>
      <c r="Q56" s="39" t="str">
        <f>IFERROR(VLOOKUP($B56&amp;Q$5,'Mark Leave'!$A$1:$E$1841,5,0),"")</f>
        <v/>
      </c>
      <c r="R56" s="39" t="str">
        <f>IFERROR(VLOOKUP($B56&amp;R$5,'Mark Leave'!$A$1:$E$1841,5,0),"")</f>
        <v/>
      </c>
      <c r="S56" s="39" t="str">
        <f>IFERROR(VLOOKUP($B56&amp;S$5,'Mark Leave'!$A$1:$E$1841,5,0),"")</f>
        <v/>
      </c>
      <c r="T56" s="39" t="str">
        <f>IFERROR(VLOOKUP($B56&amp;T$5,'Mark Leave'!$A$1:$E$1841,5,0),"")</f>
        <v/>
      </c>
      <c r="U56" s="39" t="str">
        <f>IFERROR(VLOOKUP($B56&amp;U$5,'Mark Leave'!$A$1:$E$1841,5,0),"")</f>
        <v/>
      </c>
      <c r="V56" s="39" t="str">
        <f>IFERROR(VLOOKUP($B56&amp;V$5,'Mark Leave'!$A$1:$E$1841,5,0),"")</f>
        <v/>
      </c>
      <c r="W56" s="39" t="str">
        <f>IFERROR(VLOOKUP($B56&amp;W$5,'Mark Leave'!$A$1:$E$1841,5,0),"")</f>
        <v/>
      </c>
      <c r="X56" s="39" t="str">
        <f>IFERROR(VLOOKUP($B56&amp;X$5,'Mark Leave'!$A$1:$E$1841,5,0),"")</f>
        <v/>
      </c>
      <c r="Y56" s="39" t="str">
        <f>IFERROR(VLOOKUP($B56&amp;Y$5,'Mark Leave'!$A$1:$E$1841,5,0),"")</f>
        <v/>
      </c>
      <c r="Z56" s="39" t="str">
        <f>IFERROR(VLOOKUP($B56&amp;Z$5,'Mark Leave'!$A$1:$E$1841,5,0),"")</f>
        <v/>
      </c>
      <c r="AA56" s="39" t="str">
        <f>IFERROR(VLOOKUP($B56&amp;AA$5,'Mark Leave'!$A$1:$E$1841,5,0),"")</f>
        <v/>
      </c>
      <c r="AB56" s="39" t="str">
        <f>IFERROR(VLOOKUP($B56&amp;AB$5,'Mark Leave'!$A$1:$E$1841,5,0),"")</f>
        <v/>
      </c>
      <c r="AC56" s="39" t="str">
        <f>IFERROR(VLOOKUP($B56&amp;AC$5,'Mark Leave'!$A$1:$E$1841,5,0),"")</f>
        <v/>
      </c>
      <c r="AD56" s="39" t="str">
        <f>IFERROR(VLOOKUP($B56&amp;AD$5,'Mark Leave'!$A$1:$E$1841,5,0),"")</f>
        <v/>
      </c>
      <c r="AE56" s="39" t="str">
        <f>IFERROR(VLOOKUP($B56&amp;AE$5,'Mark Leave'!$A$1:$E$1841,5,0),"")</f>
        <v/>
      </c>
      <c r="AF56" s="39" t="str">
        <f>IFERROR(VLOOKUP($B56&amp;AF$5,'Mark Leave'!$A$1:$E$1841,5,0),"")</f>
        <v/>
      </c>
      <c r="AG56" s="39" t="str">
        <f>IFERROR(VLOOKUP($B56&amp;AG$5,'Mark Leave'!$A$1:$E$1841,5,0),"")</f>
        <v/>
      </c>
      <c r="AH56" s="39">
        <f>IFERROR(VLOOKUP($B56&amp;AH$5,'Mark Leave'!$A$1:$E$1841,5,0),"")</f>
        <v>0</v>
      </c>
      <c r="AI56" s="98" t="str">
        <f>IF($B56&lt;&gt;"",COUNTIF($D56:$AH56,'Setting '!$H$2),"")</f>
        <v/>
      </c>
      <c r="AJ56" s="98" t="str">
        <f>IF($B56&lt;&gt;"",COUNTIF($D56:$AH56,'Setting '!$H$3)/2,"")</f>
        <v/>
      </c>
      <c r="AK56" s="98" t="str">
        <f>IF($B56&lt;&gt;"",COUNTIF($D56:$AH56,'Setting '!$H$4),"")</f>
        <v/>
      </c>
      <c r="AL56" s="98" t="str">
        <f t="shared" si="13"/>
        <v/>
      </c>
      <c r="AM56" s="117" t="str">
        <f>IF(B56&lt;&gt;"",_xlfn.IFNA(VLOOKUP(B56,'Leave Credit Sheet'!B56:K149,10,0),""),"")</f>
        <v/>
      </c>
      <c r="AN56" s="98" t="str">
        <f t="shared" si="17"/>
        <v/>
      </c>
      <c r="AO56" s="106" t="str">
        <f>IF(B56&lt;&gt;"",_xlfn.IFNA(INDEX('CTC Sheet'!$C$6:$N$101,MATCH(AttendanceSheet!$B56,'CTC Sheet'!$A$6:$A$101,0),MATCH(AttendanceSheet!$T$1,'CTC Sheet'!$C$5:$N$5,0)),0),"")</f>
        <v/>
      </c>
      <c r="AP56" s="106" t="str">
        <f>IF(B56&lt;&gt;"",_xlfn.IFNA(INDEX('CTC Sheet'!$R$6:$AC$100,MATCH(AttendanceSheet!$B56,'CTC Sheet'!$P$6:$P$100,0),MATCH(AttendanceSheet!$T$1,'CTC Sheet'!$R$5:$AC$5,0)),0),"")</f>
        <v/>
      </c>
      <c r="AQ56" s="106" t="str">
        <f t="shared" si="18"/>
        <v/>
      </c>
      <c r="AR56" s="106" t="str">
        <f t="shared" si="19"/>
        <v/>
      </c>
      <c r="AS56" s="106" t="str">
        <f t="shared" si="20"/>
        <v/>
      </c>
      <c r="AT56" s="106" t="str">
        <f t="shared" si="21"/>
        <v/>
      </c>
      <c r="AU56" s="106" t="str">
        <f t="shared" si="22"/>
        <v/>
      </c>
      <c r="AV56" s="106" t="str">
        <f t="shared" si="23"/>
        <v/>
      </c>
      <c r="AW56" s="106" t="str">
        <f>IF(B56&lt;&gt;"",_xlfn.IFNA(INDEX('OtherArrear payment'!$A$1:$N$95,MATCH(AttendanceSheet!$B56,'OtherArrear payment'!$A$1:$A$95,0),MATCH(AttendanceSheet!$T$1,'OtherArrear payment'!$A$1:$N$1,0)),0),"")</f>
        <v/>
      </c>
      <c r="AX56" s="106" t="str">
        <f t="shared" si="14"/>
        <v/>
      </c>
      <c r="AY56" s="106">
        <f t="shared" si="24"/>
        <v>0</v>
      </c>
      <c r="AZ56" s="106">
        <f t="shared" si="25"/>
        <v>0</v>
      </c>
      <c r="BA56" s="106">
        <f t="shared" si="26"/>
        <v>0</v>
      </c>
      <c r="BB56" s="106">
        <f t="shared" si="27"/>
        <v>0</v>
      </c>
      <c r="BC56" s="106" t="str">
        <f>IF($B56&lt;&gt;"",IF(BL56="Yes",IF($BI56="Mr.",IF($AX56&lt;=7500,0,IF(AND($AX56&lt;10000,$AX56&gt;7501),175,IF(AND($AX56&gt;10000,'Setting '!$G$28&lt;&gt;11),200,300))),IF(AND($AX56&lt;=10000,$BI56="Ms."),0,IF(AND($AX56&gt;10000,'Setting '!$G$28&lt;&gt;11),200,300))),0),"")</f>
        <v/>
      </c>
      <c r="BD56" s="42"/>
      <c r="BE56" s="212" t="str">
        <f>IF($B56&lt;&gt;"",IF('Advance Sheet'!AF53&gt;=0,INDEX('Advance Sheet'!$Q$3:$AD$100,MATCH(AttendanceSheet!$B56,'Advance Sheet'!$Q$3:$Q$100,0),MATCH(AttendanceSheet!$T$1,'Advance Sheet'!$Q$3:$AD$3,)),0),"")</f>
        <v/>
      </c>
      <c r="BF56" s="137" t="str">
        <f t="shared" si="15"/>
        <v/>
      </c>
      <c r="BG56" s="97" t="str">
        <f>IF(B56&lt;&gt;"",VLOOKUP(B56,'Employee Details'!A55:S138,17,0),"")</f>
        <v/>
      </c>
      <c r="BH56" s="97" t="str">
        <f>IF(B56&lt;&gt;"",VLOOKUP(B56,'Employee Details'!A55:S138,18,0),"")</f>
        <v/>
      </c>
      <c r="BI56" s="40" t="str">
        <f>IF(B56&lt;&gt;"",VLOOKUP(B56,'Employee Details'!A54:S137,19,0),"")</f>
        <v/>
      </c>
      <c r="BJ56" s="38" t="str">
        <f>IF(B56&lt;&gt;"",VLOOKUP(B56,'Employee Details'!A55:D94,4,0),"")</f>
        <v/>
      </c>
      <c r="BK56" s="38" t="str">
        <f>IF(B56&lt;&gt;"",VLOOKUP(B56,'Employee Details'!A55:E138,5,0),"")</f>
        <v/>
      </c>
      <c r="BL56" s="210" t="str">
        <f>IF(B56&lt;&gt;"",VLOOKUP(B56,'Employee Details'!A55:U138,21,0),"")</f>
        <v/>
      </c>
    </row>
    <row r="57" spans="2:64" ht="16.5" thickTop="1" thickBot="1" x14ac:dyDescent="0.3">
      <c r="B57" s="37" t="str">
        <f>_xlfn.IFNA(INDEX('Employee Details'!$A$7:$A60,MATCH(AttendanceSheet!$C57,'Employee Details'!$B$7:$B66,0)),"")</f>
        <v/>
      </c>
      <c r="C57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'!$J$1:J51))),"")</f>
        <v/>
      </c>
      <c r="D57" s="39" t="str">
        <f>IFERROR(VLOOKUP($B57&amp;D$5,'Mark Leave'!$A$1:$E$1841,5,0),"")</f>
        <v/>
      </c>
      <c r="E57" s="39" t="str">
        <f>IFERROR(VLOOKUP($B57&amp;E$5,'Mark Leave'!$A$1:$E$1841,5,0),"")</f>
        <v/>
      </c>
      <c r="F57" s="39" t="str">
        <f>IFERROR(VLOOKUP($B57&amp;F$5,'Mark Leave'!$A$1:$E$1841,5,0),"")</f>
        <v/>
      </c>
      <c r="G57" s="39" t="str">
        <f>IFERROR(VLOOKUP($B57&amp;G$5,'Mark Leave'!$A$1:$E$1841,5,0),"")</f>
        <v/>
      </c>
      <c r="H57" s="39" t="str">
        <f>IFERROR(VLOOKUP($B57&amp;H$5,'Mark Leave'!$A$1:$E$1841,5,0),"")</f>
        <v/>
      </c>
      <c r="I57" s="39" t="str">
        <f>IFERROR(VLOOKUP($B57&amp;I$5,'Mark Leave'!$A$1:$E$1841,5,0),"")</f>
        <v/>
      </c>
      <c r="J57" s="39" t="str">
        <f>IFERROR(VLOOKUP($B57&amp;J$5,'Mark Leave'!$A$1:$E$1841,5,0),"")</f>
        <v/>
      </c>
      <c r="K57" s="39" t="str">
        <f>IFERROR(VLOOKUP($B57&amp;K$5,'Mark Leave'!$A$1:$E$1841,5,0),"")</f>
        <v/>
      </c>
      <c r="L57" s="39" t="str">
        <f>IFERROR(VLOOKUP($B57&amp;L$5,'Mark Leave'!$A$1:$E$1841,5,0),"")</f>
        <v/>
      </c>
      <c r="M57" s="39" t="str">
        <f>IFERROR(VLOOKUP($B57&amp;M$5,'Mark Leave'!$A$1:$E$1841,5,0),"")</f>
        <v/>
      </c>
      <c r="N57" s="39" t="str">
        <f>IFERROR(VLOOKUP($B57&amp;N$5,'Mark Leave'!$A$1:$E$1841,5,0),"")</f>
        <v/>
      </c>
      <c r="O57" s="39" t="str">
        <f>IFERROR(VLOOKUP($B57&amp;O$5,'Mark Leave'!$A$1:$E$1841,5,0),"")</f>
        <v/>
      </c>
      <c r="P57" s="39" t="str">
        <f>IFERROR(VLOOKUP($B57&amp;P$5,'Mark Leave'!$A$1:$E$1841,5,0),"")</f>
        <v/>
      </c>
      <c r="Q57" s="39" t="str">
        <f>IFERROR(VLOOKUP($B57&amp;Q$5,'Mark Leave'!$A$1:$E$1841,5,0),"")</f>
        <v/>
      </c>
      <c r="R57" s="39" t="str">
        <f>IFERROR(VLOOKUP($B57&amp;R$5,'Mark Leave'!$A$1:$E$1841,5,0),"")</f>
        <v/>
      </c>
      <c r="S57" s="39" t="str">
        <f>IFERROR(VLOOKUP($B57&amp;S$5,'Mark Leave'!$A$1:$E$1841,5,0),"")</f>
        <v/>
      </c>
      <c r="T57" s="39" t="str">
        <f>IFERROR(VLOOKUP($B57&amp;T$5,'Mark Leave'!$A$1:$E$1841,5,0),"")</f>
        <v/>
      </c>
      <c r="U57" s="39" t="str">
        <f>IFERROR(VLOOKUP($B57&amp;U$5,'Mark Leave'!$A$1:$E$1841,5,0),"")</f>
        <v/>
      </c>
      <c r="V57" s="39" t="str">
        <f>IFERROR(VLOOKUP($B57&amp;V$5,'Mark Leave'!$A$1:$E$1841,5,0),"")</f>
        <v/>
      </c>
      <c r="W57" s="39" t="str">
        <f>IFERROR(VLOOKUP($B57&amp;W$5,'Mark Leave'!$A$1:$E$1841,5,0),"")</f>
        <v/>
      </c>
      <c r="X57" s="39" t="str">
        <f>IFERROR(VLOOKUP($B57&amp;X$5,'Mark Leave'!$A$1:$E$1841,5,0),"")</f>
        <v/>
      </c>
      <c r="Y57" s="39" t="str">
        <f>IFERROR(VLOOKUP($B57&amp;Y$5,'Mark Leave'!$A$1:$E$1841,5,0),"")</f>
        <v/>
      </c>
      <c r="Z57" s="39" t="str">
        <f>IFERROR(VLOOKUP($B57&amp;Z$5,'Mark Leave'!$A$1:$E$1841,5,0),"")</f>
        <v/>
      </c>
      <c r="AA57" s="39" t="str">
        <f>IFERROR(VLOOKUP($B57&amp;AA$5,'Mark Leave'!$A$1:$E$1841,5,0),"")</f>
        <v/>
      </c>
      <c r="AB57" s="39" t="str">
        <f>IFERROR(VLOOKUP($B57&amp;AB$5,'Mark Leave'!$A$1:$E$1841,5,0),"")</f>
        <v/>
      </c>
      <c r="AC57" s="39" t="str">
        <f>IFERROR(VLOOKUP($B57&amp;AC$5,'Mark Leave'!$A$1:$E$1841,5,0),"")</f>
        <v/>
      </c>
      <c r="AD57" s="39" t="str">
        <f>IFERROR(VLOOKUP($B57&amp;AD$5,'Mark Leave'!$A$1:$E$1841,5,0),"")</f>
        <v/>
      </c>
      <c r="AE57" s="39" t="str">
        <f>IFERROR(VLOOKUP($B57&amp;AE$5,'Mark Leave'!$A$1:$E$1841,5,0),"")</f>
        <v/>
      </c>
      <c r="AF57" s="39" t="str">
        <f>IFERROR(VLOOKUP($B57&amp;AF$5,'Mark Leave'!$A$1:$E$1841,5,0),"")</f>
        <v/>
      </c>
      <c r="AG57" s="39" t="str">
        <f>IFERROR(VLOOKUP($B57&amp;AG$5,'Mark Leave'!$A$1:$E$1841,5,0),"")</f>
        <v/>
      </c>
      <c r="AH57" s="39">
        <f>IFERROR(VLOOKUP($B57&amp;AH$5,'Mark Leave'!$A$1:$E$1841,5,0),"")</f>
        <v>0</v>
      </c>
      <c r="AI57" s="98" t="str">
        <f>IF($B57&lt;&gt;"",COUNTIF($D57:$AH57,'Setting '!$H$2),"")</f>
        <v/>
      </c>
      <c r="AJ57" s="98" t="str">
        <f>IF($B57&lt;&gt;"",COUNTIF($D57:$AH57,'Setting '!$H$3)/2,"")</f>
        <v/>
      </c>
      <c r="AK57" s="98" t="str">
        <f>IF($B57&lt;&gt;"",COUNTIF($D57:$AH57,'Setting '!$H$4),"")</f>
        <v/>
      </c>
      <c r="AL57" s="98" t="str">
        <f t="shared" si="13"/>
        <v/>
      </c>
      <c r="AM57" s="117" t="str">
        <f>IF(B57&lt;&gt;"",_xlfn.IFNA(VLOOKUP(B57,'Leave Credit Sheet'!B57:K150,10,0),""),"")</f>
        <v/>
      </c>
      <c r="AN57" s="98" t="str">
        <f t="shared" si="17"/>
        <v/>
      </c>
      <c r="AO57" s="106" t="str">
        <f>IF(B57&lt;&gt;"",_xlfn.IFNA(INDEX('CTC Sheet'!$C$6:$N$101,MATCH(AttendanceSheet!$B57,'CTC Sheet'!$A$6:$A$101,0),MATCH(AttendanceSheet!$T$1,'CTC Sheet'!$C$5:$N$5,0)),0),"")</f>
        <v/>
      </c>
      <c r="AP57" s="106" t="str">
        <f>IF(B57&lt;&gt;"",_xlfn.IFNA(INDEX('CTC Sheet'!$R$6:$AC$100,MATCH(AttendanceSheet!$B57,'CTC Sheet'!$P$6:$P$100,0),MATCH(AttendanceSheet!$T$1,'CTC Sheet'!$R$5:$AC$5,0)),0),"")</f>
        <v/>
      </c>
      <c r="AQ57" s="106" t="str">
        <f t="shared" si="18"/>
        <v/>
      </c>
      <c r="AR57" s="106" t="str">
        <f t="shared" si="19"/>
        <v/>
      </c>
      <c r="AS57" s="106" t="str">
        <f t="shared" si="20"/>
        <v/>
      </c>
      <c r="AT57" s="106" t="str">
        <f t="shared" si="21"/>
        <v/>
      </c>
      <c r="AU57" s="106" t="str">
        <f t="shared" si="22"/>
        <v/>
      </c>
      <c r="AV57" s="106" t="str">
        <f t="shared" si="23"/>
        <v/>
      </c>
      <c r="AW57" s="106" t="str">
        <f>IF(B57&lt;&gt;"",_xlfn.IFNA(INDEX('OtherArrear payment'!$A$1:$N$95,MATCH(AttendanceSheet!$B57,'OtherArrear payment'!$A$1:$A$95,0),MATCH(AttendanceSheet!$T$1,'OtherArrear payment'!$A$1:$N$1,0)),0),"")</f>
        <v/>
      </c>
      <c r="AX57" s="106" t="str">
        <f t="shared" si="14"/>
        <v/>
      </c>
      <c r="AY57" s="106">
        <f t="shared" si="24"/>
        <v>0</v>
      </c>
      <c r="AZ57" s="106">
        <f t="shared" si="25"/>
        <v>0</v>
      </c>
      <c r="BA57" s="106">
        <f t="shared" si="26"/>
        <v>0</v>
      </c>
      <c r="BB57" s="106">
        <f t="shared" si="27"/>
        <v>0</v>
      </c>
      <c r="BC57" s="106" t="str">
        <f>IF($B57&lt;&gt;"",IF(BL57="Yes",IF($BI57="Mr.",IF($AX57&lt;=7500,0,IF(AND($AX57&lt;10000,$AX57&gt;7501),175,IF(AND($AX57&gt;10000,'Setting '!$G$28&lt;&gt;11),200,300))),IF(AND($AX57&lt;=10000,$BI57="Ms."),0,IF(AND($AX57&gt;10000,'Setting '!$G$28&lt;&gt;11),200,300))),0),"")</f>
        <v/>
      </c>
      <c r="BD57" s="42"/>
      <c r="BE57" s="212" t="str">
        <f>IF($B57&lt;&gt;"",IF('Advance Sheet'!AF54&gt;=0,INDEX('Advance Sheet'!$Q$3:$AD$100,MATCH(AttendanceSheet!$B57,'Advance Sheet'!$Q$3:$Q$100,0),MATCH(AttendanceSheet!$T$1,'Advance Sheet'!$Q$3:$AD$3,)),0),"")</f>
        <v/>
      </c>
      <c r="BF57" s="137" t="str">
        <f t="shared" si="15"/>
        <v/>
      </c>
      <c r="BG57" s="97" t="str">
        <f>IF(B57&lt;&gt;"",VLOOKUP(B57,'Employee Details'!A56:S139,17,0),"")</f>
        <v/>
      </c>
      <c r="BH57" s="97" t="str">
        <f>IF(B57&lt;&gt;"",VLOOKUP(B57,'Employee Details'!A56:S139,18,0),"")</f>
        <v/>
      </c>
      <c r="BI57" s="40" t="str">
        <f>IF(B57&lt;&gt;"",VLOOKUP(B57,'Employee Details'!A55:S138,19,0),"")</f>
        <v/>
      </c>
      <c r="BJ57" s="38" t="str">
        <f>IF(B57&lt;&gt;"",VLOOKUP(B57,'Employee Details'!A56:D95,4,0),"")</f>
        <v/>
      </c>
      <c r="BK57" s="38" t="str">
        <f>IF(B57&lt;&gt;"",VLOOKUP(B57,'Employee Details'!A56:E139,5,0),"")</f>
        <v/>
      </c>
      <c r="BL57" s="210" t="str">
        <f>IF(B57&lt;&gt;"",VLOOKUP(B57,'Employee Details'!A56:U139,21,0),"")</f>
        <v/>
      </c>
    </row>
    <row r="58" spans="2:64" ht="16.5" thickTop="1" thickBot="1" x14ac:dyDescent="0.3">
      <c r="B58" s="37" t="str">
        <f>_xlfn.IFNA(INDEX('Employee Details'!$A$7:$A61,MATCH(AttendanceSheet!$C58,'Employee Details'!$B$7:$B67,0)),"")</f>
        <v/>
      </c>
      <c r="C58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'!$J$1:J52))),"")</f>
        <v/>
      </c>
      <c r="D58" s="39" t="str">
        <f>IFERROR(VLOOKUP($B58&amp;D$5,'Mark Leave'!$A$1:$E$1841,5,0),"")</f>
        <v/>
      </c>
      <c r="E58" s="39" t="str">
        <f>IFERROR(VLOOKUP($B58&amp;E$5,'Mark Leave'!$A$1:$E$1841,5,0),"")</f>
        <v/>
      </c>
      <c r="F58" s="39" t="str">
        <f>IFERROR(VLOOKUP($B58&amp;F$5,'Mark Leave'!$A$1:$E$1841,5,0),"")</f>
        <v/>
      </c>
      <c r="G58" s="39" t="str">
        <f>IFERROR(VLOOKUP($B58&amp;G$5,'Mark Leave'!$A$1:$E$1841,5,0),"")</f>
        <v/>
      </c>
      <c r="H58" s="39" t="str">
        <f>IFERROR(VLOOKUP($B58&amp;H$5,'Mark Leave'!$A$1:$E$1841,5,0),"")</f>
        <v/>
      </c>
      <c r="I58" s="39" t="str">
        <f>IFERROR(VLOOKUP($B58&amp;I$5,'Mark Leave'!$A$1:$E$1841,5,0),"")</f>
        <v/>
      </c>
      <c r="J58" s="39" t="str">
        <f>IFERROR(VLOOKUP($B58&amp;J$5,'Mark Leave'!$A$1:$E$1841,5,0),"")</f>
        <v/>
      </c>
      <c r="K58" s="39" t="str">
        <f>IFERROR(VLOOKUP($B58&amp;K$5,'Mark Leave'!$A$1:$E$1841,5,0),"")</f>
        <v/>
      </c>
      <c r="L58" s="39" t="str">
        <f>IFERROR(VLOOKUP($B58&amp;L$5,'Mark Leave'!$A$1:$E$1841,5,0),"")</f>
        <v/>
      </c>
      <c r="M58" s="39" t="str">
        <f>IFERROR(VLOOKUP($B58&amp;M$5,'Mark Leave'!$A$1:$E$1841,5,0),"")</f>
        <v/>
      </c>
      <c r="N58" s="39" t="str">
        <f>IFERROR(VLOOKUP($B58&amp;N$5,'Mark Leave'!$A$1:$E$1841,5,0),"")</f>
        <v/>
      </c>
      <c r="O58" s="39" t="str">
        <f>IFERROR(VLOOKUP($B58&amp;O$5,'Mark Leave'!$A$1:$E$1841,5,0),"")</f>
        <v/>
      </c>
      <c r="P58" s="39" t="str">
        <f>IFERROR(VLOOKUP($B58&amp;P$5,'Mark Leave'!$A$1:$E$1841,5,0),"")</f>
        <v/>
      </c>
      <c r="Q58" s="39" t="str">
        <f>IFERROR(VLOOKUP($B58&amp;Q$5,'Mark Leave'!$A$1:$E$1841,5,0),"")</f>
        <v/>
      </c>
      <c r="R58" s="39" t="str">
        <f>IFERROR(VLOOKUP($B58&amp;R$5,'Mark Leave'!$A$1:$E$1841,5,0),"")</f>
        <v/>
      </c>
      <c r="S58" s="39" t="str">
        <f>IFERROR(VLOOKUP($B58&amp;S$5,'Mark Leave'!$A$1:$E$1841,5,0),"")</f>
        <v/>
      </c>
      <c r="T58" s="39" t="str">
        <f>IFERROR(VLOOKUP($B58&amp;T$5,'Mark Leave'!$A$1:$E$1841,5,0),"")</f>
        <v/>
      </c>
      <c r="U58" s="39" t="str">
        <f>IFERROR(VLOOKUP($B58&amp;U$5,'Mark Leave'!$A$1:$E$1841,5,0),"")</f>
        <v/>
      </c>
      <c r="V58" s="39" t="str">
        <f>IFERROR(VLOOKUP($B58&amp;V$5,'Mark Leave'!$A$1:$E$1841,5,0),"")</f>
        <v/>
      </c>
      <c r="W58" s="39" t="str">
        <f>IFERROR(VLOOKUP($B58&amp;W$5,'Mark Leave'!$A$1:$E$1841,5,0),"")</f>
        <v/>
      </c>
      <c r="X58" s="39" t="str">
        <f>IFERROR(VLOOKUP($B58&amp;X$5,'Mark Leave'!$A$1:$E$1841,5,0),"")</f>
        <v/>
      </c>
      <c r="Y58" s="39" t="str">
        <f>IFERROR(VLOOKUP($B58&amp;Y$5,'Mark Leave'!$A$1:$E$1841,5,0),"")</f>
        <v/>
      </c>
      <c r="Z58" s="39" t="str">
        <f>IFERROR(VLOOKUP($B58&amp;Z$5,'Mark Leave'!$A$1:$E$1841,5,0),"")</f>
        <v/>
      </c>
      <c r="AA58" s="39" t="str">
        <f>IFERROR(VLOOKUP($B58&amp;AA$5,'Mark Leave'!$A$1:$E$1841,5,0),"")</f>
        <v/>
      </c>
      <c r="AB58" s="39" t="str">
        <f>IFERROR(VLOOKUP($B58&amp;AB$5,'Mark Leave'!$A$1:$E$1841,5,0),"")</f>
        <v/>
      </c>
      <c r="AC58" s="39" t="str">
        <f>IFERROR(VLOOKUP($B58&amp;AC$5,'Mark Leave'!$A$1:$E$1841,5,0),"")</f>
        <v/>
      </c>
      <c r="AD58" s="39" t="str">
        <f>IFERROR(VLOOKUP($B58&amp;AD$5,'Mark Leave'!$A$1:$E$1841,5,0),"")</f>
        <v/>
      </c>
      <c r="AE58" s="39" t="str">
        <f>IFERROR(VLOOKUP($B58&amp;AE$5,'Mark Leave'!$A$1:$E$1841,5,0),"")</f>
        <v/>
      </c>
      <c r="AF58" s="39" t="str">
        <f>IFERROR(VLOOKUP($B58&amp;AF$5,'Mark Leave'!$A$1:$E$1841,5,0),"")</f>
        <v/>
      </c>
      <c r="AG58" s="39" t="str">
        <f>IFERROR(VLOOKUP($B58&amp;AG$5,'Mark Leave'!$A$1:$E$1841,5,0),"")</f>
        <v/>
      </c>
      <c r="AH58" s="39">
        <f>IFERROR(VLOOKUP($B58&amp;AH$5,'Mark Leave'!$A$1:$E$1841,5,0),"")</f>
        <v>0</v>
      </c>
      <c r="AI58" s="98" t="str">
        <f>IF($B58&lt;&gt;"",COUNTIF($D58:$AH58,'Setting '!$H$2),"")</f>
        <v/>
      </c>
      <c r="AJ58" s="98" t="str">
        <f>IF($B58&lt;&gt;"",COUNTIF($D58:$AH58,'Setting '!$H$3)/2,"")</f>
        <v/>
      </c>
      <c r="AK58" s="98" t="str">
        <f>IF($B58&lt;&gt;"",COUNTIF($D58:$AH58,'Setting '!$H$4),"")</f>
        <v/>
      </c>
      <c r="AL58" s="98" t="str">
        <f t="shared" si="13"/>
        <v/>
      </c>
      <c r="AM58" s="117" t="str">
        <f>IF(B58&lt;&gt;"",_xlfn.IFNA(VLOOKUP(B58,'Leave Credit Sheet'!B58:K151,10,0),""),"")</f>
        <v/>
      </c>
      <c r="AN58" s="98" t="str">
        <f t="shared" si="17"/>
        <v/>
      </c>
      <c r="AO58" s="106" t="str">
        <f>IF(B58&lt;&gt;"",_xlfn.IFNA(INDEX('CTC Sheet'!$C$6:$N$101,MATCH(AttendanceSheet!$B58,'CTC Sheet'!$A$6:$A$101,0),MATCH(AttendanceSheet!$T$1,'CTC Sheet'!$C$5:$N$5,0)),0),"")</f>
        <v/>
      </c>
      <c r="AP58" s="106" t="str">
        <f>IF(B58&lt;&gt;"",_xlfn.IFNA(INDEX('CTC Sheet'!$R$6:$AC$100,MATCH(AttendanceSheet!$B58,'CTC Sheet'!$P$6:$P$100,0),MATCH(AttendanceSheet!$T$1,'CTC Sheet'!$R$5:$AC$5,0)),0),"")</f>
        <v/>
      </c>
      <c r="AQ58" s="106" t="str">
        <f t="shared" si="18"/>
        <v/>
      </c>
      <c r="AR58" s="106" t="str">
        <f t="shared" si="19"/>
        <v/>
      </c>
      <c r="AS58" s="106" t="str">
        <f t="shared" si="20"/>
        <v/>
      </c>
      <c r="AT58" s="106" t="str">
        <f t="shared" si="21"/>
        <v/>
      </c>
      <c r="AU58" s="106" t="str">
        <f t="shared" si="22"/>
        <v/>
      </c>
      <c r="AV58" s="106" t="str">
        <f t="shared" si="23"/>
        <v/>
      </c>
      <c r="AW58" s="106" t="str">
        <f>IF(B58&lt;&gt;"",_xlfn.IFNA(INDEX('OtherArrear payment'!$A$1:$N$95,MATCH(AttendanceSheet!$B58,'OtherArrear payment'!$A$1:$A$95,0),MATCH(AttendanceSheet!$T$1,'OtherArrear payment'!$A$1:$N$1,0)),0),"")</f>
        <v/>
      </c>
      <c r="AX58" s="106" t="str">
        <f t="shared" si="14"/>
        <v/>
      </c>
      <c r="AY58" s="106">
        <f t="shared" si="24"/>
        <v>0</v>
      </c>
      <c r="AZ58" s="106">
        <f t="shared" si="25"/>
        <v>0</v>
      </c>
      <c r="BA58" s="106">
        <f t="shared" si="26"/>
        <v>0</v>
      </c>
      <c r="BB58" s="106">
        <f t="shared" si="27"/>
        <v>0</v>
      </c>
      <c r="BC58" s="106" t="str">
        <f>IF($B58&lt;&gt;"",IF(BL58="Yes",IF($BI58="Mr.",IF($AX58&lt;=7500,0,IF(AND($AX58&lt;10000,$AX58&gt;7501),175,IF(AND($AX58&gt;10000,'Setting '!$G$28&lt;&gt;11),200,300))),IF(AND($AX58&lt;=10000,$BI58="Ms."),0,IF(AND($AX58&gt;10000,'Setting '!$G$28&lt;&gt;11),200,300))),0),"")</f>
        <v/>
      </c>
      <c r="BD58" s="42"/>
      <c r="BE58" s="212" t="str">
        <f>IF($B58&lt;&gt;"",IF('Advance Sheet'!AF55&gt;=0,INDEX('Advance Sheet'!$Q$3:$AD$100,MATCH(AttendanceSheet!$B58,'Advance Sheet'!$Q$3:$Q$100,0),MATCH(AttendanceSheet!$T$1,'Advance Sheet'!$Q$3:$AD$3,)),0),"")</f>
        <v/>
      </c>
      <c r="BF58" s="137" t="str">
        <f t="shared" si="15"/>
        <v/>
      </c>
      <c r="BG58" s="97" t="str">
        <f>IF(B58&lt;&gt;"",VLOOKUP(B58,'Employee Details'!A57:S140,17,0),"")</f>
        <v/>
      </c>
      <c r="BH58" s="97" t="str">
        <f>IF(B58&lt;&gt;"",VLOOKUP(B58,'Employee Details'!A57:S140,18,0),"")</f>
        <v/>
      </c>
      <c r="BI58" s="40" t="str">
        <f>IF(B58&lt;&gt;"",VLOOKUP(B58,'Employee Details'!A56:S139,19,0),"")</f>
        <v/>
      </c>
      <c r="BJ58" s="38" t="str">
        <f>IF(B58&lt;&gt;"",VLOOKUP(B58,'Employee Details'!A57:D96,4,0),"")</f>
        <v/>
      </c>
      <c r="BK58" s="38" t="str">
        <f>IF(B58&lt;&gt;"",VLOOKUP(B58,'Employee Details'!A57:E140,5,0),"")</f>
        <v/>
      </c>
      <c r="BL58" s="210" t="str">
        <f>IF(B58&lt;&gt;"",VLOOKUP(B58,'Employee Details'!A57:U140,21,0),"")</f>
        <v/>
      </c>
    </row>
    <row r="59" spans="2:64" ht="16.5" thickTop="1" thickBot="1" x14ac:dyDescent="0.3">
      <c r="B59" s="37" t="str">
        <f>_xlfn.IFNA(INDEX('Employee Details'!$A$7:$A62,MATCH(AttendanceSheet!$C59,'Employee Details'!$B$7:$B68,0)),"")</f>
        <v/>
      </c>
      <c r="C59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'!$J$1:J53))),"")</f>
        <v/>
      </c>
      <c r="D59" s="39" t="str">
        <f>IFERROR(VLOOKUP($B59&amp;D$5,'Mark Leave'!$A$1:$E$1841,5,0),"")</f>
        <v/>
      </c>
      <c r="E59" s="39" t="str">
        <f>IFERROR(VLOOKUP($B59&amp;E$5,'Mark Leave'!$A$1:$E$1841,5,0),"")</f>
        <v/>
      </c>
      <c r="F59" s="39" t="str">
        <f>IFERROR(VLOOKUP($B59&amp;F$5,'Mark Leave'!$A$1:$E$1841,5,0),"")</f>
        <v/>
      </c>
      <c r="G59" s="39" t="str">
        <f>IFERROR(VLOOKUP($B59&amp;G$5,'Mark Leave'!$A$1:$E$1841,5,0),"")</f>
        <v/>
      </c>
      <c r="H59" s="39" t="str">
        <f>IFERROR(VLOOKUP($B59&amp;H$5,'Mark Leave'!$A$1:$E$1841,5,0),"")</f>
        <v/>
      </c>
      <c r="I59" s="39" t="str">
        <f>IFERROR(VLOOKUP($B59&amp;I$5,'Mark Leave'!$A$1:$E$1841,5,0),"")</f>
        <v/>
      </c>
      <c r="J59" s="39" t="str">
        <f>IFERROR(VLOOKUP($B59&amp;J$5,'Mark Leave'!$A$1:$E$1841,5,0),"")</f>
        <v/>
      </c>
      <c r="K59" s="39" t="str">
        <f>IFERROR(VLOOKUP($B59&amp;K$5,'Mark Leave'!$A$1:$E$1841,5,0),"")</f>
        <v/>
      </c>
      <c r="L59" s="39" t="str">
        <f>IFERROR(VLOOKUP($B59&amp;L$5,'Mark Leave'!$A$1:$E$1841,5,0),"")</f>
        <v/>
      </c>
      <c r="M59" s="39" t="str">
        <f>IFERROR(VLOOKUP($B59&amp;M$5,'Mark Leave'!$A$1:$E$1841,5,0),"")</f>
        <v/>
      </c>
      <c r="N59" s="39" t="str">
        <f>IFERROR(VLOOKUP($B59&amp;N$5,'Mark Leave'!$A$1:$E$1841,5,0),"")</f>
        <v/>
      </c>
      <c r="O59" s="39" t="str">
        <f>IFERROR(VLOOKUP($B59&amp;O$5,'Mark Leave'!$A$1:$E$1841,5,0),"")</f>
        <v/>
      </c>
      <c r="P59" s="39" t="str">
        <f>IFERROR(VLOOKUP($B59&amp;P$5,'Mark Leave'!$A$1:$E$1841,5,0),"")</f>
        <v/>
      </c>
      <c r="Q59" s="39" t="str">
        <f>IFERROR(VLOOKUP($B59&amp;Q$5,'Mark Leave'!$A$1:$E$1841,5,0),"")</f>
        <v/>
      </c>
      <c r="R59" s="39" t="str">
        <f>IFERROR(VLOOKUP($B59&amp;R$5,'Mark Leave'!$A$1:$E$1841,5,0),"")</f>
        <v/>
      </c>
      <c r="S59" s="39" t="str">
        <f>IFERROR(VLOOKUP($B59&amp;S$5,'Mark Leave'!$A$1:$E$1841,5,0),"")</f>
        <v/>
      </c>
      <c r="T59" s="39" t="str">
        <f>IFERROR(VLOOKUP($B59&amp;T$5,'Mark Leave'!$A$1:$E$1841,5,0),"")</f>
        <v/>
      </c>
      <c r="U59" s="39" t="str">
        <f>IFERROR(VLOOKUP($B59&amp;U$5,'Mark Leave'!$A$1:$E$1841,5,0),"")</f>
        <v/>
      </c>
      <c r="V59" s="39" t="str">
        <f>IFERROR(VLOOKUP($B59&amp;V$5,'Mark Leave'!$A$1:$E$1841,5,0),"")</f>
        <v/>
      </c>
      <c r="W59" s="39" t="str">
        <f>IFERROR(VLOOKUP($B59&amp;W$5,'Mark Leave'!$A$1:$E$1841,5,0),"")</f>
        <v/>
      </c>
      <c r="X59" s="39" t="str">
        <f>IFERROR(VLOOKUP($B59&amp;X$5,'Mark Leave'!$A$1:$E$1841,5,0),"")</f>
        <v/>
      </c>
      <c r="Y59" s="39" t="str">
        <f>IFERROR(VLOOKUP($B59&amp;Y$5,'Mark Leave'!$A$1:$E$1841,5,0),"")</f>
        <v/>
      </c>
      <c r="Z59" s="39" t="str">
        <f>IFERROR(VLOOKUP($B59&amp;Z$5,'Mark Leave'!$A$1:$E$1841,5,0),"")</f>
        <v/>
      </c>
      <c r="AA59" s="39" t="str">
        <f>IFERROR(VLOOKUP($B59&amp;AA$5,'Mark Leave'!$A$1:$E$1841,5,0),"")</f>
        <v/>
      </c>
      <c r="AB59" s="39" t="str">
        <f>IFERROR(VLOOKUP($B59&amp;AB$5,'Mark Leave'!$A$1:$E$1841,5,0),"")</f>
        <v/>
      </c>
      <c r="AC59" s="39" t="str">
        <f>IFERROR(VLOOKUP($B59&amp;AC$5,'Mark Leave'!$A$1:$E$1841,5,0),"")</f>
        <v/>
      </c>
      <c r="AD59" s="39" t="str">
        <f>IFERROR(VLOOKUP($B59&amp;AD$5,'Mark Leave'!$A$1:$E$1841,5,0),"")</f>
        <v/>
      </c>
      <c r="AE59" s="39" t="str">
        <f>IFERROR(VLOOKUP($B59&amp;AE$5,'Mark Leave'!$A$1:$E$1841,5,0),"")</f>
        <v/>
      </c>
      <c r="AF59" s="39" t="str">
        <f>IFERROR(VLOOKUP($B59&amp;AF$5,'Mark Leave'!$A$1:$E$1841,5,0),"")</f>
        <v/>
      </c>
      <c r="AG59" s="39" t="str">
        <f>IFERROR(VLOOKUP($B59&amp;AG$5,'Mark Leave'!$A$1:$E$1841,5,0),"")</f>
        <v/>
      </c>
      <c r="AH59" s="39">
        <f>IFERROR(VLOOKUP($B59&amp;AH$5,'Mark Leave'!$A$1:$E$1841,5,0),"")</f>
        <v>0</v>
      </c>
      <c r="AI59" s="98" t="str">
        <f>IF($B59&lt;&gt;"",COUNTIF($D59:$AH59,'Setting '!$H$2),"")</f>
        <v/>
      </c>
      <c r="AJ59" s="98" t="str">
        <f>IF($B59&lt;&gt;"",COUNTIF($D59:$AH59,'Setting '!$H$3)/2,"")</f>
        <v/>
      </c>
      <c r="AK59" s="98" t="str">
        <f>IF($B59&lt;&gt;"",COUNTIF($D59:$AH59,'Setting '!$H$4),"")</f>
        <v/>
      </c>
      <c r="AL59" s="98" t="str">
        <f t="shared" si="13"/>
        <v/>
      </c>
      <c r="AM59" s="117" t="str">
        <f>IF(B59&lt;&gt;"",_xlfn.IFNA(VLOOKUP(B59,'Leave Credit Sheet'!B59:K152,10,0),""),"")</f>
        <v/>
      </c>
      <c r="AN59" s="98" t="str">
        <f t="shared" si="17"/>
        <v/>
      </c>
      <c r="AO59" s="106" t="str">
        <f>IF(B59&lt;&gt;"",_xlfn.IFNA(INDEX('CTC Sheet'!$C$6:$N$101,MATCH(AttendanceSheet!$B59,'CTC Sheet'!$A$6:$A$101,0),MATCH(AttendanceSheet!$T$1,'CTC Sheet'!$C$5:$N$5,0)),0),"")</f>
        <v/>
      </c>
      <c r="AP59" s="106" t="str">
        <f>IF(B59&lt;&gt;"",_xlfn.IFNA(INDEX('CTC Sheet'!$R$6:$AC$100,MATCH(AttendanceSheet!$B59,'CTC Sheet'!$P$6:$P$100,0),MATCH(AttendanceSheet!$T$1,'CTC Sheet'!$R$5:$AC$5,0)),0),"")</f>
        <v/>
      </c>
      <c r="AQ59" s="106" t="str">
        <f t="shared" si="18"/>
        <v/>
      </c>
      <c r="AR59" s="106" t="str">
        <f t="shared" si="19"/>
        <v/>
      </c>
      <c r="AS59" s="106" t="str">
        <f t="shared" si="20"/>
        <v/>
      </c>
      <c r="AT59" s="106" t="str">
        <f t="shared" si="21"/>
        <v/>
      </c>
      <c r="AU59" s="106" t="str">
        <f t="shared" si="22"/>
        <v/>
      </c>
      <c r="AV59" s="106" t="str">
        <f t="shared" si="23"/>
        <v/>
      </c>
      <c r="AW59" s="106" t="str">
        <f>IF(B59&lt;&gt;"",_xlfn.IFNA(INDEX('OtherArrear payment'!$A$1:$N$95,MATCH(AttendanceSheet!$B59,'OtherArrear payment'!$A$1:$A$95,0),MATCH(AttendanceSheet!$T$1,'OtherArrear payment'!$A$1:$N$1,0)),0),"")</f>
        <v/>
      </c>
      <c r="AX59" s="106" t="str">
        <f t="shared" si="14"/>
        <v/>
      </c>
      <c r="AY59" s="106">
        <f t="shared" si="24"/>
        <v>0</v>
      </c>
      <c r="AZ59" s="106">
        <f t="shared" si="25"/>
        <v>0</v>
      </c>
      <c r="BA59" s="106">
        <f t="shared" si="26"/>
        <v>0</v>
      </c>
      <c r="BB59" s="106">
        <f t="shared" si="27"/>
        <v>0</v>
      </c>
      <c r="BC59" s="106" t="str">
        <f>IF($B59&lt;&gt;"",IF(BL59="Yes",IF($BI59="Mr.",IF($AX59&lt;=7500,0,IF(AND($AX59&lt;10000,$AX59&gt;7501),175,IF(AND($AX59&gt;10000,'Setting '!$G$28&lt;&gt;11),200,300))),IF(AND($AX59&lt;=10000,$BI59="Ms."),0,IF(AND($AX59&gt;10000,'Setting '!$G$28&lt;&gt;11),200,300))),0),"")</f>
        <v/>
      </c>
      <c r="BD59" s="42"/>
      <c r="BE59" s="212" t="str">
        <f>IF($B59&lt;&gt;"",IF('Advance Sheet'!AF56&gt;=0,INDEX('Advance Sheet'!$Q$3:$AD$100,MATCH(AttendanceSheet!$B59,'Advance Sheet'!$Q$3:$Q$100,0),MATCH(AttendanceSheet!$T$1,'Advance Sheet'!$Q$3:$AD$3,)),0),"")</f>
        <v/>
      </c>
      <c r="BF59" s="137" t="str">
        <f t="shared" si="15"/>
        <v/>
      </c>
      <c r="BG59" s="97" t="str">
        <f>IF(B59&lt;&gt;"",VLOOKUP(B59,'Employee Details'!A58:S141,17,0),"")</f>
        <v/>
      </c>
      <c r="BH59" s="97" t="str">
        <f>IF(B59&lt;&gt;"",VLOOKUP(B59,'Employee Details'!A58:S141,18,0),"")</f>
        <v/>
      </c>
      <c r="BI59" s="40" t="str">
        <f>IF(B59&lt;&gt;"",VLOOKUP(B59,'Employee Details'!A57:S140,19,0),"")</f>
        <v/>
      </c>
      <c r="BJ59" s="38" t="str">
        <f>IF(B59&lt;&gt;"",VLOOKUP(B59,'Employee Details'!A58:D97,4,0),"")</f>
        <v/>
      </c>
      <c r="BK59" s="38" t="str">
        <f>IF(B59&lt;&gt;"",VLOOKUP(B59,'Employee Details'!A58:E141,5,0),"")</f>
        <v/>
      </c>
      <c r="BL59" s="210" t="str">
        <f>IF(B59&lt;&gt;"",VLOOKUP(B59,'Employee Details'!A58:U141,21,0),"")</f>
        <v/>
      </c>
    </row>
    <row r="60" spans="2:64" ht="16.5" thickTop="1" thickBot="1" x14ac:dyDescent="0.3">
      <c r="B60" s="37" t="str">
        <f>_xlfn.IFNA(INDEX('Employee Details'!$A$7:$A63,MATCH(AttendanceSheet!$C60,'Employee Details'!$B$7:$B69,0)),"")</f>
        <v/>
      </c>
      <c r="C60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'!$J$1:J54))),"")</f>
        <v/>
      </c>
      <c r="D60" s="39" t="str">
        <f>IFERROR(VLOOKUP($B60&amp;D$5,'Mark Leave'!$A$1:$E$1841,5,0),"")</f>
        <v/>
      </c>
      <c r="E60" s="39" t="str">
        <f>IFERROR(VLOOKUP($B60&amp;E$5,'Mark Leave'!$A$1:$E$1841,5,0),"")</f>
        <v/>
      </c>
      <c r="F60" s="39" t="str">
        <f>IFERROR(VLOOKUP($B60&amp;F$5,'Mark Leave'!$A$1:$E$1841,5,0),"")</f>
        <v/>
      </c>
      <c r="G60" s="39" t="str">
        <f>IFERROR(VLOOKUP($B60&amp;G$5,'Mark Leave'!$A$1:$E$1841,5,0),"")</f>
        <v/>
      </c>
      <c r="H60" s="39" t="str">
        <f>IFERROR(VLOOKUP($B60&amp;H$5,'Mark Leave'!$A$1:$E$1841,5,0),"")</f>
        <v/>
      </c>
      <c r="I60" s="39" t="str">
        <f>IFERROR(VLOOKUP($B60&amp;I$5,'Mark Leave'!$A$1:$E$1841,5,0),"")</f>
        <v/>
      </c>
      <c r="J60" s="39" t="str">
        <f>IFERROR(VLOOKUP($B60&amp;J$5,'Mark Leave'!$A$1:$E$1841,5,0),"")</f>
        <v/>
      </c>
      <c r="K60" s="39" t="str">
        <f>IFERROR(VLOOKUP($B60&amp;K$5,'Mark Leave'!$A$1:$E$1841,5,0),"")</f>
        <v/>
      </c>
      <c r="L60" s="39" t="str">
        <f>IFERROR(VLOOKUP($B60&amp;L$5,'Mark Leave'!$A$1:$E$1841,5,0),"")</f>
        <v/>
      </c>
      <c r="M60" s="39" t="str">
        <f>IFERROR(VLOOKUP($B60&amp;M$5,'Mark Leave'!$A$1:$E$1841,5,0),"")</f>
        <v/>
      </c>
      <c r="N60" s="39" t="str">
        <f>IFERROR(VLOOKUP($B60&amp;N$5,'Mark Leave'!$A$1:$E$1841,5,0),"")</f>
        <v/>
      </c>
      <c r="O60" s="39" t="str">
        <f>IFERROR(VLOOKUP($B60&amp;O$5,'Mark Leave'!$A$1:$E$1841,5,0),"")</f>
        <v/>
      </c>
      <c r="P60" s="39" t="str">
        <f>IFERROR(VLOOKUP($B60&amp;P$5,'Mark Leave'!$A$1:$E$1841,5,0),"")</f>
        <v/>
      </c>
      <c r="Q60" s="39" t="str">
        <f>IFERROR(VLOOKUP($B60&amp;Q$5,'Mark Leave'!$A$1:$E$1841,5,0),"")</f>
        <v/>
      </c>
      <c r="R60" s="39" t="str">
        <f>IFERROR(VLOOKUP($B60&amp;R$5,'Mark Leave'!$A$1:$E$1841,5,0),"")</f>
        <v/>
      </c>
      <c r="S60" s="39" t="str">
        <f>IFERROR(VLOOKUP($B60&amp;S$5,'Mark Leave'!$A$1:$E$1841,5,0),"")</f>
        <v/>
      </c>
      <c r="T60" s="39" t="str">
        <f>IFERROR(VLOOKUP($B60&amp;T$5,'Mark Leave'!$A$1:$E$1841,5,0),"")</f>
        <v/>
      </c>
      <c r="U60" s="39" t="str">
        <f>IFERROR(VLOOKUP($B60&amp;U$5,'Mark Leave'!$A$1:$E$1841,5,0),"")</f>
        <v/>
      </c>
      <c r="V60" s="39" t="str">
        <f>IFERROR(VLOOKUP($B60&amp;V$5,'Mark Leave'!$A$1:$E$1841,5,0),"")</f>
        <v/>
      </c>
      <c r="W60" s="39" t="str">
        <f>IFERROR(VLOOKUP($B60&amp;W$5,'Mark Leave'!$A$1:$E$1841,5,0),"")</f>
        <v/>
      </c>
      <c r="X60" s="39" t="str">
        <f>IFERROR(VLOOKUP($B60&amp;X$5,'Mark Leave'!$A$1:$E$1841,5,0),"")</f>
        <v/>
      </c>
      <c r="Y60" s="39" t="str">
        <f>IFERROR(VLOOKUP($B60&amp;Y$5,'Mark Leave'!$A$1:$E$1841,5,0),"")</f>
        <v/>
      </c>
      <c r="Z60" s="39" t="str">
        <f>IFERROR(VLOOKUP($B60&amp;Z$5,'Mark Leave'!$A$1:$E$1841,5,0),"")</f>
        <v/>
      </c>
      <c r="AA60" s="39" t="str">
        <f>IFERROR(VLOOKUP($B60&amp;AA$5,'Mark Leave'!$A$1:$E$1841,5,0),"")</f>
        <v/>
      </c>
      <c r="AB60" s="39" t="str">
        <f>IFERROR(VLOOKUP($B60&amp;AB$5,'Mark Leave'!$A$1:$E$1841,5,0),"")</f>
        <v/>
      </c>
      <c r="AC60" s="39" t="str">
        <f>IFERROR(VLOOKUP($B60&amp;AC$5,'Mark Leave'!$A$1:$E$1841,5,0),"")</f>
        <v/>
      </c>
      <c r="AD60" s="39" t="str">
        <f>IFERROR(VLOOKUP($B60&amp;AD$5,'Mark Leave'!$A$1:$E$1841,5,0),"")</f>
        <v/>
      </c>
      <c r="AE60" s="39" t="str">
        <f>IFERROR(VLOOKUP($B60&amp;AE$5,'Mark Leave'!$A$1:$E$1841,5,0),"")</f>
        <v/>
      </c>
      <c r="AF60" s="39" t="str">
        <f>IFERROR(VLOOKUP($B60&amp;AF$5,'Mark Leave'!$A$1:$E$1841,5,0),"")</f>
        <v/>
      </c>
      <c r="AG60" s="39" t="str">
        <f>IFERROR(VLOOKUP($B60&amp;AG$5,'Mark Leave'!$A$1:$E$1841,5,0),"")</f>
        <v/>
      </c>
      <c r="AH60" s="39">
        <f>IFERROR(VLOOKUP($B60&amp;AH$5,'Mark Leave'!$A$1:$E$1841,5,0),"")</f>
        <v>0</v>
      </c>
      <c r="AI60" s="98" t="str">
        <f>IF($B60&lt;&gt;"",COUNTIF($D60:$AH60,'Setting '!$H$2),"")</f>
        <v/>
      </c>
      <c r="AJ60" s="98" t="str">
        <f>IF($B60&lt;&gt;"",COUNTIF($D60:$AH60,'Setting '!$H$3)/2,"")</f>
        <v/>
      </c>
      <c r="AK60" s="98" t="str">
        <f>IF($B60&lt;&gt;"",COUNTIF($D60:$AH60,'Setting '!$H$4),"")</f>
        <v/>
      </c>
      <c r="AL60" s="98" t="str">
        <f t="shared" si="13"/>
        <v/>
      </c>
      <c r="AM60" s="117" t="str">
        <f>IF(B60&lt;&gt;"",_xlfn.IFNA(VLOOKUP(B60,'Leave Credit Sheet'!B60:K153,10,0),""),"")</f>
        <v/>
      </c>
      <c r="AN60" s="98" t="str">
        <f t="shared" si="17"/>
        <v/>
      </c>
      <c r="AO60" s="106" t="str">
        <f>IF(B60&lt;&gt;"",_xlfn.IFNA(INDEX('CTC Sheet'!$C$6:$N$101,MATCH(AttendanceSheet!$B60,'CTC Sheet'!$A$6:$A$101,0),MATCH(AttendanceSheet!$T$1,'CTC Sheet'!$C$5:$N$5,0)),0),"")</f>
        <v/>
      </c>
      <c r="AP60" s="106" t="str">
        <f>IF(B60&lt;&gt;"",_xlfn.IFNA(INDEX('CTC Sheet'!$R$6:$AC$100,MATCH(AttendanceSheet!$B60,'CTC Sheet'!$P$6:$P$100,0),MATCH(AttendanceSheet!$T$1,'CTC Sheet'!$R$5:$AC$5,0)),0),"")</f>
        <v/>
      </c>
      <c r="AQ60" s="106" t="str">
        <f t="shared" si="18"/>
        <v/>
      </c>
      <c r="AR60" s="106" t="str">
        <f t="shared" si="19"/>
        <v/>
      </c>
      <c r="AS60" s="106" t="str">
        <f t="shared" si="20"/>
        <v/>
      </c>
      <c r="AT60" s="106" t="str">
        <f t="shared" si="21"/>
        <v/>
      </c>
      <c r="AU60" s="106" t="str">
        <f t="shared" si="22"/>
        <v/>
      </c>
      <c r="AV60" s="106" t="str">
        <f t="shared" si="23"/>
        <v/>
      </c>
      <c r="AW60" s="106" t="str">
        <f>IF(B60&lt;&gt;"",_xlfn.IFNA(INDEX('OtherArrear payment'!$A$1:$N$95,MATCH(AttendanceSheet!$B60,'OtherArrear payment'!$A$1:$A$95,0),MATCH(AttendanceSheet!$T$1,'OtherArrear payment'!$A$1:$N$1,0)),0),"")</f>
        <v/>
      </c>
      <c r="AX60" s="106" t="str">
        <f t="shared" si="14"/>
        <v/>
      </c>
      <c r="AY60" s="106">
        <f t="shared" si="24"/>
        <v>0</v>
      </c>
      <c r="AZ60" s="106">
        <f t="shared" si="25"/>
        <v>0</v>
      </c>
      <c r="BA60" s="106">
        <f t="shared" si="26"/>
        <v>0</v>
      </c>
      <c r="BB60" s="106">
        <f t="shared" si="27"/>
        <v>0</v>
      </c>
      <c r="BC60" s="106" t="str">
        <f>IF($B60&lt;&gt;"",IF(BL60="Yes",IF($BI60="Mr.",IF($AX60&lt;=7500,0,IF(AND($AX60&lt;10000,$AX60&gt;7501),175,IF(AND($AX60&gt;10000,'Setting '!$G$28&lt;&gt;11),200,300))),IF(AND($AX60&lt;=10000,$BI60="Ms."),0,IF(AND($AX60&gt;10000,'Setting '!$G$28&lt;&gt;11),200,300))),0),"")</f>
        <v/>
      </c>
      <c r="BD60" s="42"/>
      <c r="BE60" s="212" t="str">
        <f>IF($B60&lt;&gt;"",IF('Advance Sheet'!AF57&gt;=0,INDEX('Advance Sheet'!$Q$3:$AD$100,MATCH(AttendanceSheet!$B60,'Advance Sheet'!$Q$3:$Q$100,0),MATCH(AttendanceSheet!$T$1,'Advance Sheet'!$Q$3:$AD$3,)),0),"")</f>
        <v/>
      </c>
      <c r="BF60" s="137" t="str">
        <f t="shared" si="15"/>
        <v/>
      </c>
      <c r="BG60" s="97" t="str">
        <f>IF(B60&lt;&gt;"",VLOOKUP(B60,'Employee Details'!A59:S142,17,0),"")</f>
        <v/>
      </c>
      <c r="BH60" s="97" t="str">
        <f>IF(B60&lt;&gt;"",VLOOKUP(B60,'Employee Details'!A59:S142,18,0),"")</f>
        <v/>
      </c>
      <c r="BI60" s="40" t="str">
        <f>IF(B60&lt;&gt;"",VLOOKUP(B60,'Employee Details'!A58:S141,19,0),"")</f>
        <v/>
      </c>
      <c r="BJ60" s="38" t="str">
        <f>IF(B60&lt;&gt;"",VLOOKUP(B60,'Employee Details'!A59:D98,4,0),"")</f>
        <v/>
      </c>
      <c r="BK60" s="38" t="str">
        <f>IF(B60&lt;&gt;"",VLOOKUP(B60,'Employee Details'!A59:E142,5,0),"")</f>
        <v/>
      </c>
      <c r="BL60" s="210" t="str">
        <f>IF(B60&lt;&gt;"",VLOOKUP(B60,'Employee Details'!A59:U142,21,0),"")</f>
        <v/>
      </c>
    </row>
    <row r="61" spans="2:64" ht="16.5" thickTop="1" thickBot="1" x14ac:dyDescent="0.3">
      <c r="B61" s="37" t="str">
        <f>_xlfn.IFNA(INDEX('Employee Details'!$A$7:$A64,MATCH(AttendanceSheet!$C61,'Employee Details'!$B$7:$B70,0)),"")</f>
        <v/>
      </c>
      <c r="C61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'!$J$1:J55))),"")</f>
        <v/>
      </c>
      <c r="D61" s="39" t="str">
        <f>IFERROR(VLOOKUP($B61&amp;D$5,'Mark Leave'!$A$1:$E$1841,5,0),"")</f>
        <v/>
      </c>
      <c r="E61" s="39" t="str">
        <f>IFERROR(VLOOKUP($B61&amp;E$5,'Mark Leave'!$A$1:$E$1841,5,0),"")</f>
        <v/>
      </c>
      <c r="F61" s="39" t="str">
        <f>IFERROR(VLOOKUP($B61&amp;F$5,'Mark Leave'!$A$1:$E$1841,5,0),"")</f>
        <v/>
      </c>
      <c r="G61" s="39" t="str">
        <f>IFERROR(VLOOKUP($B61&amp;G$5,'Mark Leave'!$A$1:$E$1841,5,0),"")</f>
        <v/>
      </c>
      <c r="H61" s="39" t="str">
        <f>IFERROR(VLOOKUP($B61&amp;H$5,'Mark Leave'!$A$1:$E$1841,5,0),"")</f>
        <v/>
      </c>
      <c r="I61" s="39" t="str">
        <f>IFERROR(VLOOKUP($B61&amp;I$5,'Mark Leave'!$A$1:$E$1841,5,0),"")</f>
        <v/>
      </c>
      <c r="J61" s="39" t="str">
        <f>IFERROR(VLOOKUP($B61&amp;J$5,'Mark Leave'!$A$1:$E$1841,5,0),"")</f>
        <v/>
      </c>
      <c r="K61" s="39" t="str">
        <f>IFERROR(VLOOKUP($B61&amp;K$5,'Mark Leave'!$A$1:$E$1841,5,0),"")</f>
        <v/>
      </c>
      <c r="L61" s="39" t="str">
        <f>IFERROR(VLOOKUP($B61&amp;L$5,'Mark Leave'!$A$1:$E$1841,5,0),"")</f>
        <v/>
      </c>
      <c r="M61" s="39" t="str">
        <f>IFERROR(VLOOKUP($B61&amp;M$5,'Mark Leave'!$A$1:$E$1841,5,0),"")</f>
        <v/>
      </c>
      <c r="N61" s="39" t="str">
        <f>IFERROR(VLOOKUP($B61&amp;N$5,'Mark Leave'!$A$1:$E$1841,5,0),"")</f>
        <v/>
      </c>
      <c r="O61" s="39" t="str">
        <f>IFERROR(VLOOKUP($B61&amp;O$5,'Mark Leave'!$A$1:$E$1841,5,0),"")</f>
        <v/>
      </c>
      <c r="P61" s="39" t="str">
        <f>IFERROR(VLOOKUP($B61&amp;P$5,'Mark Leave'!$A$1:$E$1841,5,0),"")</f>
        <v/>
      </c>
      <c r="Q61" s="39" t="str">
        <f>IFERROR(VLOOKUP($B61&amp;Q$5,'Mark Leave'!$A$1:$E$1841,5,0),"")</f>
        <v/>
      </c>
      <c r="R61" s="39" t="str">
        <f>IFERROR(VLOOKUP($B61&amp;R$5,'Mark Leave'!$A$1:$E$1841,5,0),"")</f>
        <v/>
      </c>
      <c r="S61" s="39" t="str">
        <f>IFERROR(VLOOKUP($B61&amp;S$5,'Mark Leave'!$A$1:$E$1841,5,0),"")</f>
        <v/>
      </c>
      <c r="T61" s="39" t="str">
        <f>IFERROR(VLOOKUP($B61&amp;T$5,'Mark Leave'!$A$1:$E$1841,5,0),"")</f>
        <v/>
      </c>
      <c r="U61" s="39" t="str">
        <f>IFERROR(VLOOKUP($B61&amp;U$5,'Mark Leave'!$A$1:$E$1841,5,0),"")</f>
        <v/>
      </c>
      <c r="V61" s="39" t="str">
        <f>IFERROR(VLOOKUP($B61&amp;V$5,'Mark Leave'!$A$1:$E$1841,5,0),"")</f>
        <v/>
      </c>
      <c r="W61" s="39" t="str">
        <f>IFERROR(VLOOKUP($B61&amp;W$5,'Mark Leave'!$A$1:$E$1841,5,0),"")</f>
        <v/>
      </c>
      <c r="X61" s="39" t="str">
        <f>IFERROR(VLOOKUP($B61&amp;X$5,'Mark Leave'!$A$1:$E$1841,5,0),"")</f>
        <v/>
      </c>
      <c r="Y61" s="39" t="str">
        <f>IFERROR(VLOOKUP($B61&amp;Y$5,'Mark Leave'!$A$1:$E$1841,5,0),"")</f>
        <v/>
      </c>
      <c r="Z61" s="39" t="str">
        <f>IFERROR(VLOOKUP($B61&amp;Z$5,'Mark Leave'!$A$1:$E$1841,5,0),"")</f>
        <v/>
      </c>
      <c r="AA61" s="39" t="str">
        <f>IFERROR(VLOOKUP($B61&amp;AA$5,'Mark Leave'!$A$1:$E$1841,5,0),"")</f>
        <v/>
      </c>
      <c r="AB61" s="39" t="str">
        <f>IFERROR(VLOOKUP($B61&amp;AB$5,'Mark Leave'!$A$1:$E$1841,5,0),"")</f>
        <v/>
      </c>
      <c r="AC61" s="39" t="str">
        <f>IFERROR(VLOOKUP($B61&amp;AC$5,'Mark Leave'!$A$1:$E$1841,5,0),"")</f>
        <v/>
      </c>
      <c r="AD61" s="39" t="str">
        <f>IFERROR(VLOOKUP($B61&amp;AD$5,'Mark Leave'!$A$1:$E$1841,5,0),"")</f>
        <v/>
      </c>
      <c r="AE61" s="39" t="str">
        <f>IFERROR(VLOOKUP($B61&amp;AE$5,'Mark Leave'!$A$1:$E$1841,5,0),"")</f>
        <v/>
      </c>
      <c r="AF61" s="39" t="str">
        <f>IFERROR(VLOOKUP($B61&amp;AF$5,'Mark Leave'!$A$1:$E$1841,5,0),"")</f>
        <v/>
      </c>
      <c r="AG61" s="39" t="str">
        <f>IFERROR(VLOOKUP($B61&amp;AG$5,'Mark Leave'!$A$1:$E$1841,5,0),"")</f>
        <v/>
      </c>
      <c r="AH61" s="39">
        <f>IFERROR(VLOOKUP($B61&amp;AH$5,'Mark Leave'!$A$1:$E$1841,5,0),"")</f>
        <v>0</v>
      </c>
      <c r="AI61" s="98" t="str">
        <f>IF($B61&lt;&gt;"",COUNTIF($D61:$AH61,'Setting '!$H$2),"")</f>
        <v/>
      </c>
      <c r="AJ61" s="98" t="str">
        <f>IF($B61&lt;&gt;"",COUNTIF($D61:$AH61,'Setting '!$H$3)/2,"")</f>
        <v/>
      </c>
      <c r="AK61" s="98" t="str">
        <f>IF($B61&lt;&gt;"",COUNTIF($D61:$AH61,'Setting '!$H$4),"")</f>
        <v/>
      </c>
      <c r="AL61" s="98" t="str">
        <f t="shared" si="13"/>
        <v/>
      </c>
      <c r="AM61" s="117" t="str">
        <f>IF(B61&lt;&gt;"",_xlfn.IFNA(VLOOKUP(B61,'Leave Credit Sheet'!B61:K154,10,0),""),"")</f>
        <v/>
      </c>
      <c r="AN61" s="98" t="str">
        <f t="shared" si="17"/>
        <v/>
      </c>
      <c r="AO61" s="106" t="str">
        <f>IF(B61&lt;&gt;"",_xlfn.IFNA(INDEX('CTC Sheet'!$C$6:$N$101,MATCH(AttendanceSheet!$B61,'CTC Sheet'!$A$6:$A$101,0),MATCH(AttendanceSheet!$T$1,'CTC Sheet'!$C$5:$N$5,0)),0),"")</f>
        <v/>
      </c>
      <c r="AP61" s="106" t="str">
        <f>IF(B61&lt;&gt;"",_xlfn.IFNA(INDEX('CTC Sheet'!$R$6:$AC$100,MATCH(AttendanceSheet!$B61,'CTC Sheet'!$P$6:$P$100,0),MATCH(AttendanceSheet!$T$1,'CTC Sheet'!$R$5:$AC$5,0)),0),"")</f>
        <v/>
      </c>
      <c r="AQ61" s="106" t="str">
        <f t="shared" si="18"/>
        <v/>
      </c>
      <c r="AR61" s="106" t="str">
        <f t="shared" si="19"/>
        <v/>
      </c>
      <c r="AS61" s="106" t="str">
        <f t="shared" si="20"/>
        <v/>
      </c>
      <c r="AT61" s="106" t="str">
        <f t="shared" si="21"/>
        <v/>
      </c>
      <c r="AU61" s="106" t="str">
        <f t="shared" si="22"/>
        <v/>
      </c>
      <c r="AV61" s="106" t="str">
        <f t="shared" si="23"/>
        <v/>
      </c>
      <c r="AW61" s="106" t="str">
        <f>IF(B61&lt;&gt;"",_xlfn.IFNA(INDEX('OtherArrear payment'!$A$1:$N$95,MATCH(AttendanceSheet!$B61,'OtherArrear payment'!$A$1:$A$95,0),MATCH(AttendanceSheet!$T$1,'OtherArrear payment'!$A$1:$N$1,0)),0),"")</f>
        <v/>
      </c>
      <c r="AX61" s="106" t="str">
        <f t="shared" si="14"/>
        <v/>
      </c>
      <c r="AY61" s="106">
        <f t="shared" si="24"/>
        <v>0</v>
      </c>
      <c r="AZ61" s="106">
        <f t="shared" si="25"/>
        <v>0</v>
      </c>
      <c r="BA61" s="106">
        <f t="shared" si="26"/>
        <v>0</v>
      </c>
      <c r="BB61" s="106">
        <f t="shared" si="27"/>
        <v>0</v>
      </c>
      <c r="BC61" s="106" t="str">
        <f>IF($B61&lt;&gt;"",IF(BL61="Yes",IF($BI61="Mr.",IF($AX61&lt;=7500,0,IF(AND($AX61&lt;10000,$AX61&gt;7501),175,IF(AND($AX61&gt;10000,'Setting '!$G$28&lt;&gt;11),200,300))),IF(AND($AX61&lt;=10000,$BI61="Ms."),0,IF(AND($AX61&gt;10000,'Setting '!$G$28&lt;&gt;11),200,300))),0),"")</f>
        <v/>
      </c>
      <c r="BD61" s="42"/>
      <c r="BE61" s="212" t="str">
        <f>IF($B61&lt;&gt;"",IF('Advance Sheet'!AF58&gt;=0,INDEX('Advance Sheet'!$Q$3:$AD$100,MATCH(AttendanceSheet!$B61,'Advance Sheet'!$Q$3:$Q$100,0),MATCH(AttendanceSheet!$T$1,'Advance Sheet'!$Q$3:$AD$3,)),0),"")</f>
        <v/>
      </c>
      <c r="BF61" s="137" t="str">
        <f t="shared" si="15"/>
        <v/>
      </c>
      <c r="BG61" s="97" t="str">
        <f>IF(B61&lt;&gt;"",VLOOKUP(B61,'Employee Details'!A60:S143,17,0),"")</f>
        <v/>
      </c>
      <c r="BH61" s="97" t="str">
        <f>IF(B61&lt;&gt;"",VLOOKUP(B61,'Employee Details'!A60:S143,18,0),"")</f>
        <v/>
      </c>
      <c r="BI61" s="40" t="str">
        <f>IF(B61&lt;&gt;"",VLOOKUP(B61,'Employee Details'!A59:S142,19,0),"")</f>
        <v/>
      </c>
      <c r="BJ61" s="38" t="str">
        <f>IF(B61&lt;&gt;"",VLOOKUP(B61,'Employee Details'!A60:D99,4,0),"")</f>
        <v/>
      </c>
      <c r="BK61" s="38" t="str">
        <f>IF(B61&lt;&gt;"",VLOOKUP(B61,'Employee Details'!A60:E143,5,0),"")</f>
        <v/>
      </c>
      <c r="BL61" s="210" t="str">
        <f>IF(B61&lt;&gt;"",VLOOKUP(B61,'Employee Details'!A60:U143,21,0),"")</f>
        <v/>
      </c>
    </row>
    <row r="62" spans="2:64" ht="16.5" thickTop="1" thickBot="1" x14ac:dyDescent="0.3">
      <c r="B62" s="37" t="str">
        <f>_xlfn.IFNA(INDEX('Employee Details'!$A$7:$A65,MATCH(AttendanceSheet!$C62,'Employee Details'!$B$7:$B71,0)),"")</f>
        <v/>
      </c>
      <c r="C62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'!$J$1:J56))),"")</f>
        <v/>
      </c>
      <c r="D62" s="39" t="str">
        <f>IFERROR(VLOOKUP($B62&amp;D$5,'Mark Leave'!$A$1:$E$1841,5,0),"")</f>
        <v/>
      </c>
      <c r="E62" s="39" t="str">
        <f>IFERROR(VLOOKUP($B62&amp;E$5,'Mark Leave'!$A$1:$E$1841,5,0),"")</f>
        <v/>
      </c>
      <c r="F62" s="39" t="str">
        <f>IFERROR(VLOOKUP($B62&amp;F$5,'Mark Leave'!$A$1:$E$1841,5,0),"")</f>
        <v/>
      </c>
      <c r="G62" s="39" t="str">
        <f>IFERROR(VLOOKUP($B62&amp;G$5,'Mark Leave'!$A$1:$E$1841,5,0),"")</f>
        <v/>
      </c>
      <c r="H62" s="39" t="str">
        <f>IFERROR(VLOOKUP($B62&amp;H$5,'Mark Leave'!$A$1:$E$1841,5,0),"")</f>
        <v/>
      </c>
      <c r="I62" s="39" t="str">
        <f>IFERROR(VLOOKUP($B62&amp;I$5,'Mark Leave'!$A$1:$E$1841,5,0),"")</f>
        <v/>
      </c>
      <c r="J62" s="39" t="str">
        <f>IFERROR(VLOOKUP($B62&amp;J$5,'Mark Leave'!$A$1:$E$1841,5,0),"")</f>
        <v/>
      </c>
      <c r="K62" s="39" t="str">
        <f>IFERROR(VLOOKUP($B62&amp;K$5,'Mark Leave'!$A$1:$E$1841,5,0),"")</f>
        <v/>
      </c>
      <c r="L62" s="39" t="str">
        <f>IFERROR(VLOOKUP($B62&amp;L$5,'Mark Leave'!$A$1:$E$1841,5,0),"")</f>
        <v/>
      </c>
      <c r="M62" s="39" t="str">
        <f>IFERROR(VLOOKUP($B62&amp;M$5,'Mark Leave'!$A$1:$E$1841,5,0),"")</f>
        <v/>
      </c>
      <c r="N62" s="39" t="str">
        <f>IFERROR(VLOOKUP($B62&amp;N$5,'Mark Leave'!$A$1:$E$1841,5,0),"")</f>
        <v/>
      </c>
      <c r="O62" s="39" t="str">
        <f>IFERROR(VLOOKUP($B62&amp;O$5,'Mark Leave'!$A$1:$E$1841,5,0),"")</f>
        <v/>
      </c>
      <c r="P62" s="39" t="str">
        <f>IFERROR(VLOOKUP($B62&amp;P$5,'Mark Leave'!$A$1:$E$1841,5,0),"")</f>
        <v/>
      </c>
      <c r="Q62" s="39" t="str">
        <f>IFERROR(VLOOKUP($B62&amp;Q$5,'Mark Leave'!$A$1:$E$1841,5,0),"")</f>
        <v/>
      </c>
      <c r="R62" s="39" t="str">
        <f>IFERROR(VLOOKUP($B62&amp;R$5,'Mark Leave'!$A$1:$E$1841,5,0),"")</f>
        <v/>
      </c>
      <c r="S62" s="39" t="str">
        <f>IFERROR(VLOOKUP($B62&amp;S$5,'Mark Leave'!$A$1:$E$1841,5,0),"")</f>
        <v/>
      </c>
      <c r="T62" s="39" t="str">
        <f>IFERROR(VLOOKUP($B62&amp;T$5,'Mark Leave'!$A$1:$E$1841,5,0),"")</f>
        <v/>
      </c>
      <c r="U62" s="39" t="str">
        <f>IFERROR(VLOOKUP($B62&amp;U$5,'Mark Leave'!$A$1:$E$1841,5,0),"")</f>
        <v/>
      </c>
      <c r="V62" s="39" t="str">
        <f>IFERROR(VLOOKUP($B62&amp;V$5,'Mark Leave'!$A$1:$E$1841,5,0),"")</f>
        <v/>
      </c>
      <c r="W62" s="39" t="str">
        <f>IFERROR(VLOOKUP($B62&amp;W$5,'Mark Leave'!$A$1:$E$1841,5,0),"")</f>
        <v/>
      </c>
      <c r="X62" s="39" t="str">
        <f>IFERROR(VLOOKUP($B62&amp;X$5,'Mark Leave'!$A$1:$E$1841,5,0),"")</f>
        <v/>
      </c>
      <c r="Y62" s="39" t="str">
        <f>IFERROR(VLOOKUP($B62&amp;Y$5,'Mark Leave'!$A$1:$E$1841,5,0),"")</f>
        <v/>
      </c>
      <c r="Z62" s="39" t="str">
        <f>IFERROR(VLOOKUP($B62&amp;Z$5,'Mark Leave'!$A$1:$E$1841,5,0),"")</f>
        <v/>
      </c>
      <c r="AA62" s="39" t="str">
        <f>IFERROR(VLOOKUP($B62&amp;AA$5,'Mark Leave'!$A$1:$E$1841,5,0),"")</f>
        <v/>
      </c>
      <c r="AB62" s="39" t="str">
        <f>IFERROR(VLOOKUP($B62&amp;AB$5,'Mark Leave'!$A$1:$E$1841,5,0),"")</f>
        <v/>
      </c>
      <c r="AC62" s="39" t="str">
        <f>IFERROR(VLOOKUP($B62&amp;AC$5,'Mark Leave'!$A$1:$E$1841,5,0),"")</f>
        <v/>
      </c>
      <c r="AD62" s="39" t="str">
        <f>IFERROR(VLOOKUP($B62&amp;AD$5,'Mark Leave'!$A$1:$E$1841,5,0),"")</f>
        <v/>
      </c>
      <c r="AE62" s="39" t="str">
        <f>IFERROR(VLOOKUP($B62&amp;AE$5,'Mark Leave'!$A$1:$E$1841,5,0),"")</f>
        <v/>
      </c>
      <c r="AF62" s="39" t="str">
        <f>IFERROR(VLOOKUP($B62&amp;AF$5,'Mark Leave'!$A$1:$E$1841,5,0),"")</f>
        <v/>
      </c>
      <c r="AG62" s="39" t="str">
        <f>IFERROR(VLOOKUP($B62&amp;AG$5,'Mark Leave'!$A$1:$E$1841,5,0),"")</f>
        <v/>
      </c>
      <c r="AH62" s="39">
        <f>IFERROR(VLOOKUP($B62&amp;AH$5,'Mark Leave'!$A$1:$E$1841,5,0),"")</f>
        <v>0</v>
      </c>
      <c r="AI62" s="98" t="str">
        <f>IF($B62&lt;&gt;"",COUNTIF($D62:$AH62,'Setting '!$H$2),"")</f>
        <v/>
      </c>
      <c r="AJ62" s="98" t="str">
        <f>IF($B62&lt;&gt;"",COUNTIF($D62:$AH62,'Setting '!$H$3)/2,"")</f>
        <v/>
      </c>
      <c r="AK62" s="98" t="str">
        <f>IF($B62&lt;&gt;"",COUNTIF($D62:$AH62,'Setting '!$H$4),"")</f>
        <v/>
      </c>
      <c r="AL62" s="98" t="str">
        <f t="shared" si="13"/>
        <v/>
      </c>
      <c r="AM62" s="117" t="str">
        <f>IF(B62&lt;&gt;"",_xlfn.IFNA(VLOOKUP(B62,'Leave Credit Sheet'!B62:K155,10,0),""),"")</f>
        <v/>
      </c>
      <c r="AN62" s="98" t="str">
        <f t="shared" si="17"/>
        <v/>
      </c>
      <c r="AO62" s="106" t="str">
        <f>IF(B62&lt;&gt;"",_xlfn.IFNA(INDEX('CTC Sheet'!$C$6:$N$101,MATCH(AttendanceSheet!$B62,'CTC Sheet'!$A$6:$A$101,0),MATCH(AttendanceSheet!$T$1,'CTC Sheet'!$C$5:$N$5,0)),0),"")</f>
        <v/>
      </c>
      <c r="AP62" s="106" t="str">
        <f>IF(B62&lt;&gt;"",_xlfn.IFNA(INDEX('CTC Sheet'!$R$6:$AC$100,MATCH(AttendanceSheet!$B62,'CTC Sheet'!$P$6:$P$100,0),MATCH(AttendanceSheet!$T$1,'CTC Sheet'!$R$5:$AC$5,0)),0),"")</f>
        <v/>
      </c>
      <c r="AQ62" s="106" t="str">
        <f t="shared" si="18"/>
        <v/>
      </c>
      <c r="AR62" s="106" t="str">
        <f t="shared" si="19"/>
        <v/>
      </c>
      <c r="AS62" s="106" t="str">
        <f t="shared" si="20"/>
        <v/>
      </c>
      <c r="AT62" s="106" t="str">
        <f t="shared" si="21"/>
        <v/>
      </c>
      <c r="AU62" s="106" t="str">
        <f t="shared" si="22"/>
        <v/>
      </c>
      <c r="AV62" s="106" t="str">
        <f t="shared" si="23"/>
        <v/>
      </c>
      <c r="AW62" s="106" t="str">
        <f>IF(B62&lt;&gt;"",_xlfn.IFNA(INDEX('OtherArrear payment'!$A$1:$N$95,MATCH(AttendanceSheet!$B62,'OtherArrear payment'!$A$1:$A$95,0),MATCH(AttendanceSheet!$T$1,'OtherArrear payment'!$A$1:$N$1,0)),0),"")</f>
        <v/>
      </c>
      <c r="AX62" s="106" t="str">
        <f t="shared" si="14"/>
        <v/>
      </c>
      <c r="AY62" s="106">
        <f t="shared" si="24"/>
        <v>0</v>
      </c>
      <c r="AZ62" s="106">
        <f t="shared" si="25"/>
        <v>0</v>
      </c>
      <c r="BA62" s="106">
        <f t="shared" si="26"/>
        <v>0</v>
      </c>
      <c r="BB62" s="106">
        <f t="shared" si="27"/>
        <v>0</v>
      </c>
      <c r="BC62" s="106" t="str">
        <f>IF($B62&lt;&gt;"",IF(BL62="Yes",IF($BI62="Mr.",IF($AX62&lt;=7500,0,IF(AND($AX62&lt;10000,$AX62&gt;7501),175,IF(AND($AX62&gt;10000,'Setting '!$G$28&lt;&gt;11),200,300))),IF(AND($AX62&lt;=10000,$BI62="Ms."),0,IF(AND($AX62&gt;10000,'Setting '!$G$28&lt;&gt;11),200,300))),0),"")</f>
        <v/>
      </c>
      <c r="BD62" s="42"/>
      <c r="BE62" s="212" t="str">
        <f>IF($B62&lt;&gt;"",IF('Advance Sheet'!AF59&gt;=0,INDEX('Advance Sheet'!$Q$3:$AD$100,MATCH(AttendanceSheet!$B62,'Advance Sheet'!$Q$3:$Q$100,0),MATCH(AttendanceSheet!$T$1,'Advance Sheet'!$Q$3:$AD$3,)),0),"")</f>
        <v/>
      </c>
      <c r="BF62" s="137" t="str">
        <f t="shared" si="15"/>
        <v/>
      </c>
      <c r="BG62" s="97" t="str">
        <f>IF(B62&lt;&gt;"",VLOOKUP(B62,'Employee Details'!A61:S144,17,0),"")</f>
        <v/>
      </c>
      <c r="BH62" s="97" t="str">
        <f>IF(B62&lt;&gt;"",VLOOKUP(B62,'Employee Details'!A61:S144,18,0),"")</f>
        <v/>
      </c>
      <c r="BI62" s="40" t="str">
        <f>IF(B62&lt;&gt;"",VLOOKUP(B62,'Employee Details'!A60:S143,19,0),"")</f>
        <v/>
      </c>
      <c r="BJ62" s="38" t="str">
        <f>IF(B62&lt;&gt;"",VLOOKUP(B62,'Employee Details'!A61:D100,4,0),"")</f>
        <v/>
      </c>
      <c r="BK62" s="38" t="str">
        <f>IF(B62&lt;&gt;"",VLOOKUP(B62,'Employee Details'!A61:E144,5,0),"")</f>
        <v/>
      </c>
      <c r="BL62" s="210" t="str">
        <f>IF(B62&lt;&gt;"",VLOOKUP(B62,'Employee Details'!A61:U144,21,0),"")</f>
        <v/>
      </c>
    </row>
    <row r="63" spans="2:64" ht="16.5" thickTop="1" thickBot="1" x14ac:dyDescent="0.3">
      <c r="B63" s="37" t="str">
        <f>_xlfn.IFNA(INDEX('Employee Details'!$A$7:$A66,MATCH(AttendanceSheet!$C63,'Employee Details'!$B$7:$B72,0)),"")</f>
        <v/>
      </c>
      <c r="C63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'!$J$1:J57))),"")</f>
        <v/>
      </c>
      <c r="D63" s="39" t="str">
        <f>IFERROR(VLOOKUP($B63&amp;D$5,'Mark Leave'!$A$1:$E$1841,5,0),"")</f>
        <v/>
      </c>
      <c r="E63" s="39" t="str">
        <f>IFERROR(VLOOKUP($B63&amp;E$5,'Mark Leave'!$A$1:$E$1841,5,0),"")</f>
        <v/>
      </c>
      <c r="F63" s="39" t="str">
        <f>IFERROR(VLOOKUP($B63&amp;F$5,'Mark Leave'!$A$1:$E$1841,5,0),"")</f>
        <v/>
      </c>
      <c r="G63" s="39" t="str">
        <f>IFERROR(VLOOKUP($B63&amp;G$5,'Mark Leave'!$A$1:$E$1841,5,0),"")</f>
        <v/>
      </c>
      <c r="H63" s="39" t="str">
        <f>IFERROR(VLOOKUP($B63&amp;H$5,'Mark Leave'!$A$1:$E$1841,5,0),"")</f>
        <v/>
      </c>
      <c r="I63" s="39" t="str">
        <f>IFERROR(VLOOKUP($B63&amp;I$5,'Mark Leave'!$A$1:$E$1841,5,0),"")</f>
        <v/>
      </c>
      <c r="J63" s="39" t="str">
        <f>IFERROR(VLOOKUP($B63&amp;J$5,'Mark Leave'!$A$1:$E$1841,5,0),"")</f>
        <v/>
      </c>
      <c r="K63" s="39" t="str">
        <f>IFERROR(VLOOKUP($B63&amp;K$5,'Mark Leave'!$A$1:$E$1841,5,0),"")</f>
        <v/>
      </c>
      <c r="L63" s="39" t="str">
        <f>IFERROR(VLOOKUP($B63&amp;L$5,'Mark Leave'!$A$1:$E$1841,5,0),"")</f>
        <v/>
      </c>
      <c r="M63" s="39" t="str">
        <f>IFERROR(VLOOKUP($B63&amp;M$5,'Mark Leave'!$A$1:$E$1841,5,0),"")</f>
        <v/>
      </c>
      <c r="N63" s="39" t="str">
        <f>IFERROR(VLOOKUP($B63&amp;N$5,'Mark Leave'!$A$1:$E$1841,5,0),"")</f>
        <v/>
      </c>
      <c r="O63" s="39" t="str">
        <f>IFERROR(VLOOKUP($B63&amp;O$5,'Mark Leave'!$A$1:$E$1841,5,0),"")</f>
        <v/>
      </c>
      <c r="P63" s="39" t="str">
        <f>IFERROR(VLOOKUP($B63&amp;P$5,'Mark Leave'!$A$1:$E$1841,5,0),"")</f>
        <v/>
      </c>
      <c r="Q63" s="39" t="str">
        <f>IFERROR(VLOOKUP($B63&amp;Q$5,'Mark Leave'!$A$1:$E$1841,5,0),"")</f>
        <v/>
      </c>
      <c r="R63" s="39" t="str">
        <f>IFERROR(VLOOKUP($B63&amp;R$5,'Mark Leave'!$A$1:$E$1841,5,0),"")</f>
        <v/>
      </c>
      <c r="S63" s="39" t="str">
        <f>IFERROR(VLOOKUP($B63&amp;S$5,'Mark Leave'!$A$1:$E$1841,5,0),"")</f>
        <v/>
      </c>
      <c r="T63" s="39" t="str">
        <f>IFERROR(VLOOKUP($B63&amp;T$5,'Mark Leave'!$A$1:$E$1841,5,0),"")</f>
        <v/>
      </c>
      <c r="U63" s="39" t="str">
        <f>IFERROR(VLOOKUP($B63&amp;U$5,'Mark Leave'!$A$1:$E$1841,5,0),"")</f>
        <v/>
      </c>
      <c r="V63" s="39" t="str">
        <f>IFERROR(VLOOKUP($B63&amp;V$5,'Mark Leave'!$A$1:$E$1841,5,0),"")</f>
        <v/>
      </c>
      <c r="W63" s="39" t="str">
        <f>IFERROR(VLOOKUP($B63&amp;W$5,'Mark Leave'!$A$1:$E$1841,5,0),"")</f>
        <v/>
      </c>
      <c r="X63" s="39" t="str">
        <f>IFERROR(VLOOKUP($B63&amp;X$5,'Mark Leave'!$A$1:$E$1841,5,0),"")</f>
        <v/>
      </c>
      <c r="Y63" s="39" t="str">
        <f>IFERROR(VLOOKUP($B63&amp;Y$5,'Mark Leave'!$A$1:$E$1841,5,0),"")</f>
        <v/>
      </c>
      <c r="Z63" s="39" t="str">
        <f>IFERROR(VLOOKUP($B63&amp;Z$5,'Mark Leave'!$A$1:$E$1841,5,0),"")</f>
        <v/>
      </c>
      <c r="AA63" s="39" t="str">
        <f>IFERROR(VLOOKUP($B63&amp;AA$5,'Mark Leave'!$A$1:$E$1841,5,0),"")</f>
        <v/>
      </c>
      <c r="AB63" s="39" t="str">
        <f>IFERROR(VLOOKUP($B63&amp;AB$5,'Mark Leave'!$A$1:$E$1841,5,0),"")</f>
        <v/>
      </c>
      <c r="AC63" s="39" t="str">
        <f>IFERROR(VLOOKUP($B63&amp;AC$5,'Mark Leave'!$A$1:$E$1841,5,0),"")</f>
        <v/>
      </c>
      <c r="AD63" s="39" t="str">
        <f>IFERROR(VLOOKUP($B63&amp;AD$5,'Mark Leave'!$A$1:$E$1841,5,0),"")</f>
        <v/>
      </c>
      <c r="AE63" s="39" t="str">
        <f>IFERROR(VLOOKUP($B63&amp;AE$5,'Mark Leave'!$A$1:$E$1841,5,0),"")</f>
        <v/>
      </c>
      <c r="AF63" s="39" t="str">
        <f>IFERROR(VLOOKUP($B63&amp;AF$5,'Mark Leave'!$A$1:$E$1841,5,0),"")</f>
        <v/>
      </c>
      <c r="AG63" s="39" t="str">
        <f>IFERROR(VLOOKUP($B63&amp;AG$5,'Mark Leave'!$A$1:$E$1841,5,0),"")</f>
        <v/>
      </c>
      <c r="AH63" s="39">
        <f>IFERROR(VLOOKUP($B63&amp;AH$5,'Mark Leave'!$A$1:$E$1841,5,0),"")</f>
        <v>0</v>
      </c>
      <c r="AI63" s="98" t="str">
        <f>IF($B63&lt;&gt;"",COUNTIF($D63:$AH63,'Setting '!$H$2),"")</f>
        <v/>
      </c>
      <c r="AJ63" s="98" t="str">
        <f>IF($B63&lt;&gt;"",COUNTIF($D63:$AH63,'Setting '!$H$3)/2,"")</f>
        <v/>
      </c>
      <c r="AK63" s="98" t="str">
        <f>IF($B63&lt;&gt;"",COUNTIF($D63:$AH63,'Setting '!$H$4),"")</f>
        <v/>
      </c>
      <c r="AL63" s="98" t="str">
        <f t="shared" si="13"/>
        <v/>
      </c>
      <c r="AM63" s="117" t="str">
        <f>IF(B63&lt;&gt;"",_xlfn.IFNA(VLOOKUP(B63,'Leave Credit Sheet'!B63:K156,10,0),""),"")</f>
        <v/>
      </c>
      <c r="AN63" s="98" t="str">
        <f t="shared" si="17"/>
        <v/>
      </c>
      <c r="AO63" s="106" t="str">
        <f>IF(B63&lt;&gt;"",_xlfn.IFNA(INDEX('CTC Sheet'!$C$6:$N$101,MATCH(AttendanceSheet!$B63,'CTC Sheet'!$A$6:$A$101,0),MATCH(AttendanceSheet!$T$1,'CTC Sheet'!$C$5:$N$5,0)),0),"")</f>
        <v/>
      </c>
      <c r="AP63" s="106" t="str">
        <f>IF(B63&lt;&gt;"",_xlfn.IFNA(INDEX('CTC Sheet'!$R$6:$AC$100,MATCH(AttendanceSheet!$B63,'CTC Sheet'!$P$6:$P$100,0),MATCH(AttendanceSheet!$T$1,'CTC Sheet'!$R$5:$AC$5,0)),0),"")</f>
        <v/>
      </c>
      <c r="AQ63" s="106" t="str">
        <f t="shared" si="18"/>
        <v/>
      </c>
      <c r="AR63" s="106" t="str">
        <f t="shared" si="19"/>
        <v/>
      </c>
      <c r="AS63" s="106" t="str">
        <f t="shared" si="20"/>
        <v/>
      </c>
      <c r="AT63" s="106" t="str">
        <f t="shared" si="21"/>
        <v/>
      </c>
      <c r="AU63" s="106" t="str">
        <f t="shared" si="22"/>
        <v/>
      </c>
      <c r="AV63" s="106" t="str">
        <f t="shared" si="23"/>
        <v/>
      </c>
      <c r="AW63" s="106" t="str">
        <f>IF(B63&lt;&gt;"",_xlfn.IFNA(INDEX('OtherArrear payment'!$A$1:$N$95,MATCH(AttendanceSheet!$B63,'OtherArrear payment'!$A$1:$A$95,0),MATCH(AttendanceSheet!$T$1,'OtherArrear payment'!$A$1:$N$1,0)),0),"")</f>
        <v/>
      </c>
      <c r="AX63" s="106" t="str">
        <f t="shared" si="14"/>
        <v/>
      </c>
      <c r="AY63" s="106">
        <f t="shared" si="24"/>
        <v>0</v>
      </c>
      <c r="AZ63" s="106">
        <f t="shared" si="25"/>
        <v>0</v>
      </c>
      <c r="BA63" s="106">
        <f t="shared" si="26"/>
        <v>0</v>
      </c>
      <c r="BB63" s="106">
        <f t="shared" si="27"/>
        <v>0</v>
      </c>
      <c r="BC63" s="106" t="str">
        <f>IF($B63&lt;&gt;"",IF(BL63="Yes",IF($BI63="Mr.",IF($AX63&lt;=7500,0,IF(AND($AX63&lt;10000,$AX63&gt;7501),175,IF(AND($AX63&gt;10000,'Setting '!$G$28&lt;&gt;11),200,300))),IF(AND($AX63&lt;=10000,$BI63="Ms."),0,IF(AND($AX63&gt;10000,'Setting '!$G$28&lt;&gt;11),200,300))),0),"")</f>
        <v/>
      </c>
      <c r="BD63" s="42"/>
      <c r="BE63" s="212" t="str">
        <f>IF($B63&lt;&gt;"",IF('Advance Sheet'!AF60&gt;=0,INDEX('Advance Sheet'!$Q$3:$AD$100,MATCH(AttendanceSheet!$B63,'Advance Sheet'!$Q$3:$Q$100,0),MATCH(AttendanceSheet!$T$1,'Advance Sheet'!$Q$3:$AD$3,)),0),"")</f>
        <v/>
      </c>
      <c r="BF63" s="137" t="str">
        <f t="shared" si="15"/>
        <v/>
      </c>
      <c r="BG63" s="97" t="str">
        <f>IF(B63&lt;&gt;"",VLOOKUP(B63,'Employee Details'!A62:S145,17,0),"")</f>
        <v/>
      </c>
      <c r="BH63" s="97" t="str">
        <f>IF(B63&lt;&gt;"",VLOOKUP(B63,'Employee Details'!A62:S145,18,0),"")</f>
        <v/>
      </c>
      <c r="BI63" s="40" t="str">
        <f>IF(B63&lt;&gt;"",VLOOKUP(B63,'Employee Details'!A61:S144,19,0),"")</f>
        <v/>
      </c>
      <c r="BJ63" s="38" t="str">
        <f>IF(B63&lt;&gt;"",VLOOKUP(B63,'Employee Details'!A62:D100,4,0),"")</f>
        <v/>
      </c>
      <c r="BK63" s="38" t="str">
        <f>IF(B63&lt;&gt;"",VLOOKUP(B63,'Employee Details'!A62:E145,5,0),"")</f>
        <v/>
      </c>
      <c r="BL63" s="210" t="str">
        <f>IF(B63&lt;&gt;"",VLOOKUP(B63,'Employee Details'!A62:U145,21,0),"")</f>
        <v/>
      </c>
    </row>
    <row r="64" spans="2:64" ht="16.5" thickTop="1" thickBot="1" x14ac:dyDescent="0.3">
      <c r="B64" s="37" t="str">
        <f>_xlfn.IFNA(INDEX('Employee Details'!$A$7:$A67,MATCH(AttendanceSheet!$C64,'Employee Details'!$B$7:$B73,0)),"")</f>
        <v/>
      </c>
      <c r="C64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'!$J$1:J58))),"")</f>
        <v/>
      </c>
      <c r="D64" s="39" t="str">
        <f>IFERROR(VLOOKUP($B64&amp;D$5,'Mark Leave'!$A$1:$E$1841,5,0),"")</f>
        <v/>
      </c>
      <c r="E64" s="39" t="str">
        <f>IFERROR(VLOOKUP($B64&amp;E$5,'Mark Leave'!$A$1:$E$1841,5,0),"")</f>
        <v/>
      </c>
      <c r="F64" s="39" t="str">
        <f>IFERROR(VLOOKUP($B64&amp;F$5,'Mark Leave'!$A$1:$E$1841,5,0),"")</f>
        <v/>
      </c>
      <c r="G64" s="39" t="str">
        <f>IFERROR(VLOOKUP($B64&amp;G$5,'Mark Leave'!$A$1:$E$1841,5,0),"")</f>
        <v/>
      </c>
      <c r="H64" s="39" t="str">
        <f>IFERROR(VLOOKUP($B64&amp;H$5,'Mark Leave'!$A$1:$E$1841,5,0),"")</f>
        <v/>
      </c>
      <c r="I64" s="39" t="str">
        <f>IFERROR(VLOOKUP($B64&amp;I$5,'Mark Leave'!$A$1:$E$1841,5,0),"")</f>
        <v/>
      </c>
      <c r="J64" s="39" t="str">
        <f>IFERROR(VLOOKUP($B64&amp;J$5,'Mark Leave'!$A$1:$E$1841,5,0),"")</f>
        <v/>
      </c>
      <c r="K64" s="39" t="str">
        <f>IFERROR(VLOOKUP($B64&amp;K$5,'Mark Leave'!$A$1:$E$1841,5,0),"")</f>
        <v/>
      </c>
      <c r="L64" s="39" t="str">
        <f>IFERROR(VLOOKUP($B64&amp;L$5,'Mark Leave'!$A$1:$E$1841,5,0),"")</f>
        <v/>
      </c>
      <c r="M64" s="39" t="str">
        <f>IFERROR(VLOOKUP($B64&amp;M$5,'Mark Leave'!$A$1:$E$1841,5,0),"")</f>
        <v/>
      </c>
      <c r="N64" s="39" t="str">
        <f>IFERROR(VLOOKUP($B64&amp;N$5,'Mark Leave'!$A$1:$E$1841,5,0),"")</f>
        <v/>
      </c>
      <c r="O64" s="39" t="str">
        <f>IFERROR(VLOOKUP($B64&amp;O$5,'Mark Leave'!$A$1:$E$1841,5,0),"")</f>
        <v/>
      </c>
      <c r="P64" s="39" t="str">
        <f>IFERROR(VLOOKUP($B64&amp;P$5,'Mark Leave'!$A$1:$E$1841,5,0),"")</f>
        <v/>
      </c>
      <c r="Q64" s="39" t="str">
        <f>IFERROR(VLOOKUP($B64&amp;Q$5,'Mark Leave'!$A$1:$E$1841,5,0),"")</f>
        <v/>
      </c>
      <c r="R64" s="39" t="str">
        <f>IFERROR(VLOOKUP($B64&amp;R$5,'Mark Leave'!$A$1:$E$1841,5,0),"")</f>
        <v/>
      </c>
      <c r="S64" s="39" t="str">
        <f>IFERROR(VLOOKUP($B64&amp;S$5,'Mark Leave'!$A$1:$E$1841,5,0),"")</f>
        <v/>
      </c>
      <c r="T64" s="39" t="str">
        <f>IFERROR(VLOOKUP($B64&amp;T$5,'Mark Leave'!$A$1:$E$1841,5,0),"")</f>
        <v/>
      </c>
      <c r="U64" s="39" t="str">
        <f>IFERROR(VLOOKUP($B64&amp;U$5,'Mark Leave'!$A$1:$E$1841,5,0),"")</f>
        <v/>
      </c>
      <c r="V64" s="39" t="str">
        <f>IFERROR(VLOOKUP($B64&amp;V$5,'Mark Leave'!$A$1:$E$1841,5,0),"")</f>
        <v/>
      </c>
      <c r="W64" s="39" t="str">
        <f>IFERROR(VLOOKUP($B64&amp;W$5,'Mark Leave'!$A$1:$E$1841,5,0),"")</f>
        <v/>
      </c>
      <c r="X64" s="39" t="str">
        <f>IFERROR(VLOOKUP($B64&amp;X$5,'Mark Leave'!$A$1:$E$1841,5,0),"")</f>
        <v/>
      </c>
      <c r="Y64" s="39" t="str">
        <f>IFERROR(VLOOKUP($B64&amp;Y$5,'Mark Leave'!$A$1:$E$1841,5,0),"")</f>
        <v/>
      </c>
      <c r="Z64" s="39" t="str">
        <f>IFERROR(VLOOKUP($B64&amp;Z$5,'Mark Leave'!$A$1:$E$1841,5,0),"")</f>
        <v/>
      </c>
      <c r="AA64" s="39" t="str">
        <f>IFERROR(VLOOKUP($B64&amp;AA$5,'Mark Leave'!$A$1:$E$1841,5,0),"")</f>
        <v/>
      </c>
      <c r="AB64" s="39" t="str">
        <f>IFERROR(VLOOKUP($B64&amp;AB$5,'Mark Leave'!$A$1:$E$1841,5,0),"")</f>
        <v/>
      </c>
      <c r="AC64" s="39" t="str">
        <f>IFERROR(VLOOKUP($B64&amp;AC$5,'Mark Leave'!$A$1:$E$1841,5,0),"")</f>
        <v/>
      </c>
      <c r="AD64" s="39" t="str">
        <f>IFERROR(VLOOKUP($B64&amp;AD$5,'Mark Leave'!$A$1:$E$1841,5,0),"")</f>
        <v/>
      </c>
      <c r="AE64" s="39" t="str">
        <f>IFERROR(VLOOKUP($B64&amp;AE$5,'Mark Leave'!$A$1:$E$1841,5,0),"")</f>
        <v/>
      </c>
      <c r="AF64" s="39" t="str">
        <f>IFERROR(VLOOKUP($B64&amp;AF$5,'Mark Leave'!$A$1:$E$1841,5,0),"")</f>
        <v/>
      </c>
      <c r="AG64" s="39" t="str">
        <f>IFERROR(VLOOKUP($B64&amp;AG$5,'Mark Leave'!$A$1:$E$1841,5,0),"")</f>
        <v/>
      </c>
      <c r="AH64" s="39">
        <f>IFERROR(VLOOKUP($B64&amp;AH$5,'Mark Leave'!$A$1:$E$1841,5,0),"")</f>
        <v>0</v>
      </c>
      <c r="AI64" s="98" t="str">
        <f>IF($B64&lt;&gt;"",COUNTIF($D64:$AH64,'Setting '!$H$2),"")</f>
        <v/>
      </c>
      <c r="AJ64" s="98" t="str">
        <f>IF($B64&lt;&gt;"",COUNTIF($D64:$AH64,'Setting '!$H$3)/2,"")</f>
        <v/>
      </c>
      <c r="AK64" s="98" t="str">
        <f>IF($B64&lt;&gt;"",COUNTIF($D64:$AH64,'Setting '!$H$4),"")</f>
        <v/>
      </c>
      <c r="AL64" s="98" t="str">
        <f t="shared" si="13"/>
        <v/>
      </c>
      <c r="AM64" s="117" t="str">
        <f>IF(B64&lt;&gt;"",_xlfn.IFNA(VLOOKUP(B64,'Leave Credit Sheet'!B64:K157,10,0),""),"")</f>
        <v/>
      </c>
      <c r="AN64" s="98" t="str">
        <f t="shared" si="17"/>
        <v/>
      </c>
      <c r="AO64" s="106" t="str">
        <f>IF(B64&lt;&gt;"",_xlfn.IFNA(INDEX('CTC Sheet'!$C$6:$N$101,MATCH(AttendanceSheet!$B64,'CTC Sheet'!$A$6:$A$101,0),MATCH(AttendanceSheet!$T$1,'CTC Sheet'!$C$5:$N$5,0)),0),"")</f>
        <v/>
      </c>
      <c r="AP64" s="106" t="str">
        <f>IF(B64&lt;&gt;"",_xlfn.IFNA(INDEX('CTC Sheet'!$R$6:$AC$100,MATCH(AttendanceSheet!$B64,'CTC Sheet'!$P$6:$P$100,0),MATCH(AttendanceSheet!$T$1,'CTC Sheet'!$R$5:$AC$5,0)),0),"")</f>
        <v/>
      </c>
      <c r="AQ64" s="106" t="str">
        <f t="shared" si="18"/>
        <v/>
      </c>
      <c r="AR64" s="106" t="str">
        <f t="shared" si="19"/>
        <v/>
      </c>
      <c r="AS64" s="106" t="str">
        <f t="shared" si="20"/>
        <v/>
      </c>
      <c r="AT64" s="106" t="str">
        <f t="shared" si="21"/>
        <v/>
      </c>
      <c r="AU64" s="106" t="str">
        <f t="shared" si="22"/>
        <v/>
      </c>
      <c r="AV64" s="106" t="str">
        <f t="shared" si="23"/>
        <v/>
      </c>
      <c r="AW64" s="106" t="str">
        <f>IF(B64&lt;&gt;"",_xlfn.IFNA(INDEX('OtherArrear payment'!$A$1:$N$95,MATCH(AttendanceSheet!$B64,'OtherArrear payment'!$A$1:$A$95,0),MATCH(AttendanceSheet!$T$1,'OtherArrear payment'!$A$1:$N$1,0)),0),"")</f>
        <v/>
      </c>
      <c r="AX64" s="106" t="str">
        <f t="shared" si="14"/>
        <v/>
      </c>
      <c r="AY64" s="106">
        <f t="shared" si="24"/>
        <v>0</v>
      </c>
      <c r="AZ64" s="106">
        <f t="shared" si="25"/>
        <v>0</v>
      </c>
      <c r="BA64" s="106">
        <f t="shared" si="26"/>
        <v>0</v>
      </c>
      <c r="BB64" s="106">
        <f t="shared" si="27"/>
        <v>0</v>
      </c>
      <c r="BC64" s="106" t="str">
        <f>IF($B64&lt;&gt;"",IF(BL64="Yes",IF($BI64="Mr.",IF($AX64&lt;=7500,0,IF(AND($AX64&lt;10000,$AX64&gt;7501),175,IF(AND($AX64&gt;10000,'Setting '!$G$28&lt;&gt;11),200,300))),IF(AND($AX64&lt;=10000,$BI64="Ms."),0,IF(AND($AX64&gt;10000,'Setting '!$G$28&lt;&gt;11),200,300))),0),"")</f>
        <v/>
      </c>
      <c r="BD64" s="42"/>
      <c r="BE64" s="212" t="str">
        <f>IF($B64&lt;&gt;"",IF('Advance Sheet'!AF61&gt;=0,INDEX('Advance Sheet'!$Q$3:$AD$100,MATCH(AttendanceSheet!$B64,'Advance Sheet'!$Q$3:$Q$100,0),MATCH(AttendanceSheet!$T$1,'Advance Sheet'!$Q$3:$AD$3,)),0),"")</f>
        <v/>
      </c>
      <c r="BF64" s="137" t="str">
        <f t="shared" si="15"/>
        <v/>
      </c>
      <c r="BG64" s="97" t="str">
        <f>IF(B64&lt;&gt;"",VLOOKUP(B64,'Employee Details'!A63:S146,17,0),"")</f>
        <v/>
      </c>
      <c r="BH64" s="97" t="str">
        <f>IF(B64&lt;&gt;"",VLOOKUP(B64,'Employee Details'!A63:S146,18,0),"")</f>
        <v/>
      </c>
      <c r="BI64" s="40" t="str">
        <f>IF(B64&lt;&gt;"",VLOOKUP(B64,'Employee Details'!A62:S145,19,0),"")</f>
        <v/>
      </c>
      <c r="BJ64" s="38" t="str">
        <f>IF(B64&lt;&gt;"",VLOOKUP(B64,'Employee Details'!A63:D100,4,0),"")</f>
        <v/>
      </c>
      <c r="BK64" s="38" t="str">
        <f>IF(B64&lt;&gt;"",VLOOKUP(B64,'Employee Details'!A63:E146,5,0),"")</f>
        <v/>
      </c>
      <c r="BL64" s="210" t="str">
        <f>IF(B64&lt;&gt;"",VLOOKUP(B64,'Employee Details'!A63:U146,21,0),"")</f>
        <v/>
      </c>
    </row>
    <row r="65" spans="2:64" ht="16.5" thickTop="1" thickBot="1" x14ac:dyDescent="0.3">
      <c r="B65" s="37" t="str">
        <f>_xlfn.IFNA(INDEX('Employee Details'!$A$7:$A68,MATCH(AttendanceSheet!$C65,'Employee Details'!$B$7:$B74,0)),"")</f>
        <v/>
      </c>
      <c r="C65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'!$J$1:J59))),"")</f>
        <v/>
      </c>
      <c r="D65" s="39" t="str">
        <f>IFERROR(VLOOKUP($B65&amp;D$5,'Mark Leave'!$A$1:$E$1841,5,0),"")</f>
        <v/>
      </c>
      <c r="E65" s="39" t="str">
        <f>IFERROR(VLOOKUP($B65&amp;E$5,'Mark Leave'!$A$1:$E$1841,5,0),"")</f>
        <v/>
      </c>
      <c r="F65" s="39" t="str">
        <f>IFERROR(VLOOKUP($B65&amp;F$5,'Mark Leave'!$A$1:$E$1841,5,0),"")</f>
        <v/>
      </c>
      <c r="G65" s="39" t="str">
        <f>IFERROR(VLOOKUP($B65&amp;G$5,'Mark Leave'!$A$1:$E$1841,5,0),"")</f>
        <v/>
      </c>
      <c r="H65" s="39" t="str">
        <f>IFERROR(VLOOKUP($B65&amp;H$5,'Mark Leave'!$A$1:$E$1841,5,0),"")</f>
        <v/>
      </c>
      <c r="I65" s="39" t="str">
        <f>IFERROR(VLOOKUP($B65&amp;I$5,'Mark Leave'!$A$1:$E$1841,5,0),"")</f>
        <v/>
      </c>
      <c r="J65" s="39" t="str">
        <f>IFERROR(VLOOKUP($B65&amp;J$5,'Mark Leave'!$A$1:$E$1841,5,0),"")</f>
        <v/>
      </c>
      <c r="K65" s="39" t="str">
        <f>IFERROR(VLOOKUP($B65&amp;K$5,'Mark Leave'!$A$1:$E$1841,5,0),"")</f>
        <v/>
      </c>
      <c r="L65" s="39" t="str">
        <f>IFERROR(VLOOKUP($B65&amp;L$5,'Mark Leave'!$A$1:$E$1841,5,0),"")</f>
        <v/>
      </c>
      <c r="M65" s="39" t="str">
        <f>IFERROR(VLOOKUP($B65&amp;M$5,'Mark Leave'!$A$1:$E$1841,5,0),"")</f>
        <v/>
      </c>
      <c r="N65" s="39" t="str">
        <f>IFERROR(VLOOKUP($B65&amp;N$5,'Mark Leave'!$A$1:$E$1841,5,0),"")</f>
        <v/>
      </c>
      <c r="O65" s="39" t="str">
        <f>IFERROR(VLOOKUP($B65&amp;O$5,'Mark Leave'!$A$1:$E$1841,5,0),"")</f>
        <v/>
      </c>
      <c r="P65" s="39" t="str">
        <f>IFERROR(VLOOKUP($B65&amp;P$5,'Mark Leave'!$A$1:$E$1841,5,0),"")</f>
        <v/>
      </c>
      <c r="Q65" s="39" t="str">
        <f>IFERROR(VLOOKUP($B65&amp;Q$5,'Mark Leave'!$A$1:$E$1841,5,0),"")</f>
        <v/>
      </c>
      <c r="R65" s="39" t="str">
        <f>IFERROR(VLOOKUP($B65&amp;R$5,'Mark Leave'!$A$1:$E$1841,5,0),"")</f>
        <v/>
      </c>
      <c r="S65" s="39" t="str">
        <f>IFERROR(VLOOKUP($B65&amp;S$5,'Mark Leave'!$A$1:$E$1841,5,0),"")</f>
        <v/>
      </c>
      <c r="T65" s="39" t="str">
        <f>IFERROR(VLOOKUP($B65&amp;T$5,'Mark Leave'!$A$1:$E$1841,5,0),"")</f>
        <v/>
      </c>
      <c r="U65" s="39" t="str">
        <f>IFERROR(VLOOKUP($B65&amp;U$5,'Mark Leave'!$A$1:$E$1841,5,0),"")</f>
        <v/>
      </c>
      <c r="V65" s="39" t="str">
        <f>IFERROR(VLOOKUP($B65&amp;V$5,'Mark Leave'!$A$1:$E$1841,5,0),"")</f>
        <v/>
      </c>
      <c r="W65" s="39" t="str">
        <f>IFERROR(VLOOKUP($B65&amp;W$5,'Mark Leave'!$A$1:$E$1841,5,0),"")</f>
        <v/>
      </c>
      <c r="X65" s="39" t="str">
        <f>IFERROR(VLOOKUP($B65&amp;X$5,'Mark Leave'!$A$1:$E$1841,5,0),"")</f>
        <v/>
      </c>
      <c r="Y65" s="39" t="str">
        <f>IFERROR(VLOOKUP($B65&amp;Y$5,'Mark Leave'!$A$1:$E$1841,5,0),"")</f>
        <v/>
      </c>
      <c r="Z65" s="39" t="str">
        <f>IFERROR(VLOOKUP($B65&amp;Z$5,'Mark Leave'!$A$1:$E$1841,5,0),"")</f>
        <v/>
      </c>
      <c r="AA65" s="39" t="str">
        <f>IFERROR(VLOOKUP($B65&amp;AA$5,'Mark Leave'!$A$1:$E$1841,5,0),"")</f>
        <v/>
      </c>
      <c r="AB65" s="39" t="str">
        <f>IFERROR(VLOOKUP($B65&amp;AB$5,'Mark Leave'!$A$1:$E$1841,5,0),"")</f>
        <v/>
      </c>
      <c r="AC65" s="39" t="str">
        <f>IFERROR(VLOOKUP($B65&amp;AC$5,'Mark Leave'!$A$1:$E$1841,5,0),"")</f>
        <v/>
      </c>
      <c r="AD65" s="39" t="str">
        <f>IFERROR(VLOOKUP($B65&amp;AD$5,'Mark Leave'!$A$1:$E$1841,5,0),"")</f>
        <v/>
      </c>
      <c r="AE65" s="39" t="str">
        <f>IFERROR(VLOOKUP($B65&amp;AE$5,'Mark Leave'!$A$1:$E$1841,5,0),"")</f>
        <v/>
      </c>
      <c r="AF65" s="39" t="str">
        <f>IFERROR(VLOOKUP($B65&amp;AF$5,'Mark Leave'!$A$1:$E$1841,5,0),"")</f>
        <v/>
      </c>
      <c r="AG65" s="39" t="str">
        <f>IFERROR(VLOOKUP($B65&amp;AG$5,'Mark Leave'!$A$1:$E$1841,5,0),"")</f>
        <v/>
      </c>
      <c r="AH65" s="39">
        <f>IFERROR(VLOOKUP($B65&amp;AH$5,'Mark Leave'!$A$1:$E$1841,5,0),"")</f>
        <v>0</v>
      </c>
      <c r="AI65" s="98" t="str">
        <f>IF($B65&lt;&gt;"",COUNTIF($D65:$AH65,'Setting '!$H$2),"")</f>
        <v/>
      </c>
      <c r="AJ65" s="98" t="str">
        <f>IF($B65&lt;&gt;"",COUNTIF($D65:$AH65,'Setting '!$H$3)/2,"")</f>
        <v/>
      </c>
      <c r="AK65" s="98" t="str">
        <f>IF($B65&lt;&gt;"",COUNTIF($D65:$AH65,'Setting '!$H$4),"")</f>
        <v/>
      </c>
      <c r="AL65" s="98" t="str">
        <f t="shared" si="13"/>
        <v/>
      </c>
      <c r="AM65" s="117" t="str">
        <f>IF(B65&lt;&gt;"",_xlfn.IFNA(VLOOKUP(B65,'Leave Credit Sheet'!B65:K158,10,0),""),"")</f>
        <v/>
      </c>
      <c r="AN65" s="98" t="str">
        <f t="shared" si="17"/>
        <v/>
      </c>
      <c r="AO65" s="106" t="str">
        <f>IF(B65&lt;&gt;"",_xlfn.IFNA(INDEX('CTC Sheet'!$C$6:$N$101,MATCH(AttendanceSheet!$B65,'CTC Sheet'!$A$6:$A$101,0),MATCH(AttendanceSheet!$T$1,'CTC Sheet'!$C$5:$N$5,0)),0),"")</f>
        <v/>
      </c>
      <c r="AP65" s="106" t="str">
        <f>IF(B65&lt;&gt;"",_xlfn.IFNA(INDEX('CTC Sheet'!$R$6:$AC$100,MATCH(AttendanceSheet!$B65,'CTC Sheet'!$P$6:$P$100,0),MATCH(AttendanceSheet!$T$1,'CTC Sheet'!$R$5:$AC$5,0)),0),"")</f>
        <v/>
      </c>
      <c r="AQ65" s="106" t="str">
        <f t="shared" si="18"/>
        <v/>
      </c>
      <c r="AR65" s="106" t="str">
        <f t="shared" si="19"/>
        <v/>
      </c>
      <c r="AS65" s="106" t="str">
        <f t="shared" si="20"/>
        <v/>
      </c>
      <c r="AT65" s="106" t="str">
        <f t="shared" si="21"/>
        <v/>
      </c>
      <c r="AU65" s="106" t="str">
        <f t="shared" si="22"/>
        <v/>
      </c>
      <c r="AV65" s="106" t="str">
        <f t="shared" si="23"/>
        <v/>
      </c>
      <c r="AW65" s="106" t="str">
        <f>IF(B65&lt;&gt;"",_xlfn.IFNA(INDEX('OtherArrear payment'!$A$1:$N$95,MATCH(AttendanceSheet!$B65,'OtherArrear payment'!$A$1:$A$95,0),MATCH(AttendanceSheet!$T$1,'OtherArrear payment'!$A$1:$N$1,0)),0),"")</f>
        <v/>
      </c>
      <c r="AX65" s="106" t="str">
        <f t="shared" si="14"/>
        <v/>
      </c>
      <c r="AY65" s="106">
        <f t="shared" si="24"/>
        <v>0</v>
      </c>
      <c r="AZ65" s="106">
        <f t="shared" si="25"/>
        <v>0</v>
      </c>
      <c r="BA65" s="106">
        <f t="shared" si="26"/>
        <v>0</v>
      </c>
      <c r="BB65" s="106">
        <f t="shared" si="27"/>
        <v>0</v>
      </c>
      <c r="BC65" s="106" t="str">
        <f>IF($B65&lt;&gt;"",IF(BL65="Yes",IF($BI65="Mr.",IF($AX65&lt;=7500,0,IF(AND($AX65&lt;10000,$AX65&gt;7501),175,IF(AND($AX65&gt;10000,'Setting '!$G$28&lt;&gt;11),200,300))),IF(AND($AX65&lt;=10000,$BI65="Ms."),0,IF(AND($AX65&gt;10000,'Setting '!$G$28&lt;&gt;11),200,300))),0),"")</f>
        <v/>
      </c>
      <c r="BD65" s="42"/>
      <c r="BE65" s="212" t="str">
        <f>IF($B65&lt;&gt;"",IF('Advance Sheet'!AF62&gt;=0,INDEX('Advance Sheet'!$Q$3:$AD$100,MATCH(AttendanceSheet!$B65,'Advance Sheet'!$Q$3:$Q$100,0),MATCH(AttendanceSheet!$T$1,'Advance Sheet'!$Q$3:$AD$3,)),0),"")</f>
        <v/>
      </c>
      <c r="BF65" s="137" t="str">
        <f t="shared" si="15"/>
        <v/>
      </c>
      <c r="BG65" s="97" t="str">
        <f>IF(B65&lt;&gt;"",VLOOKUP(B65,'Employee Details'!A64:S147,17,0),"")</f>
        <v/>
      </c>
      <c r="BH65" s="97" t="str">
        <f>IF(B65&lt;&gt;"",VLOOKUP(B65,'Employee Details'!A64:S147,18,0),"")</f>
        <v/>
      </c>
      <c r="BI65" s="40" t="str">
        <f>IF(B65&lt;&gt;"",VLOOKUP(B65,'Employee Details'!A63:S146,19,0),"")</f>
        <v/>
      </c>
      <c r="BJ65" s="38" t="str">
        <f>IF(B65&lt;&gt;"",VLOOKUP(B65,'Employee Details'!A64:D100,4,0),"")</f>
        <v/>
      </c>
      <c r="BK65" s="38" t="str">
        <f>IF(B65&lt;&gt;"",VLOOKUP(B65,'Employee Details'!A64:E147,5,0),"")</f>
        <v/>
      </c>
      <c r="BL65" s="210" t="str">
        <f>IF(B65&lt;&gt;"",VLOOKUP(B65,'Employee Details'!A64:U147,21,0),"")</f>
        <v/>
      </c>
    </row>
    <row r="66" spans="2:64" ht="16.5" thickTop="1" thickBot="1" x14ac:dyDescent="0.3">
      <c r="B66" s="37" t="str">
        <f>_xlfn.IFNA(INDEX('Employee Details'!$A$7:$A69,MATCH(AttendanceSheet!$C66,'Employee Details'!$B$7:$B75,0)),"")</f>
        <v/>
      </c>
      <c r="C66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'!$J$1:J60))),"")</f>
        <v/>
      </c>
      <c r="D66" s="39" t="str">
        <f>IFERROR(VLOOKUP($B66&amp;D$5,'Mark Leave'!$A$1:$E$1841,5,0),"")</f>
        <v/>
      </c>
      <c r="E66" s="39" t="str">
        <f>IFERROR(VLOOKUP($B66&amp;E$5,'Mark Leave'!$A$1:$E$1841,5,0),"")</f>
        <v/>
      </c>
      <c r="F66" s="39" t="str">
        <f>IFERROR(VLOOKUP($B66&amp;F$5,'Mark Leave'!$A$1:$E$1841,5,0),"")</f>
        <v/>
      </c>
      <c r="G66" s="39" t="str">
        <f>IFERROR(VLOOKUP($B66&amp;G$5,'Mark Leave'!$A$1:$E$1841,5,0),"")</f>
        <v/>
      </c>
      <c r="H66" s="39" t="str">
        <f>IFERROR(VLOOKUP($B66&amp;H$5,'Mark Leave'!$A$1:$E$1841,5,0),"")</f>
        <v/>
      </c>
      <c r="I66" s="39" t="str">
        <f>IFERROR(VLOOKUP($B66&amp;I$5,'Mark Leave'!$A$1:$E$1841,5,0),"")</f>
        <v/>
      </c>
      <c r="J66" s="39" t="str">
        <f>IFERROR(VLOOKUP($B66&amp;J$5,'Mark Leave'!$A$1:$E$1841,5,0),"")</f>
        <v/>
      </c>
      <c r="K66" s="39" t="str">
        <f>IFERROR(VLOOKUP($B66&amp;K$5,'Mark Leave'!$A$1:$E$1841,5,0),"")</f>
        <v/>
      </c>
      <c r="L66" s="39" t="str">
        <f>IFERROR(VLOOKUP($B66&amp;L$5,'Mark Leave'!$A$1:$E$1841,5,0),"")</f>
        <v/>
      </c>
      <c r="M66" s="39" t="str">
        <f>IFERROR(VLOOKUP($B66&amp;M$5,'Mark Leave'!$A$1:$E$1841,5,0),"")</f>
        <v/>
      </c>
      <c r="N66" s="39" t="str">
        <f>IFERROR(VLOOKUP($B66&amp;N$5,'Mark Leave'!$A$1:$E$1841,5,0),"")</f>
        <v/>
      </c>
      <c r="O66" s="39" t="str">
        <f>IFERROR(VLOOKUP($B66&amp;O$5,'Mark Leave'!$A$1:$E$1841,5,0),"")</f>
        <v/>
      </c>
      <c r="P66" s="39" t="str">
        <f>IFERROR(VLOOKUP($B66&amp;P$5,'Mark Leave'!$A$1:$E$1841,5,0),"")</f>
        <v/>
      </c>
      <c r="Q66" s="39" t="str">
        <f>IFERROR(VLOOKUP($B66&amp;Q$5,'Mark Leave'!$A$1:$E$1841,5,0),"")</f>
        <v/>
      </c>
      <c r="R66" s="39" t="str">
        <f>IFERROR(VLOOKUP($B66&amp;R$5,'Mark Leave'!$A$1:$E$1841,5,0),"")</f>
        <v/>
      </c>
      <c r="S66" s="39" t="str">
        <f>IFERROR(VLOOKUP($B66&amp;S$5,'Mark Leave'!$A$1:$E$1841,5,0),"")</f>
        <v/>
      </c>
      <c r="T66" s="39" t="str">
        <f>IFERROR(VLOOKUP($B66&amp;T$5,'Mark Leave'!$A$1:$E$1841,5,0),"")</f>
        <v/>
      </c>
      <c r="U66" s="39" t="str">
        <f>IFERROR(VLOOKUP($B66&amp;U$5,'Mark Leave'!$A$1:$E$1841,5,0),"")</f>
        <v/>
      </c>
      <c r="V66" s="39" t="str">
        <f>IFERROR(VLOOKUP($B66&amp;V$5,'Mark Leave'!$A$1:$E$1841,5,0),"")</f>
        <v/>
      </c>
      <c r="W66" s="39" t="str">
        <f>IFERROR(VLOOKUP($B66&amp;W$5,'Mark Leave'!$A$1:$E$1841,5,0),"")</f>
        <v/>
      </c>
      <c r="X66" s="39" t="str">
        <f>IFERROR(VLOOKUP($B66&amp;X$5,'Mark Leave'!$A$1:$E$1841,5,0),"")</f>
        <v/>
      </c>
      <c r="Y66" s="39" t="str">
        <f>IFERROR(VLOOKUP($B66&amp;Y$5,'Mark Leave'!$A$1:$E$1841,5,0),"")</f>
        <v/>
      </c>
      <c r="Z66" s="39" t="str">
        <f>IFERROR(VLOOKUP($B66&amp;Z$5,'Mark Leave'!$A$1:$E$1841,5,0),"")</f>
        <v/>
      </c>
      <c r="AA66" s="39" t="str">
        <f>IFERROR(VLOOKUP($B66&amp;AA$5,'Mark Leave'!$A$1:$E$1841,5,0),"")</f>
        <v/>
      </c>
      <c r="AB66" s="39" t="str">
        <f>IFERROR(VLOOKUP($B66&amp;AB$5,'Mark Leave'!$A$1:$E$1841,5,0),"")</f>
        <v/>
      </c>
      <c r="AC66" s="39" t="str">
        <f>IFERROR(VLOOKUP($B66&amp;AC$5,'Mark Leave'!$A$1:$E$1841,5,0),"")</f>
        <v/>
      </c>
      <c r="AD66" s="39" t="str">
        <f>IFERROR(VLOOKUP($B66&amp;AD$5,'Mark Leave'!$A$1:$E$1841,5,0),"")</f>
        <v/>
      </c>
      <c r="AE66" s="39" t="str">
        <f>IFERROR(VLOOKUP($B66&amp;AE$5,'Mark Leave'!$A$1:$E$1841,5,0),"")</f>
        <v/>
      </c>
      <c r="AF66" s="39" t="str">
        <f>IFERROR(VLOOKUP($B66&amp;AF$5,'Mark Leave'!$A$1:$E$1841,5,0),"")</f>
        <v/>
      </c>
      <c r="AG66" s="39" t="str">
        <f>IFERROR(VLOOKUP($B66&amp;AG$5,'Mark Leave'!$A$1:$E$1841,5,0),"")</f>
        <v/>
      </c>
      <c r="AH66" s="39">
        <f>IFERROR(VLOOKUP($B66&amp;AH$5,'Mark Leave'!$A$1:$E$1841,5,0),"")</f>
        <v>0</v>
      </c>
      <c r="AI66" s="98" t="str">
        <f>IF($B66&lt;&gt;"",COUNTIF($D66:$AH66,'Setting '!$H$2),"")</f>
        <v/>
      </c>
      <c r="AJ66" s="98" t="str">
        <f>IF($B66&lt;&gt;"",COUNTIF($D66:$AH66,'Setting '!$H$3)/2,"")</f>
        <v/>
      </c>
      <c r="AK66" s="98" t="str">
        <f>IF($B66&lt;&gt;"",COUNTIF($D66:$AH66,'Setting '!$H$4),"")</f>
        <v/>
      </c>
      <c r="AL66" s="98" t="str">
        <f t="shared" si="13"/>
        <v/>
      </c>
      <c r="AM66" s="117" t="str">
        <f>IF(B66&lt;&gt;"",_xlfn.IFNA(VLOOKUP(B66,'Leave Credit Sheet'!B66:K159,10,0),""),"")</f>
        <v/>
      </c>
      <c r="AN66" s="98" t="str">
        <f t="shared" si="17"/>
        <v/>
      </c>
      <c r="AO66" s="106" t="str">
        <f>IF(B66&lt;&gt;"",_xlfn.IFNA(INDEX('CTC Sheet'!$C$6:$N$101,MATCH(AttendanceSheet!$B66,'CTC Sheet'!$A$6:$A$101,0),MATCH(AttendanceSheet!$T$1,'CTC Sheet'!$C$5:$N$5,0)),0),"")</f>
        <v/>
      </c>
      <c r="AP66" s="106" t="str">
        <f>IF(B66&lt;&gt;"",_xlfn.IFNA(INDEX('CTC Sheet'!$R$6:$AC$100,MATCH(AttendanceSheet!$B66,'CTC Sheet'!$P$6:$P$100,0),MATCH(AttendanceSheet!$T$1,'CTC Sheet'!$R$5:$AC$5,0)),0),"")</f>
        <v/>
      </c>
      <c r="AQ66" s="106" t="str">
        <f t="shared" si="18"/>
        <v/>
      </c>
      <c r="AR66" s="106" t="str">
        <f t="shared" si="19"/>
        <v/>
      </c>
      <c r="AS66" s="106" t="str">
        <f t="shared" si="20"/>
        <v/>
      </c>
      <c r="AT66" s="106" t="str">
        <f t="shared" si="21"/>
        <v/>
      </c>
      <c r="AU66" s="106" t="str">
        <f t="shared" si="22"/>
        <v/>
      </c>
      <c r="AV66" s="106" t="str">
        <f t="shared" si="23"/>
        <v/>
      </c>
      <c r="AW66" s="106" t="str">
        <f>IF(B66&lt;&gt;"",_xlfn.IFNA(INDEX('OtherArrear payment'!$A$1:$N$95,MATCH(AttendanceSheet!$B66,'OtherArrear payment'!$A$1:$A$95,0),MATCH(AttendanceSheet!$T$1,'OtherArrear payment'!$A$1:$N$1,0)),0),"")</f>
        <v/>
      </c>
      <c r="AX66" s="106" t="str">
        <f t="shared" si="14"/>
        <v/>
      </c>
      <c r="AY66" s="106">
        <f t="shared" si="24"/>
        <v>0</v>
      </c>
      <c r="AZ66" s="106">
        <f t="shared" si="25"/>
        <v>0</v>
      </c>
      <c r="BA66" s="106">
        <f t="shared" si="26"/>
        <v>0</v>
      </c>
      <c r="BB66" s="106">
        <f t="shared" si="27"/>
        <v>0</v>
      </c>
      <c r="BC66" s="106" t="str">
        <f>IF($B66&lt;&gt;"",IF(BL66="Yes",IF($BI66="Mr.",IF($AX66&lt;=7500,0,IF(AND($AX66&lt;10000,$AX66&gt;7501),175,IF(AND($AX66&gt;10000,'Setting '!$G$28&lt;&gt;11),200,300))),IF(AND($AX66&lt;=10000,$BI66="Ms."),0,IF(AND($AX66&gt;10000,'Setting '!$G$28&lt;&gt;11),200,300))),0),"")</f>
        <v/>
      </c>
      <c r="BD66" s="42"/>
      <c r="BE66" s="212" t="str">
        <f>IF($B66&lt;&gt;"",IF('Advance Sheet'!AF63&gt;=0,INDEX('Advance Sheet'!$Q$3:$AD$100,MATCH(AttendanceSheet!$B66,'Advance Sheet'!$Q$3:$Q$100,0),MATCH(AttendanceSheet!$T$1,'Advance Sheet'!$Q$3:$AD$3,)),0),"")</f>
        <v/>
      </c>
      <c r="BF66" s="137" t="str">
        <f t="shared" si="15"/>
        <v/>
      </c>
      <c r="BG66" s="97" t="str">
        <f>IF(B66&lt;&gt;"",VLOOKUP(B66,'Employee Details'!A65:S148,17,0),"")</f>
        <v/>
      </c>
      <c r="BH66" s="97" t="str">
        <f>IF(B66&lt;&gt;"",VLOOKUP(B66,'Employee Details'!A65:S148,18,0),"")</f>
        <v/>
      </c>
      <c r="BI66" s="40" t="str">
        <f>IF(B66&lt;&gt;"",VLOOKUP(B66,'Employee Details'!A64:S147,19,0),"")</f>
        <v/>
      </c>
      <c r="BJ66" s="38" t="str">
        <f>IF(B66&lt;&gt;"",VLOOKUP(B66,'Employee Details'!A65:D100,4,0),"")</f>
        <v/>
      </c>
      <c r="BK66" s="38" t="str">
        <f>IF(B66&lt;&gt;"",VLOOKUP(B66,'Employee Details'!A65:E148,5,0),"")</f>
        <v/>
      </c>
      <c r="BL66" s="210" t="str">
        <f>IF(B66&lt;&gt;"",VLOOKUP(B66,'Employee Details'!A65:U148,21,0),"")</f>
        <v/>
      </c>
    </row>
    <row r="67" spans="2:64" ht="16.5" thickTop="1" thickBot="1" x14ac:dyDescent="0.3">
      <c r="B67" s="37" t="str">
        <f>_xlfn.IFNA(INDEX('Employee Details'!$A$7:$A70,MATCH(AttendanceSheet!$C67,'Employee Details'!$B$7:$B76,0)),"")</f>
        <v/>
      </c>
      <c r="C67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'!$J$1:J61))),"")</f>
        <v/>
      </c>
      <c r="D67" s="39" t="str">
        <f>IFERROR(VLOOKUP($B67&amp;D$5,'Mark Leave'!$A$1:$E$1841,5,0),"")</f>
        <v/>
      </c>
      <c r="E67" s="39" t="str">
        <f>IFERROR(VLOOKUP($B67&amp;E$5,'Mark Leave'!$A$1:$E$1841,5,0),"")</f>
        <v/>
      </c>
      <c r="F67" s="39" t="str">
        <f>IFERROR(VLOOKUP($B67&amp;F$5,'Mark Leave'!$A$1:$E$1841,5,0),"")</f>
        <v/>
      </c>
      <c r="G67" s="39" t="str">
        <f>IFERROR(VLOOKUP($B67&amp;G$5,'Mark Leave'!$A$1:$E$1841,5,0),"")</f>
        <v/>
      </c>
      <c r="H67" s="39" t="str">
        <f>IFERROR(VLOOKUP($B67&amp;H$5,'Mark Leave'!$A$1:$E$1841,5,0),"")</f>
        <v/>
      </c>
      <c r="I67" s="39" t="str">
        <f>IFERROR(VLOOKUP($B67&amp;I$5,'Mark Leave'!$A$1:$E$1841,5,0),"")</f>
        <v/>
      </c>
      <c r="J67" s="39" t="str">
        <f>IFERROR(VLOOKUP($B67&amp;J$5,'Mark Leave'!$A$1:$E$1841,5,0),"")</f>
        <v/>
      </c>
      <c r="K67" s="39" t="str">
        <f>IFERROR(VLOOKUP($B67&amp;K$5,'Mark Leave'!$A$1:$E$1841,5,0),"")</f>
        <v/>
      </c>
      <c r="L67" s="39" t="str">
        <f>IFERROR(VLOOKUP($B67&amp;L$5,'Mark Leave'!$A$1:$E$1841,5,0),"")</f>
        <v/>
      </c>
      <c r="M67" s="39" t="str">
        <f>IFERROR(VLOOKUP($B67&amp;M$5,'Mark Leave'!$A$1:$E$1841,5,0),"")</f>
        <v/>
      </c>
      <c r="N67" s="39" t="str">
        <f>IFERROR(VLOOKUP($B67&amp;N$5,'Mark Leave'!$A$1:$E$1841,5,0),"")</f>
        <v/>
      </c>
      <c r="O67" s="39" t="str">
        <f>IFERROR(VLOOKUP($B67&amp;O$5,'Mark Leave'!$A$1:$E$1841,5,0),"")</f>
        <v/>
      </c>
      <c r="P67" s="39" t="str">
        <f>IFERROR(VLOOKUP($B67&amp;P$5,'Mark Leave'!$A$1:$E$1841,5,0),"")</f>
        <v/>
      </c>
      <c r="Q67" s="39" t="str">
        <f>IFERROR(VLOOKUP($B67&amp;Q$5,'Mark Leave'!$A$1:$E$1841,5,0),"")</f>
        <v/>
      </c>
      <c r="R67" s="39" t="str">
        <f>IFERROR(VLOOKUP($B67&amp;R$5,'Mark Leave'!$A$1:$E$1841,5,0),"")</f>
        <v/>
      </c>
      <c r="S67" s="39" t="str">
        <f>IFERROR(VLOOKUP($B67&amp;S$5,'Mark Leave'!$A$1:$E$1841,5,0),"")</f>
        <v/>
      </c>
      <c r="T67" s="39" t="str">
        <f>IFERROR(VLOOKUP($B67&amp;T$5,'Mark Leave'!$A$1:$E$1841,5,0),"")</f>
        <v/>
      </c>
      <c r="U67" s="39" t="str">
        <f>IFERROR(VLOOKUP($B67&amp;U$5,'Mark Leave'!$A$1:$E$1841,5,0),"")</f>
        <v/>
      </c>
      <c r="V67" s="39" t="str">
        <f>IFERROR(VLOOKUP($B67&amp;V$5,'Mark Leave'!$A$1:$E$1841,5,0),"")</f>
        <v/>
      </c>
      <c r="W67" s="39" t="str">
        <f>IFERROR(VLOOKUP($B67&amp;W$5,'Mark Leave'!$A$1:$E$1841,5,0),"")</f>
        <v/>
      </c>
      <c r="X67" s="39" t="str">
        <f>IFERROR(VLOOKUP($B67&amp;X$5,'Mark Leave'!$A$1:$E$1841,5,0),"")</f>
        <v/>
      </c>
      <c r="Y67" s="39" t="str">
        <f>IFERROR(VLOOKUP($B67&amp;Y$5,'Mark Leave'!$A$1:$E$1841,5,0),"")</f>
        <v/>
      </c>
      <c r="Z67" s="39" t="str">
        <f>IFERROR(VLOOKUP($B67&amp;Z$5,'Mark Leave'!$A$1:$E$1841,5,0),"")</f>
        <v/>
      </c>
      <c r="AA67" s="39" t="str">
        <f>IFERROR(VLOOKUP($B67&amp;AA$5,'Mark Leave'!$A$1:$E$1841,5,0),"")</f>
        <v/>
      </c>
      <c r="AB67" s="39" t="str">
        <f>IFERROR(VLOOKUP($B67&amp;AB$5,'Mark Leave'!$A$1:$E$1841,5,0),"")</f>
        <v/>
      </c>
      <c r="AC67" s="39" t="str">
        <f>IFERROR(VLOOKUP($B67&amp;AC$5,'Mark Leave'!$A$1:$E$1841,5,0),"")</f>
        <v/>
      </c>
      <c r="AD67" s="39" t="str">
        <f>IFERROR(VLOOKUP($B67&amp;AD$5,'Mark Leave'!$A$1:$E$1841,5,0),"")</f>
        <v/>
      </c>
      <c r="AE67" s="39" t="str">
        <f>IFERROR(VLOOKUP($B67&amp;AE$5,'Mark Leave'!$A$1:$E$1841,5,0),"")</f>
        <v/>
      </c>
      <c r="AF67" s="39" t="str">
        <f>IFERROR(VLOOKUP($B67&amp;AF$5,'Mark Leave'!$A$1:$E$1841,5,0),"")</f>
        <v/>
      </c>
      <c r="AG67" s="39" t="str">
        <f>IFERROR(VLOOKUP($B67&amp;AG$5,'Mark Leave'!$A$1:$E$1841,5,0),"")</f>
        <v/>
      </c>
      <c r="AH67" s="39">
        <f>IFERROR(VLOOKUP($B67&amp;AH$5,'Mark Leave'!$A$1:$E$1841,5,0),"")</f>
        <v>0</v>
      </c>
      <c r="AI67" s="98" t="str">
        <f>IF($B67&lt;&gt;"",COUNTIF($D67:$AH67,'Setting '!$H$2),"")</f>
        <v/>
      </c>
      <c r="AJ67" s="98" t="str">
        <f>IF($B67&lt;&gt;"",COUNTIF($D67:$AH67,'Setting '!$H$3)/2,"")</f>
        <v/>
      </c>
      <c r="AK67" s="98" t="str">
        <f>IF($B67&lt;&gt;"",COUNTIF($D67:$AH67,'Setting '!$H$4),"")</f>
        <v/>
      </c>
      <c r="AL67" s="98" t="str">
        <f t="shared" si="13"/>
        <v/>
      </c>
      <c r="AM67" s="117" t="str">
        <f>IF(B67&lt;&gt;"",_xlfn.IFNA(VLOOKUP(B67,'Leave Credit Sheet'!B67:K160,10,0),""),"")</f>
        <v/>
      </c>
      <c r="AN67" s="98" t="str">
        <f t="shared" si="17"/>
        <v/>
      </c>
      <c r="AO67" s="106" t="str">
        <f>IF(B67&lt;&gt;"",_xlfn.IFNA(INDEX('CTC Sheet'!$C$6:$N$101,MATCH(AttendanceSheet!$B67,'CTC Sheet'!$A$6:$A$101,0),MATCH(AttendanceSheet!$T$1,'CTC Sheet'!$C$5:$N$5,0)),0),"")</f>
        <v/>
      </c>
      <c r="AP67" s="106" t="str">
        <f>IF(B67&lt;&gt;"",_xlfn.IFNA(INDEX('CTC Sheet'!$R$6:$AC$100,MATCH(AttendanceSheet!$B67,'CTC Sheet'!$P$6:$P$100,0),MATCH(AttendanceSheet!$T$1,'CTC Sheet'!$R$5:$AC$5,0)),0),"")</f>
        <v/>
      </c>
      <c r="AQ67" s="106" t="str">
        <f t="shared" si="18"/>
        <v/>
      </c>
      <c r="AR67" s="106" t="str">
        <f t="shared" si="19"/>
        <v/>
      </c>
      <c r="AS67" s="106" t="str">
        <f t="shared" si="20"/>
        <v/>
      </c>
      <c r="AT67" s="106" t="str">
        <f t="shared" si="21"/>
        <v/>
      </c>
      <c r="AU67" s="106" t="str">
        <f t="shared" si="22"/>
        <v/>
      </c>
      <c r="AV67" s="106" t="str">
        <f t="shared" si="23"/>
        <v/>
      </c>
      <c r="AW67" s="106" t="str">
        <f>IF(B67&lt;&gt;"",_xlfn.IFNA(INDEX('OtherArrear payment'!$A$1:$N$95,MATCH(AttendanceSheet!$B67,'OtherArrear payment'!$A$1:$A$95,0),MATCH(AttendanceSheet!$T$1,'OtherArrear payment'!$A$1:$N$1,0)),0),"")</f>
        <v/>
      </c>
      <c r="AX67" s="106" t="str">
        <f t="shared" si="14"/>
        <v/>
      </c>
      <c r="AY67" s="106">
        <f t="shared" si="24"/>
        <v>0</v>
      </c>
      <c r="AZ67" s="106">
        <f t="shared" si="25"/>
        <v>0</v>
      </c>
      <c r="BA67" s="106">
        <f t="shared" si="26"/>
        <v>0</v>
      </c>
      <c r="BB67" s="106">
        <f t="shared" si="27"/>
        <v>0</v>
      </c>
      <c r="BC67" s="106" t="str">
        <f>IF($B67&lt;&gt;"",IF(BL67="Yes",IF($BI67="Mr.",IF($AX67&lt;=7500,0,IF(AND($AX67&lt;10000,$AX67&gt;7501),175,IF(AND($AX67&gt;10000,'Setting '!$G$28&lt;&gt;11),200,300))),IF(AND($AX67&lt;=10000,$BI67="Ms."),0,IF(AND($AX67&gt;10000,'Setting '!$G$28&lt;&gt;11),200,300))),0),"")</f>
        <v/>
      </c>
      <c r="BD67" s="42"/>
      <c r="BE67" s="212" t="str">
        <f>IF($B67&lt;&gt;"",IF('Advance Sheet'!AF64&gt;=0,INDEX('Advance Sheet'!$Q$3:$AD$100,MATCH(AttendanceSheet!$B67,'Advance Sheet'!$Q$3:$Q$100,0),MATCH(AttendanceSheet!$T$1,'Advance Sheet'!$Q$3:$AD$3,)),0),"")</f>
        <v/>
      </c>
      <c r="BF67" s="137" t="str">
        <f t="shared" si="15"/>
        <v/>
      </c>
      <c r="BG67" s="97" t="str">
        <f>IF(B67&lt;&gt;"",VLOOKUP(B67,'Employee Details'!A66:S149,17,0),"")</f>
        <v/>
      </c>
      <c r="BH67" s="97" t="str">
        <f>IF(B67&lt;&gt;"",VLOOKUP(B67,'Employee Details'!A66:S149,18,0),"")</f>
        <v/>
      </c>
      <c r="BI67" s="40" t="str">
        <f>IF(B67&lt;&gt;"",VLOOKUP(B67,'Employee Details'!A65:S148,19,0),"")</f>
        <v/>
      </c>
      <c r="BJ67" s="38" t="str">
        <f>IF(B67&lt;&gt;"",VLOOKUP(B67,'Employee Details'!A66:D100,4,0),"")</f>
        <v/>
      </c>
      <c r="BK67" s="38" t="str">
        <f>IF(B67&lt;&gt;"",VLOOKUP(B67,'Employee Details'!A66:E149,5,0),"")</f>
        <v/>
      </c>
      <c r="BL67" s="210" t="str">
        <f>IF(B67&lt;&gt;"",VLOOKUP(B67,'Employee Details'!A66:U149,21,0),"")</f>
        <v/>
      </c>
    </row>
    <row r="68" spans="2:64" ht="16.5" thickTop="1" thickBot="1" x14ac:dyDescent="0.3">
      <c r="B68" s="37" t="str">
        <f>_xlfn.IFNA(INDEX('Employee Details'!$A$7:$A71,MATCH(AttendanceSheet!$C68,'Employee Details'!$B$7:$B77,0)),"")</f>
        <v/>
      </c>
      <c r="C68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'!$J$1:J62))),"")</f>
        <v/>
      </c>
      <c r="D68" s="39" t="str">
        <f>IFERROR(VLOOKUP($B68&amp;D$5,'Mark Leave'!$A$1:$E$1841,5,0),"")</f>
        <v/>
      </c>
      <c r="E68" s="39" t="str">
        <f>IFERROR(VLOOKUP($B68&amp;E$5,'Mark Leave'!$A$1:$E$1841,5,0),"")</f>
        <v/>
      </c>
      <c r="F68" s="39" t="str">
        <f>IFERROR(VLOOKUP($B68&amp;F$5,'Mark Leave'!$A$1:$E$1841,5,0),"")</f>
        <v/>
      </c>
      <c r="G68" s="39" t="str">
        <f>IFERROR(VLOOKUP($B68&amp;G$5,'Mark Leave'!$A$1:$E$1841,5,0),"")</f>
        <v/>
      </c>
      <c r="H68" s="39" t="str">
        <f>IFERROR(VLOOKUP($B68&amp;H$5,'Mark Leave'!$A$1:$E$1841,5,0),"")</f>
        <v/>
      </c>
      <c r="I68" s="39" t="str">
        <f>IFERROR(VLOOKUP($B68&amp;I$5,'Mark Leave'!$A$1:$E$1841,5,0),"")</f>
        <v/>
      </c>
      <c r="J68" s="39" t="str">
        <f>IFERROR(VLOOKUP($B68&amp;J$5,'Mark Leave'!$A$1:$E$1841,5,0),"")</f>
        <v/>
      </c>
      <c r="K68" s="39" t="str">
        <f>IFERROR(VLOOKUP($B68&amp;K$5,'Mark Leave'!$A$1:$E$1841,5,0),"")</f>
        <v/>
      </c>
      <c r="L68" s="39" t="str">
        <f>IFERROR(VLOOKUP($B68&amp;L$5,'Mark Leave'!$A$1:$E$1841,5,0),"")</f>
        <v/>
      </c>
      <c r="M68" s="39" t="str">
        <f>IFERROR(VLOOKUP($B68&amp;M$5,'Mark Leave'!$A$1:$E$1841,5,0),"")</f>
        <v/>
      </c>
      <c r="N68" s="39" t="str">
        <f>IFERROR(VLOOKUP($B68&amp;N$5,'Mark Leave'!$A$1:$E$1841,5,0),"")</f>
        <v/>
      </c>
      <c r="O68" s="39" t="str">
        <f>IFERROR(VLOOKUP($B68&amp;O$5,'Mark Leave'!$A$1:$E$1841,5,0),"")</f>
        <v/>
      </c>
      <c r="P68" s="39" t="str">
        <f>IFERROR(VLOOKUP($B68&amp;P$5,'Mark Leave'!$A$1:$E$1841,5,0),"")</f>
        <v/>
      </c>
      <c r="Q68" s="39" t="str">
        <f>IFERROR(VLOOKUP($B68&amp;Q$5,'Mark Leave'!$A$1:$E$1841,5,0),"")</f>
        <v/>
      </c>
      <c r="R68" s="39" t="str">
        <f>IFERROR(VLOOKUP($B68&amp;R$5,'Mark Leave'!$A$1:$E$1841,5,0),"")</f>
        <v/>
      </c>
      <c r="S68" s="39" t="str">
        <f>IFERROR(VLOOKUP($B68&amp;S$5,'Mark Leave'!$A$1:$E$1841,5,0),"")</f>
        <v/>
      </c>
      <c r="T68" s="39" t="str">
        <f>IFERROR(VLOOKUP($B68&amp;T$5,'Mark Leave'!$A$1:$E$1841,5,0),"")</f>
        <v/>
      </c>
      <c r="U68" s="39" t="str">
        <f>IFERROR(VLOOKUP($B68&amp;U$5,'Mark Leave'!$A$1:$E$1841,5,0),"")</f>
        <v/>
      </c>
      <c r="V68" s="39" t="str">
        <f>IFERROR(VLOOKUP($B68&amp;V$5,'Mark Leave'!$A$1:$E$1841,5,0),"")</f>
        <v/>
      </c>
      <c r="W68" s="39" t="str">
        <f>IFERROR(VLOOKUP($B68&amp;W$5,'Mark Leave'!$A$1:$E$1841,5,0),"")</f>
        <v/>
      </c>
      <c r="X68" s="39" t="str">
        <f>IFERROR(VLOOKUP($B68&amp;X$5,'Mark Leave'!$A$1:$E$1841,5,0),"")</f>
        <v/>
      </c>
      <c r="Y68" s="39" t="str">
        <f>IFERROR(VLOOKUP($B68&amp;Y$5,'Mark Leave'!$A$1:$E$1841,5,0),"")</f>
        <v/>
      </c>
      <c r="Z68" s="39" t="str">
        <f>IFERROR(VLOOKUP($B68&amp;Z$5,'Mark Leave'!$A$1:$E$1841,5,0),"")</f>
        <v/>
      </c>
      <c r="AA68" s="39" t="str">
        <f>IFERROR(VLOOKUP($B68&amp;AA$5,'Mark Leave'!$A$1:$E$1841,5,0),"")</f>
        <v/>
      </c>
      <c r="AB68" s="39" t="str">
        <f>IFERROR(VLOOKUP($B68&amp;AB$5,'Mark Leave'!$A$1:$E$1841,5,0),"")</f>
        <v/>
      </c>
      <c r="AC68" s="39" t="str">
        <f>IFERROR(VLOOKUP($B68&amp;AC$5,'Mark Leave'!$A$1:$E$1841,5,0),"")</f>
        <v/>
      </c>
      <c r="AD68" s="39" t="str">
        <f>IFERROR(VLOOKUP($B68&amp;AD$5,'Mark Leave'!$A$1:$E$1841,5,0),"")</f>
        <v/>
      </c>
      <c r="AE68" s="39" t="str">
        <f>IFERROR(VLOOKUP($B68&amp;AE$5,'Mark Leave'!$A$1:$E$1841,5,0),"")</f>
        <v/>
      </c>
      <c r="AF68" s="39" t="str">
        <f>IFERROR(VLOOKUP($B68&amp;AF$5,'Mark Leave'!$A$1:$E$1841,5,0),"")</f>
        <v/>
      </c>
      <c r="AG68" s="39" t="str">
        <f>IFERROR(VLOOKUP($B68&amp;AG$5,'Mark Leave'!$A$1:$E$1841,5,0),"")</f>
        <v/>
      </c>
      <c r="AH68" s="39">
        <f>IFERROR(VLOOKUP($B68&amp;AH$5,'Mark Leave'!$A$1:$E$1841,5,0),"")</f>
        <v>0</v>
      </c>
      <c r="AI68" s="98" t="str">
        <f>IF($B68&lt;&gt;"",COUNTIF($D68:$AH68,'Setting '!$H$2),"")</f>
        <v/>
      </c>
      <c r="AJ68" s="98" t="str">
        <f>IF($B68&lt;&gt;"",COUNTIF($D68:$AH68,'Setting '!$H$3)/2,"")</f>
        <v/>
      </c>
      <c r="AK68" s="98" t="str">
        <f>IF($B68&lt;&gt;"",COUNTIF($D68:$AH68,'Setting '!$H$4),"")</f>
        <v/>
      </c>
      <c r="AL68" s="98" t="str">
        <f t="shared" si="13"/>
        <v/>
      </c>
      <c r="AM68" s="117" t="str">
        <f>IF(B68&lt;&gt;"",_xlfn.IFNA(VLOOKUP(B68,'Leave Credit Sheet'!B68:K161,10,0),""),"")</f>
        <v/>
      </c>
      <c r="AN68" s="98" t="str">
        <f t="shared" si="17"/>
        <v/>
      </c>
      <c r="AO68" s="106" t="str">
        <f>IF(B68&lt;&gt;"",_xlfn.IFNA(INDEX('CTC Sheet'!$C$6:$N$101,MATCH(AttendanceSheet!$B68,'CTC Sheet'!$A$6:$A$101,0),MATCH(AttendanceSheet!$T$1,'CTC Sheet'!$C$5:$N$5,0)),0),"")</f>
        <v/>
      </c>
      <c r="AP68" s="106" t="str">
        <f>IF(B68&lt;&gt;"",_xlfn.IFNA(INDEX('CTC Sheet'!$R$6:$AC$100,MATCH(AttendanceSheet!$B68,'CTC Sheet'!$P$6:$P$100,0),MATCH(AttendanceSheet!$T$1,'CTC Sheet'!$R$5:$AC$5,0)),0),"")</f>
        <v/>
      </c>
      <c r="AQ68" s="106" t="str">
        <f t="shared" si="18"/>
        <v/>
      </c>
      <c r="AR68" s="106" t="str">
        <f t="shared" si="19"/>
        <v/>
      </c>
      <c r="AS68" s="106" t="str">
        <f t="shared" si="20"/>
        <v/>
      </c>
      <c r="AT68" s="106" t="str">
        <f t="shared" si="21"/>
        <v/>
      </c>
      <c r="AU68" s="106" t="str">
        <f t="shared" si="22"/>
        <v/>
      </c>
      <c r="AV68" s="106" t="str">
        <f t="shared" si="23"/>
        <v/>
      </c>
      <c r="AW68" s="106" t="str">
        <f>IF(B68&lt;&gt;"",_xlfn.IFNA(INDEX('OtherArrear payment'!$A$1:$N$95,MATCH(AttendanceSheet!$B68,'OtherArrear payment'!$A$1:$A$95,0),MATCH(AttendanceSheet!$T$1,'OtherArrear payment'!$A$1:$N$1,0)),0),"")</f>
        <v/>
      </c>
      <c r="AX68" s="106" t="str">
        <f t="shared" si="14"/>
        <v/>
      </c>
      <c r="AY68" s="106">
        <f t="shared" si="24"/>
        <v>0</v>
      </c>
      <c r="AZ68" s="106">
        <f t="shared" si="25"/>
        <v>0</v>
      </c>
      <c r="BA68" s="106">
        <f t="shared" si="26"/>
        <v>0</v>
      </c>
      <c r="BB68" s="106">
        <f t="shared" si="27"/>
        <v>0</v>
      </c>
      <c r="BC68" s="106" t="str">
        <f>IF($B68&lt;&gt;"",IF(BL68="Yes",IF($BI68="Mr.",IF($AX68&lt;=7500,0,IF(AND($AX68&lt;10000,$AX68&gt;7501),175,IF(AND($AX68&gt;10000,'Setting '!$G$28&lt;&gt;11),200,300))),IF(AND($AX68&lt;=10000,$BI68="Ms."),0,IF(AND($AX68&gt;10000,'Setting '!$G$28&lt;&gt;11),200,300))),0),"")</f>
        <v/>
      </c>
      <c r="BD68" s="42"/>
      <c r="BE68" s="212" t="str">
        <f>IF($B68&lt;&gt;"",IF('Advance Sheet'!AF65&gt;=0,INDEX('Advance Sheet'!$Q$3:$AD$100,MATCH(AttendanceSheet!$B68,'Advance Sheet'!$Q$3:$Q$100,0),MATCH(AttendanceSheet!$T$1,'Advance Sheet'!$Q$3:$AD$3,)),0),"")</f>
        <v/>
      </c>
      <c r="BF68" s="137" t="str">
        <f t="shared" si="15"/>
        <v/>
      </c>
      <c r="BG68" s="97" t="str">
        <f>IF(B68&lt;&gt;"",VLOOKUP(B68,'Employee Details'!A67:S150,17,0),"")</f>
        <v/>
      </c>
      <c r="BH68" s="97" t="str">
        <f>IF(B68&lt;&gt;"",VLOOKUP(B68,'Employee Details'!A67:S150,18,0),"")</f>
        <v/>
      </c>
      <c r="BI68" s="40" t="str">
        <f>IF(B68&lt;&gt;"",VLOOKUP(B68,'Employee Details'!A66:S149,19,0),"")</f>
        <v/>
      </c>
      <c r="BJ68" s="38" t="str">
        <f>IF(B68&lt;&gt;"",VLOOKUP(B68,'Employee Details'!A67:D100,4,0),"")</f>
        <v/>
      </c>
      <c r="BK68" s="38" t="str">
        <f>IF(B68&lt;&gt;"",VLOOKUP(B68,'Employee Details'!A67:E150,5,0),"")</f>
        <v/>
      </c>
      <c r="BL68" s="210" t="str">
        <f>IF(B68&lt;&gt;"",VLOOKUP(B68,'Employee Details'!A67:U150,21,0),"")</f>
        <v/>
      </c>
    </row>
    <row r="69" spans="2:64" ht="16.5" thickTop="1" thickBot="1" x14ac:dyDescent="0.3">
      <c r="B69" s="37" t="str">
        <f>_xlfn.IFNA(INDEX('Employee Details'!$A$7:$A72,MATCH(AttendanceSheet!$C69,'Employee Details'!$B$7:$B78,0)),"")</f>
        <v/>
      </c>
      <c r="C69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'!$J$1:J63))),"")</f>
        <v/>
      </c>
      <c r="D69" s="39" t="str">
        <f>IFERROR(VLOOKUP($B69&amp;D$5,'Mark Leave'!$A$1:$E$1841,5,0),"")</f>
        <v/>
      </c>
      <c r="E69" s="39" t="str">
        <f>IFERROR(VLOOKUP($B69&amp;E$5,'Mark Leave'!$A$1:$E$1841,5,0),"")</f>
        <v/>
      </c>
      <c r="F69" s="39" t="str">
        <f>IFERROR(VLOOKUP($B69&amp;F$5,'Mark Leave'!$A$1:$E$1841,5,0),"")</f>
        <v/>
      </c>
      <c r="G69" s="39" t="str">
        <f>IFERROR(VLOOKUP($B69&amp;G$5,'Mark Leave'!$A$1:$E$1841,5,0),"")</f>
        <v/>
      </c>
      <c r="H69" s="39" t="str">
        <f>IFERROR(VLOOKUP($B69&amp;H$5,'Mark Leave'!$A$1:$E$1841,5,0),"")</f>
        <v/>
      </c>
      <c r="I69" s="39" t="str">
        <f>IFERROR(VLOOKUP($B69&amp;I$5,'Mark Leave'!$A$1:$E$1841,5,0),"")</f>
        <v/>
      </c>
      <c r="J69" s="39" t="str">
        <f>IFERROR(VLOOKUP($B69&amp;J$5,'Mark Leave'!$A$1:$E$1841,5,0),"")</f>
        <v/>
      </c>
      <c r="K69" s="39" t="str">
        <f>IFERROR(VLOOKUP($B69&amp;K$5,'Mark Leave'!$A$1:$E$1841,5,0),"")</f>
        <v/>
      </c>
      <c r="L69" s="39" t="str">
        <f>IFERROR(VLOOKUP($B69&amp;L$5,'Mark Leave'!$A$1:$E$1841,5,0),"")</f>
        <v/>
      </c>
      <c r="M69" s="39" t="str">
        <f>IFERROR(VLOOKUP($B69&amp;M$5,'Mark Leave'!$A$1:$E$1841,5,0),"")</f>
        <v/>
      </c>
      <c r="N69" s="39" t="str">
        <f>IFERROR(VLOOKUP($B69&amp;N$5,'Mark Leave'!$A$1:$E$1841,5,0),"")</f>
        <v/>
      </c>
      <c r="O69" s="39" t="str">
        <f>IFERROR(VLOOKUP($B69&amp;O$5,'Mark Leave'!$A$1:$E$1841,5,0),"")</f>
        <v/>
      </c>
      <c r="P69" s="39" t="str">
        <f>IFERROR(VLOOKUP($B69&amp;P$5,'Mark Leave'!$A$1:$E$1841,5,0),"")</f>
        <v/>
      </c>
      <c r="Q69" s="39" t="str">
        <f>IFERROR(VLOOKUP($B69&amp;Q$5,'Mark Leave'!$A$1:$E$1841,5,0),"")</f>
        <v/>
      </c>
      <c r="R69" s="39" t="str">
        <f>IFERROR(VLOOKUP($B69&amp;R$5,'Mark Leave'!$A$1:$E$1841,5,0),"")</f>
        <v/>
      </c>
      <c r="S69" s="39" t="str">
        <f>IFERROR(VLOOKUP($B69&amp;S$5,'Mark Leave'!$A$1:$E$1841,5,0),"")</f>
        <v/>
      </c>
      <c r="T69" s="39" t="str">
        <f>IFERROR(VLOOKUP($B69&amp;T$5,'Mark Leave'!$A$1:$E$1841,5,0),"")</f>
        <v/>
      </c>
      <c r="U69" s="39" t="str">
        <f>IFERROR(VLOOKUP($B69&amp;U$5,'Mark Leave'!$A$1:$E$1841,5,0),"")</f>
        <v/>
      </c>
      <c r="V69" s="39" t="str">
        <f>IFERROR(VLOOKUP($B69&amp;V$5,'Mark Leave'!$A$1:$E$1841,5,0),"")</f>
        <v/>
      </c>
      <c r="W69" s="39" t="str">
        <f>IFERROR(VLOOKUP($B69&amp;W$5,'Mark Leave'!$A$1:$E$1841,5,0),"")</f>
        <v/>
      </c>
      <c r="X69" s="39" t="str">
        <f>IFERROR(VLOOKUP($B69&amp;X$5,'Mark Leave'!$A$1:$E$1841,5,0),"")</f>
        <v/>
      </c>
      <c r="Y69" s="39" t="str">
        <f>IFERROR(VLOOKUP($B69&amp;Y$5,'Mark Leave'!$A$1:$E$1841,5,0),"")</f>
        <v/>
      </c>
      <c r="Z69" s="39" t="str">
        <f>IFERROR(VLOOKUP($B69&amp;Z$5,'Mark Leave'!$A$1:$E$1841,5,0),"")</f>
        <v/>
      </c>
      <c r="AA69" s="39" t="str">
        <f>IFERROR(VLOOKUP($B69&amp;AA$5,'Mark Leave'!$A$1:$E$1841,5,0),"")</f>
        <v/>
      </c>
      <c r="AB69" s="39" t="str">
        <f>IFERROR(VLOOKUP($B69&amp;AB$5,'Mark Leave'!$A$1:$E$1841,5,0),"")</f>
        <v/>
      </c>
      <c r="AC69" s="39" t="str">
        <f>IFERROR(VLOOKUP($B69&amp;AC$5,'Mark Leave'!$A$1:$E$1841,5,0),"")</f>
        <v/>
      </c>
      <c r="AD69" s="39" t="str">
        <f>IFERROR(VLOOKUP($B69&amp;AD$5,'Mark Leave'!$A$1:$E$1841,5,0),"")</f>
        <v/>
      </c>
      <c r="AE69" s="39" t="str">
        <f>IFERROR(VLOOKUP($B69&amp;AE$5,'Mark Leave'!$A$1:$E$1841,5,0),"")</f>
        <v/>
      </c>
      <c r="AF69" s="39" t="str">
        <f>IFERROR(VLOOKUP($B69&amp;AF$5,'Mark Leave'!$A$1:$E$1841,5,0),"")</f>
        <v/>
      </c>
      <c r="AG69" s="39" t="str">
        <f>IFERROR(VLOOKUP($B69&amp;AG$5,'Mark Leave'!$A$1:$E$1841,5,0),"")</f>
        <v/>
      </c>
      <c r="AH69" s="39">
        <f>IFERROR(VLOOKUP($B69&amp;AH$5,'Mark Leave'!$A$1:$E$1841,5,0),"")</f>
        <v>0</v>
      </c>
      <c r="AI69" s="98" t="str">
        <f>IF($B69&lt;&gt;"",COUNTIF($D69:$AH69,'Setting '!$H$2),"")</f>
        <v/>
      </c>
      <c r="AJ69" s="98" t="str">
        <f>IF($B69&lt;&gt;"",COUNTIF($D69:$AH69,'Setting '!$H$3)/2,"")</f>
        <v/>
      </c>
      <c r="AK69" s="98" t="str">
        <f>IF($B69&lt;&gt;"",COUNTIF($D69:$AH69,'Setting '!$H$4),"")</f>
        <v/>
      </c>
      <c r="AL69" s="98" t="str">
        <f t="shared" si="13"/>
        <v/>
      </c>
      <c r="AM69" s="117" t="str">
        <f>IF(B69&lt;&gt;"",_xlfn.IFNA(VLOOKUP(B69,'Leave Credit Sheet'!B69:K162,10,0),""),"")</f>
        <v/>
      </c>
      <c r="AN69" s="98" t="str">
        <f t="shared" si="17"/>
        <v/>
      </c>
      <c r="AO69" s="106" t="str">
        <f>IF(B69&lt;&gt;"",_xlfn.IFNA(INDEX('CTC Sheet'!$C$6:$N$101,MATCH(AttendanceSheet!$B69,'CTC Sheet'!$A$6:$A$101,0),MATCH(AttendanceSheet!$T$1,'CTC Sheet'!$C$5:$N$5,0)),0),"")</f>
        <v/>
      </c>
      <c r="AP69" s="106" t="str">
        <f>IF(B69&lt;&gt;"",_xlfn.IFNA(INDEX('CTC Sheet'!$R$6:$AC$100,MATCH(AttendanceSheet!$B69,'CTC Sheet'!$P$6:$P$100,0),MATCH(AttendanceSheet!$T$1,'CTC Sheet'!$R$5:$AC$5,0)),0),"")</f>
        <v/>
      </c>
      <c r="AQ69" s="106" t="str">
        <f t="shared" si="18"/>
        <v/>
      </c>
      <c r="AR69" s="106" t="str">
        <f t="shared" si="19"/>
        <v/>
      </c>
      <c r="AS69" s="106" t="str">
        <f t="shared" si="20"/>
        <v/>
      </c>
      <c r="AT69" s="106" t="str">
        <f t="shared" si="21"/>
        <v/>
      </c>
      <c r="AU69" s="106" t="str">
        <f t="shared" si="22"/>
        <v/>
      </c>
      <c r="AV69" s="106" t="str">
        <f t="shared" si="23"/>
        <v/>
      </c>
      <c r="AW69" s="106" t="str">
        <f>IF(B69&lt;&gt;"",_xlfn.IFNA(INDEX('OtherArrear payment'!$A$1:$N$95,MATCH(AttendanceSheet!$B69,'OtherArrear payment'!$A$1:$A$95,0),MATCH(AttendanceSheet!$T$1,'OtherArrear payment'!$A$1:$N$1,0)),0),"")</f>
        <v/>
      </c>
      <c r="AX69" s="106" t="str">
        <f t="shared" si="14"/>
        <v/>
      </c>
      <c r="AY69" s="106">
        <f t="shared" si="24"/>
        <v>0</v>
      </c>
      <c r="AZ69" s="106">
        <f t="shared" si="25"/>
        <v>0</v>
      </c>
      <c r="BA69" s="106">
        <f t="shared" si="26"/>
        <v>0</v>
      </c>
      <c r="BB69" s="106">
        <f t="shared" si="27"/>
        <v>0</v>
      </c>
      <c r="BC69" s="106" t="str">
        <f>IF($B69&lt;&gt;"",IF(BL69="Yes",IF($BI69="Mr.",IF($AX69&lt;=7500,0,IF(AND($AX69&lt;10000,$AX69&gt;7501),175,IF(AND($AX69&gt;10000,'Setting '!$G$28&lt;&gt;11),200,300))),IF(AND($AX69&lt;=10000,$BI69="Ms."),0,IF(AND($AX69&gt;10000,'Setting '!$G$28&lt;&gt;11),200,300))),0),"")</f>
        <v/>
      </c>
      <c r="BD69" s="42"/>
      <c r="BE69" s="212" t="str">
        <f>IF($B69&lt;&gt;"",IF('Advance Sheet'!AF66&gt;=0,INDEX('Advance Sheet'!$Q$3:$AD$100,MATCH(AttendanceSheet!$B69,'Advance Sheet'!$Q$3:$Q$100,0),MATCH(AttendanceSheet!$T$1,'Advance Sheet'!$Q$3:$AD$3,)),0),"")</f>
        <v/>
      </c>
      <c r="BF69" s="137" t="str">
        <f t="shared" si="15"/>
        <v/>
      </c>
      <c r="BG69" s="97" t="str">
        <f>IF(B69&lt;&gt;"",VLOOKUP(B69,'Employee Details'!A68:S151,17,0),"")</f>
        <v/>
      </c>
      <c r="BH69" s="97" t="str">
        <f>IF(B69&lt;&gt;"",VLOOKUP(B69,'Employee Details'!A68:S151,18,0),"")</f>
        <v/>
      </c>
      <c r="BI69" s="40" t="str">
        <f>IF(B69&lt;&gt;"",VLOOKUP(B69,'Employee Details'!A67:S150,19,0),"")</f>
        <v/>
      </c>
      <c r="BJ69" s="38" t="str">
        <f>IF(B69&lt;&gt;"",VLOOKUP(B69,'Employee Details'!A68:D100,4,0),"")</f>
        <v/>
      </c>
      <c r="BK69" s="38" t="str">
        <f>IF(B69&lt;&gt;"",VLOOKUP(B69,'Employee Details'!A68:E151,5,0),"")</f>
        <v/>
      </c>
      <c r="BL69" s="210" t="str">
        <f>IF(B69&lt;&gt;"",VLOOKUP(B69,'Employee Details'!A68:U151,21,0),"")</f>
        <v/>
      </c>
    </row>
    <row r="70" spans="2:64" ht="16.5" thickTop="1" thickBot="1" x14ac:dyDescent="0.3">
      <c r="B70" s="37" t="str">
        <f>_xlfn.IFNA(INDEX('Employee Details'!$A$7:$A73,MATCH(AttendanceSheet!$C70,'Employee Details'!$B$7:$B79,0)),"")</f>
        <v/>
      </c>
      <c r="C70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'!$J$1:J64))),"")</f>
        <v/>
      </c>
      <c r="D70" s="39" t="str">
        <f>IFERROR(VLOOKUP($B70&amp;D$5,'Mark Leave'!$A$1:$E$1841,5,0),"")</f>
        <v/>
      </c>
      <c r="E70" s="39" t="str">
        <f>IFERROR(VLOOKUP($B70&amp;E$5,'Mark Leave'!$A$1:$E$1841,5,0),"")</f>
        <v/>
      </c>
      <c r="F70" s="39" t="str">
        <f>IFERROR(VLOOKUP($B70&amp;F$5,'Mark Leave'!$A$1:$E$1841,5,0),"")</f>
        <v/>
      </c>
      <c r="G70" s="39" t="str">
        <f>IFERROR(VLOOKUP($B70&amp;G$5,'Mark Leave'!$A$1:$E$1841,5,0),"")</f>
        <v/>
      </c>
      <c r="H70" s="39" t="str">
        <f>IFERROR(VLOOKUP($B70&amp;H$5,'Mark Leave'!$A$1:$E$1841,5,0),"")</f>
        <v/>
      </c>
      <c r="I70" s="39" t="str">
        <f>IFERROR(VLOOKUP($B70&amp;I$5,'Mark Leave'!$A$1:$E$1841,5,0),"")</f>
        <v/>
      </c>
      <c r="J70" s="39" t="str">
        <f>IFERROR(VLOOKUP($B70&amp;J$5,'Mark Leave'!$A$1:$E$1841,5,0),"")</f>
        <v/>
      </c>
      <c r="K70" s="39" t="str">
        <f>IFERROR(VLOOKUP($B70&amp;K$5,'Mark Leave'!$A$1:$E$1841,5,0),"")</f>
        <v/>
      </c>
      <c r="L70" s="39" t="str">
        <f>IFERROR(VLOOKUP($B70&amp;L$5,'Mark Leave'!$A$1:$E$1841,5,0),"")</f>
        <v/>
      </c>
      <c r="M70" s="39" t="str">
        <f>IFERROR(VLOOKUP($B70&amp;M$5,'Mark Leave'!$A$1:$E$1841,5,0),"")</f>
        <v/>
      </c>
      <c r="N70" s="39" t="str">
        <f>IFERROR(VLOOKUP($B70&amp;N$5,'Mark Leave'!$A$1:$E$1841,5,0),"")</f>
        <v/>
      </c>
      <c r="O70" s="39" t="str">
        <f>IFERROR(VLOOKUP($B70&amp;O$5,'Mark Leave'!$A$1:$E$1841,5,0),"")</f>
        <v/>
      </c>
      <c r="P70" s="39" t="str">
        <f>IFERROR(VLOOKUP($B70&amp;P$5,'Mark Leave'!$A$1:$E$1841,5,0),"")</f>
        <v/>
      </c>
      <c r="Q70" s="39" t="str">
        <f>IFERROR(VLOOKUP($B70&amp;Q$5,'Mark Leave'!$A$1:$E$1841,5,0),"")</f>
        <v/>
      </c>
      <c r="R70" s="39" t="str">
        <f>IFERROR(VLOOKUP($B70&amp;R$5,'Mark Leave'!$A$1:$E$1841,5,0),"")</f>
        <v/>
      </c>
      <c r="S70" s="39" t="str">
        <f>IFERROR(VLOOKUP($B70&amp;S$5,'Mark Leave'!$A$1:$E$1841,5,0),"")</f>
        <v/>
      </c>
      <c r="T70" s="39" t="str">
        <f>IFERROR(VLOOKUP($B70&amp;T$5,'Mark Leave'!$A$1:$E$1841,5,0),"")</f>
        <v/>
      </c>
      <c r="U70" s="39" t="str">
        <f>IFERROR(VLOOKUP($B70&amp;U$5,'Mark Leave'!$A$1:$E$1841,5,0),"")</f>
        <v/>
      </c>
      <c r="V70" s="39" t="str">
        <f>IFERROR(VLOOKUP($B70&amp;V$5,'Mark Leave'!$A$1:$E$1841,5,0),"")</f>
        <v/>
      </c>
      <c r="W70" s="39" t="str">
        <f>IFERROR(VLOOKUP($B70&amp;W$5,'Mark Leave'!$A$1:$E$1841,5,0),"")</f>
        <v/>
      </c>
      <c r="X70" s="39" t="str">
        <f>IFERROR(VLOOKUP($B70&amp;X$5,'Mark Leave'!$A$1:$E$1841,5,0),"")</f>
        <v/>
      </c>
      <c r="Y70" s="39" t="str">
        <f>IFERROR(VLOOKUP($B70&amp;Y$5,'Mark Leave'!$A$1:$E$1841,5,0),"")</f>
        <v/>
      </c>
      <c r="Z70" s="39" t="str">
        <f>IFERROR(VLOOKUP($B70&amp;Z$5,'Mark Leave'!$A$1:$E$1841,5,0),"")</f>
        <v/>
      </c>
      <c r="AA70" s="39" t="str">
        <f>IFERROR(VLOOKUP($B70&amp;AA$5,'Mark Leave'!$A$1:$E$1841,5,0),"")</f>
        <v/>
      </c>
      <c r="AB70" s="39" t="str">
        <f>IFERROR(VLOOKUP($B70&amp;AB$5,'Mark Leave'!$A$1:$E$1841,5,0),"")</f>
        <v/>
      </c>
      <c r="AC70" s="39" t="str">
        <f>IFERROR(VLOOKUP($B70&amp;AC$5,'Mark Leave'!$A$1:$E$1841,5,0),"")</f>
        <v/>
      </c>
      <c r="AD70" s="39" t="str">
        <f>IFERROR(VLOOKUP($B70&amp;AD$5,'Mark Leave'!$A$1:$E$1841,5,0),"")</f>
        <v/>
      </c>
      <c r="AE70" s="39" t="str">
        <f>IFERROR(VLOOKUP($B70&amp;AE$5,'Mark Leave'!$A$1:$E$1841,5,0),"")</f>
        <v/>
      </c>
      <c r="AF70" s="39" t="str">
        <f>IFERROR(VLOOKUP($B70&amp;AF$5,'Mark Leave'!$A$1:$E$1841,5,0),"")</f>
        <v/>
      </c>
      <c r="AG70" s="39" t="str">
        <f>IFERROR(VLOOKUP($B70&amp;AG$5,'Mark Leave'!$A$1:$E$1841,5,0),"")</f>
        <v/>
      </c>
      <c r="AH70" s="39">
        <f>IFERROR(VLOOKUP($B70&amp;AH$5,'Mark Leave'!$A$1:$E$1841,5,0),"")</f>
        <v>0</v>
      </c>
      <c r="AI70" s="98" t="str">
        <f>IF($B70&lt;&gt;"",COUNTIF($D70:$AH70,'Setting '!$H$2),"")</f>
        <v/>
      </c>
      <c r="AJ70" s="98" t="str">
        <f>IF($B70&lt;&gt;"",COUNTIF($D70:$AH70,'Setting '!$H$3)/2,"")</f>
        <v/>
      </c>
      <c r="AK70" s="98" t="str">
        <f>IF($B70&lt;&gt;"",COUNTIF($D70:$AH70,'Setting '!$H$4),"")</f>
        <v/>
      </c>
      <c r="AL70" s="98" t="str">
        <f t="shared" si="13"/>
        <v/>
      </c>
      <c r="AM70" s="117" t="str">
        <f>IF(B70&lt;&gt;"",_xlfn.IFNA(VLOOKUP(B70,'Leave Credit Sheet'!B70:K163,10,0),""),"")</f>
        <v/>
      </c>
      <c r="AN70" s="98" t="str">
        <f t="shared" si="17"/>
        <v/>
      </c>
      <c r="AO70" s="106" t="str">
        <f>IF(B70&lt;&gt;"",_xlfn.IFNA(INDEX('CTC Sheet'!$C$6:$N$101,MATCH(AttendanceSheet!$B70,'CTC Sheet'!$A$6:$A$101,0),MATCH(AttendanceSheet!$T$1,'CTC Sheet'!$C$5:$N$5,0)),0),"")</f>
        <v/>
      </c>
      <c r="AP70" s="106" t="str">
        <f>IF(B70&lt;&gt;"",_xlfn.IFNA(INDEX('CTC Sheet'!$R$6:$AC$100,MATCH(AttendanceSheet!$B70,'CTC Sheet'!$P$6:$P$100,0),MATCH(AttendanceSheet!$T$1,'CTC Sheet'!$R$5:$AC$5,0)),0),"")</f>
        <v/>
      </c>
      <c r="AQ70" s="106" t="str">
        <f t="shared" si="18"/>
        <v/>
      </c>
      <c r="AR70" s="106" t="str">
        <f t="shared" si="19"/>
        <v/>
      </c>
      <c r="AS70" s="106" t="str">
        <f t="shared" si="20"/>
        <v/>
      </c>
      <c r="AT70" s="106" t="str">
        <f t="shared" si="21"/>
        <v/>
      </c>
      <c r="AU70" s="106" t="str">
        <f t="shared" si="22"/>
        <v/>
      </c>
      <c r="AV70" s="106" t="str">
        <f t="shared" si="23"/>
        <v/>
      </c>
      <c r="AW70" s="106" t="str">
        <f>IF(B70&lt;&gt;"",_xlfn.IFNA(INDEX('OtherArrear payment'!$A$1:$N$95,MATCH(AttendanceSheet!$B70,'OtherArrear payment'!$A$1:$A$95,0),MATCH(AttendanceSheet!$T$1,'OtherArrear payment'!$A$1:$N$1,0)),0),"")</f>
        <v/>
      </c>
      <c r="AX70" s="106" t="str">
        <f t="shared" si="14"/>
        <v/>
      </c>
      <c r="AY70" s="106">
        <f t="shared" si="24"/>
        <v>0</v>
      </c>
      <c r="AZ70" s="106">
        <f t="shared" si="25"/>
        <v>0</v>
      </c>
      <c r="BA70" s="106">
        <f t="shared" si="26"/>
        <v>0</v>
      </c>
      <c r="BB70" s="106">
        <f t="shared" si="27"/>
        <v>0</v>
      </c>
      <c r="BC70" s="106" t="str">
        <f>IF($B70&lt;&gt;"",IF(BL70="Yes",IF($BI70="Mr.",IF($AX70&lt;=7500,0,IF(AND($AX70&lt;10000,$AX70&gt;7501),175,IF(AND($AX70&gt;10000,'Setting '!$G$28&lt;&gt;11),200,300))),IF(AND($AX70&lt;=10000,$BI70="Ms."),0,IF(AND($AX70&gt;10000,'Setting '!$G$28&lt;&gt;11),200,300))),0),"")</f>
        <v/>
      </c>
      <c r="BD70" s="42"/>
      <c r="BE70" s="212" t="str">
        <f>IF($B70&lt;&gt;"",IF('Advance Sheet'!AF67&gt;=0,INDEX('Advance Sheet'!$Q$3:$AD$100,MATCH(AttendanceSheet!$B70,'Advance Sheet'!$Q$3:$Q$100,0),MATCH(AttendanceSheet!$T$1,'Advance Sheet'!$Q$3:$AD$3,)),0),"")</f>
        <v/>
      </c>
      <c r="BF70" s="137" t="str">
        <f t="shared" si="15"/>
        <v/>
      </c>
      <c r="BG70" s="97" t="str">
        <f>IF(B70&lt;&gt;"",VLOOKUP(B70,'Employee Details'!A69:S152,17,0),"")</f>
        <v/>
      </c>
      <c r="BH70" s="97" t="str">
        <f>IF(B70&lt;&gt;"",VLOOKUP(B70,'Employee Details'!A69:S152,18,0),"")</f>
        <v/>
      </c>
      <c r="BI70" s="40" t="str">
        <f>IF(B70&lt;&gt;"",VLOOKUP(B70,'Employee Details'!A68:S151,19,0),"")</f>
        <v/>
      </c>
      <c r="BJ70" s="38" t="str">
        <f>IF(B70&lt;&gt;"",VLOOKUP(B70,'Employee Details'!A69:D100,4,0),"")</f>
        <v/>
      </c>
      <c r="BK70" s="38" t="str">
        <f>IF(B70&lt;&gt;"",VLOOKUP(B70,'Employee Details'!A69:E152,5,0),"")</f>
        <v/>
      </c>
      <c r="BL70" s="210" t="str">
        <f>IF(B70&lt;&gt;"",VLOOKUP(B70,'Employee Details'!A69:U152,21,0),"")</f>
        <v/>
      </c>
    </row>
    <row r="71" spans="2:64" ht="16.5" thickTop="1" thickBot="1" x14ac:dyDescent="0.3">
      <c r="B71" s="37" t="str">
        <f>_xlfn.IFNA(INDEX('Employee Details'!$A$7:$A74,MATCH(AttendanceSheet!$C71,'Employee Details'!$B$7:$B80,0)),"")</f>
        <v/>
      </c>
      <c r="C71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'!$J$1:J65))),"")</f>
        <v/>
      </c>
      <c r="D71" s="39" t="str">
        <f>IFERROR(VLOOKUP($B71&amp;D$5,'Mark Leave'!$A$1:$E$1841,5,0),"")</f>
        <v/>
      </c>
      <c r="E71" s="39" t="str">
        <f>IFERROR(VLOOKUP($B71&amp;E$5,'Mark Leave'!$A$1:$E$1841,5,0),"")</f>
        <v/>
      </c>
      <c r="F71" s="39" t="str">
        <f>IFERROR(VLOOKUP($B71&amp;F$5,'Mark Leave'!$A$1:$E$1841,5,0),"")</f>
        <v/>
      </c>
      <c r="G71" s="39" t="str">
        <f>IFERROR(VLOOKUP($B71&amp;G$5,'Mark Leave'!$A$1:$E$1841,5,0),"")</f>
        <v/>
      </c>
      <c r="H71" s="39" t="str">
        <f>IFERROR(VLOOKUP($B71&amp;H$5,'Mark Leave'!$A$1:$E$1841,5,0),"")</f>
        <v/>
      </c>
      <c r="I71" s="39" t="str">
        <f>IFERROR(VLOOKUP($B71&amp;I$5,'Mark Leave'!$A$1:$E$1841,5,0),"")</f>
        <v/>
      </c>
      <c r="J71" s="39" t="str">
        <f>IFERROR(VLOOKUP($B71&amp;J$5,'Mark Leave'!$A$1:$E$1841,5,0),"")</f>
        <v/>
      </c>
      <c r="K71" s="39" t="str">
        <f>IFERROR(VLOOKUP($B71&amp;K$5,'Mark Leave'!$A$1:$E$1841,5,0),"")</f>
        <v/>
      </c>
      <c r="L71" s="39" t="str">
        <f>IFERROR(VLOOKUP($B71&amp;L$5,'Mark Leave'!$A$1:$E$1841,5,0),"")</f>
        <v/>
      </c>
      <c r="M71" s="39" t="str">
        <f>IFERROR(VLOOKUP($B71&amp;M$5,'Mark Leave'!$A$1:$E$1841,5,0),"")</f>
        <v/>
      </c>
      <c r="N71" s="39" t="str">
        <f>IFERROR(VLOOKUP($B71&amp;N$5,'Mark Leave'!$A$1:$E$1841,5,0),"")</f>
        <v/>
      </c>
      <c r="O71" s="39" t="str">
        <f>IFERROR(VLOOKUP($B71&amp;O$5,'Mark Leave'!$A$1:$E$1841,5,0),"")</f>
        <v/>
      </c>
      <c r="P71" s="39" t="str">
        <f>IFERROR(VLOOKUP($B71&amp;P$5,'Mark Leave'!$A$1:$E$1841,5,0),"")</f>
        <v/>
      </c>
      <c r="Q71" s="39" t="str">
        <f>IFERROR(VLOOKUP($B71&amp;Q$5,'Mark Leave'!$A$1:$E$1841,5,0),"")</f>
        <v/>
      </c>
      <c r="R71" s="39" t="str">
        <f>IFERROR(VLOOKUP($B71&amp;R$5,'Mark Leave'!$A$1:$E$1841,5,0),"")</f>
        <v/>
      </c>
      <c r="S71" s="39" t="str">
        <f>IFERROR(VLOOKUP($B71&amp;S$5,'Mark Leave'!$A$1:$E$1841,5,0),"")</f>
        <v/>
      </c>
      <c r="T71" s="39" t="str">
        <f>IFERROR(VLOOKUP($B71&amp;T$5,'Mark Leave'!$A$1:$E$1841,5,0),"")</f>
        <v/>
      </c>
      <c r="U71" s="39" t="str">
        <f>IFERROR(VLOOKUP($B71&amp;U$5,'Mark Leave'!$A$1:$E$1841,5,0),"")</f>
        <v/>
      </c>
      <c r="V71" s="39" t="str">
        <f>IFERROR(VLOOKUP($B71&amp;V$5,'Mark Leave'!$A$1:$E$1841,5,0),"")</f>
        <v/>
      </c>
      <c r="W71" s="39" t="str">
        <f>IFERROR(VLOOKUP($B71&amp;W$5,'Mark Leave'!$A$1:$E$1841,5,0),"")</f>
        <v/>
      </c>
      <c r="X71" s="39" t="str">
        <f>IFERROR(VLOOKUP($B71&amp;X$5,'Mark Leave'!$A$1:$E$1841,5,0),"")</f>
        <v/>
      </c>
      <c r="Y71" s="39" t="str">
        <f>IFERROR(VLOOKUP($B71&amp;Y$5,'Mark Leave'!$A$1:$E$1841,5,0),"")</f>
        <v/>
      </c>
      <c r="Z71" s="39" t="str">
        <f>IFERROR(VLOOKUP($B71&amp;Z$5,'Mark Leave'!$A$1:$E$1841,5,0),"")</f>
        <v/>
      </c>
      <c r="AA71" s="39" t="str">
        <f>IFERROR(VLOOKUP($B71&amp;AA$5,'Mark Leave'!$A$1:$E$1841,5,0),"")</f>
        <v/>
      </c>
      <c r="AB71" s="39" t="str">
        <f>IFERROR(VLOOKUP($B71&amp;AB$5,'Mark Leave'!$A$1:$E$1841,5,0),"")</f>
        <v/>
      </c>
      <c r="AC71" s="39" t="str">
        <f>IFERROR(VLOOKUP($B71&amp;AC$5,'Mark Leave'!$A$1:$E$1841,5,0),"")</f>
        <v/>
      </c>
      <c r="AD71" s="39" t="str">
        <f>IFERROR(VLOOKUP($B71&amp;AD$5,'Mark Leave'!$A$1:$E$1841,5,0),"")</f>
        <v/>
      </c>
      <c r="AE71" s="39" t="str">
        <f>IFERROR(VLOOKUP($B71&amp;AE$5,'Mark Leave'!$A$1:$E$1841,5,0),"")</f>
        <v/>
      </c>
      <c r="AF71" s="39" t="str">
        <f>IFERROR(VLOOKUP($B71&amp;AF$5,'Mark Leave'!$A$1:$E$1841,5,0),"")</f>
        <v/>
      </c>
      <c r="AG71" s="39" t="str">
        <f>IFERROR(VLOOKUP($B71&amp;AG$5,'Mark Leave'!$A$1:$E$1841,5,0),"")</f>
        <v/>
      </c>
      <c r="AH71" s="39">
        <f>IFERROR(VLOOKUP($B71&amp;AH$5,'Mark Leave'!$A$1:$E$1841,5,0),"")</f>
        <v>0</v>
      </c>
      <c r="AI71" s="98" t="str">
        <f>IF($B71&lt;&gt;"",COUNTIF($D71:$AH71,'Setting '!$H$2),"")</f>
        <v/>
      </c>
      <c r="AJ71" s="98" t="str">
        <f>IF($B71&lt;&gt;"",COUNTIF($D71:$AH71,'Setting '!$H$3)/2,"")</f>
        <v/>
      </c>
      <c r="AK71" s="98" t="str">
        <f>IF($B71&lt;&gt;"",COUNTIF($D71:$AH71,'Setting '!$H$4),"")</f>
        <v/>
      </c>
      <c r="AL71" s="98" t="str">
        <f t="shared" si="13"/>
        <v/>
      </c>
      <c r="AM71" s="117" t="str">
        <f>IF(B71&lt;&gt;"",_xlfn.IFNA(VLOOKUP(B71,'Leave Credit Sheet'!B71:K164,10,0),""),"")</f>
        <v/>
      </c>
      <c r="AN71" s="98" t="str">
        <f t="shared" ref="AN71:AN100" si="28">IF(B71&lt;&gt;"",IF(BJ71="ONROLL",($E$1-$AM71),$E$1-AL71),"")</f>
        <v/>
      </c>
      <c r="AO71" s="106" t="str">
        <f>IF(B71&lt;&gt;"",_xlfn.IFNA(INDEX('CTC Sheet'!$C$6:$N$101,MATCH(AttendanceSheet!$B71,'CTC Sheet'!$A$6:$A$101,0),MATCH(AttendanceSheet!$T$1,'CTC Sheet'!$C$5:$N$5,0)),0),"")</f>
        <v/>
      </c>
      <c r="AP71" s="106" t="str">
        <f>IF(B71&lt;&gt;"",_xlfn.IFNA(INDEX('CTC Sheet'!$R$6:$AC$100,MATCH(AttendanceSheet!$B71,'CTC Sheet'!$P$6:$P$100,0),MATCH(AttendanceSheet!$T$1,'CTC Sheet'!$R$5:$AC$5,0)),0),"")</f>
        <v/>
      </c>
      <c r="AQ71" s="106" t="str">
        <f t="shared" ref="AQ71:AQ100" si="29">IF($B71&lt;&gt;"",IF($AO71&lt;&gt;0,(($AO71/$E$1)*$AN71)*33.33%,(($AN71*$AP71)*33.33%)),"")</f>
        <v/>
      </c>
      <c r="AR71" s="106" t="str">
        <f t="shared" ref="AR71:AR100" si="30">IF($B71&lt;&gt;"",$AQ71*50%,"")</f>
        <v/>
      </c>
      <c r="AS71" s="106" t="str">
        <f t="shared" ref="AS71:AS100" si="31">IF($B71&lt;&gt;"",$AQ71*60%,"")</f>
        <v/>
      </c>
      <c r="AT71" s="106" t="str">
        <f t="shared" ref="AT71:AT100" si="32">IF($B71&lt;&gt;"",$AQ71*40%,"")</f>
        <v/>
      </c>
      <c r="AU71" s="106" t="str">
        <f t="shared" ref="AU71:AU100" si="33">IF($B71&lt;&gt;"",$AQ71*30%,"")</f>
        <v/>
      </c>
      <c r="AV71" s="106" t="str">
        <f t="shared" ref="AV71:AV100" si="34">IF($B71&lt;&gt;"",$AQ71*20.03%,"")</f>
        <v/>
      </c>
      <c r="AW71" s="106" t="str">
        <f>IF(B71&lt;&gt;"",_xlfn.IFNA(INDEX('OtherArrear payment'!$A$1:$N$95,MATCH(AttendanceSheet!$B71,'OtherArrear payment'!$A$1:$A$95,0),MATCH(AttendanceSheet!$T$1,'OtherArrear payment'!$A$1:$N$1,0)),0),"")</f>
        <v/>
      </c>
      <c r="AX71" s="106" t="str">
        <f t="shared" si="14"/>
        <v/>
      </c>
      <c r="AY71" s="106">
        <f t="shared" ref="AY71:AY100" si="35">IF($BG71="YES",IF($B71&lt;&gt;"",IF(($AQ71+$AR71)&lt;=15000,($AQ71+$AR71)*13%,1800),""),0)</f>
        <v>0</v>
      </c>
      <c r="AZ71" s="106">
        <f t="shared" ref="AZ71:AZ100" si="36">IF($BG71="YES",IF($B71&lt;&gt;"",IF(($AQ71+$AR71)&lt;=15000,($AQ71+$AR71)*12%,1800),""),0)</f>
        <v>0</v>
      </c>
      <c r="BA71" s="106">
        <f t="shared" ref="BA71:BA100" si="37">IF($BH71="Yes",IF($B71&lt;&gt;"",IF($AX71&lt;=21000,$AX71*3.25%,0),""),0)</f>
        <v>0</v>
      </c>
      <c r="BB71" s="106">
        <f t="shared" ref="BB71:BB100" si="38">IF($BH71="Yes",IF($B71&lt;&gt;"",IF($AX71&lt;=21000,$AX71*0.75%,0),""),0)</f>
        <v>0</v>
      </c>
      <c r="BC71" s="106" t="str">
        <f>IF($B71&lt;&gt;"",IF(BL71="Yes",IF($BI71="Mr.",IF($AX71&lt;=7500,0,IF(AND($AX71&lt;10000,$AX71&gt;7501),175,IF(AND($AX71&gt;10000,'Setting '!$G$28&lt;&gt;11),200,300))),IF(AND($AX71&lt;=10000,$BI71="Ms."),0,IF(AND($AX71&gt;10000,'Setting '!$G$28&lt;&gt;11),200,300))),0),"")</f>
        <v/>
      </c>
      <c r="BD71" s="42"/>
      <c r="BE71" s="212" t="str">
        <f>IF($B71&lt;&gt;"",IF('Advance Sheet'!AF68&gt;=0,INDEX('Advance Sheet'!$Q$3:$AD$100,MATCH(AttendanceSheet!$B71,'Advance Sheet'!$Q$3:$Q$100,0),MATCH(AttendanceSheet!$T$1,'Advance Sheet'!$Q$3:$AD$3,)),0),"")</f>
        <v/>
      </c>
      <c r="BF71" s="137" t="str">
        <f t="shared" si="15"/>
        <v/>
      </c>
      <c r="BG71" s="97" t="str">
        <f>IF(B71&lt;&gt;"",VLOOKUP(B71,'Employee Details'!A70:S153,17,0),"")</f>
        <v/>
      </c>
      <c r="BH71" s="97" t="str">
        <f>IF(B71&lt;&gt;"",VLOOKUP(B71,'Employee Details'!A70:S153,18,0),"")</f>
        <v/>
      </c>
      <c r="BI71" s="40" t="str">
        <f>IF(B71&lt;&gt;"",VLOOKUP(B71,'Employee Details'!A69:S152,19,0),"")</f>
        <v/>
      </c>
      <c r="BJ71" s="38" t="str">
        <f>IF(B71&lt;&gt;"",VLOOKUP(B71,'Employee Details'!A70:D100,4,0),"")</f>
        <v/>
      </c>
      <c r="BK71" s="38" t="str">
        <f>IF(B71&lt;&gt;"",VLOOKUP(B71,'Employee Details'!A70:E153,5,0),"")</f>
        <v/>
      </c>
      <c r="BL71" s="210" t="str">
        <f>IF(B71&lt;&gt;"",VLOOKUP(B71,'Employee Details'!A70:U153,21,0),"")</f>
        <v/>
      </c>
    </row>
    <row r="72" spans="2:64" ht="16.5" thickTop="1" thickBot="1" x14ac:dyDescent="0.3">
      <c r="B72" s="37" t="str">
        <f>_xlfn.IFNA(INDEX('Employee Details'!$A$7:$A75,MATCH(AttendanceSheet!$C72,'Employee Details'!$B$7:$B81,0)),"")</f>
        <v/>
      </c>
      <c r="C72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'!$J$1:J66))),"")</f>
        <v/>
      </c>
      <c r="D72" s="39" t="str">
        <f>IFERROR(VLOOKUP($B72&amp;D$5,'Mark Leave'!$A$1:$E$1841,5,0),"")</f>
        <v/>
      </c>
      <c r="E72" s="39" t="str">
        <f>IFERROR(VLOOKUP($B72&amp;E$5,'Mark Leave'!$A$1:$E$1841,5,0),"")</f>
        <v/>
      </c>
      <c r="F72" s="39" t="str">
        <f>IFERROR(VLOOKUP($B72&amp;F$5,'Mark Leave'!$A$1:$E$1841,5,0),"")</f>
        <v/>
      </c>
      <c r="G72" s="39" t="str">
        <f>IFERROR(VLOOKUP($B72&amp;G$5,'Mark Leave'!$A$1:$E$1841,5,0),"")</f>
        <v/>
      </c>
      <c r="H72" s="39" t="str">
        <f>IFERROR(VLOOKUP($B72&amp;H$5,'Mark Leave'!$A$1:$E$1841,5,0),"")</f>
        <v/>
      </c>
      <c r="I72" s="39" t="str">
        <f>IFERROR(VLOOKUP($B72&amp;I$5,'Mark Leave'!$A$1:$E$1841,5,0),"")</f>
        <v/>
      </c>
      <c r="J72" s="39" t="str">
        <f>IFERROR(VLOOKUP($B72&amp;J$5,'Mark Leave'!$A$1:$E$1841,5,0),"")</f>
        <v/>
      </c>
      <c r="K72" s="39" t="str">
        <f>IFERROR(VLOOKUP($B72&amp;K$5,'Mark Leave'!$A$1:$E$1841,5,0),"")</f>
        <v/>
      </c>
      <c r="L72" s="39" t="str">
        <f>IFERROR(VLOOKUP($B72&amp;L$5,'Mark Leave'!$A$1:$E$1841,5,0),"")</f>
        <v/>
      </c>
      <c r="M72" s="39" t="str">
        <f>IFERROR(VLOOKUP($B72&amp;M$5,'Mark Leave'!$A$1:$E$1841,5,0),"")</f>
        <v/>
      </c>
      <c r="N72" s="39" t="str">
        <f>IFERROR(VLOOKUP($B72&amp;N$5,'Mark Leave'!$A$1:$E$1841,5,0),"")</f>
        <v/>
      </c>
      <c r="O72" s="39" t="str">
        <f>IFERROR(VLOOKUP($B72&amp;O$5,'Mark Leave'!$A$1:$E$1841,5,0),"")</f>
        <v/>
      </c>
      <c r="P72" s="39" t="str">
        <f>IFERROR(VLOOKUP($B72&amp;P$5,'Mark Leave'!$A$1:$E$1841,5,0),"")</f>
        <v/>
      </c>
      <c r="Q72" s="39" t="str">
        <f>IFERROR(VLOOKUP($B72&amp;Q$5,'Mark Leave'!$A$1:$E$1841,5,0),"")</f>
        <v/>
      </c>
      <c r="R72" s="39" t="str">
        <f>IFERROR(VLOOKUP($B72&amp;R$5,'Mark Leave'!$A$1:$E$1841,5,0),"")</f>
        <v/>
      </c>
      <c r="S72" s="39" t="str">
        <f>IFERROR(VLOOKUP($B72&amp;S$5,'Mark Leave'!$A$1:$E$1841,5,0),"")</f>
        <v/>
      </c>
      <c r="T72" s="39" t="str">
        <f>IFERROR(VLOOKUP($B72&amp;T$5,'Mark Leave'!$A$1:$E$1841,5,0),"")</f>
        <v/>
      </c>
      <c r="U72" s="39" t="str">
        <f>IFERROR(VLOOKUP($B72&amp;U$5,'Mark Leave'!$A$1:$E$1841,5,0),"")</f>
        <v/>
      </c>
      <c r="V72" s="39" t="str">
        <f>IFERROR(VLOOKUP($B72&amp;V$5,'Mark Leave'!$A$1:$E$1841,5,0),"")</f>
        <v/>
      </c>
      <c r="W72" s="39" t="str">
        <f>IFERROR(VLOOKUP($B72&amp;W$5,'Mark Leave'!$A$1:$E$1841,5,0),"")</f>
        <v/>
      </c>
      <c r="X72" s="39" t="str">
        <f>IFERROR(VLOOKUP($B72&amp;X$5,'Mark Leave'!$A$1:$E$1841,5,0),"")</f>
        <v/>
      </c>
      <c r="Y72" s="39" t="str">
        <f>IFERROR(VLOOKUP($B72&amp;Y$5,'Mark Leave'!$A$1:$E$1841,5,0),"")</f>
        <v/>
      </c>
      <c r="Z72" s="39" t="str">
        <f>IFERROR(VLOOKUP($B72&amp;Z$5,'Mark Leave'!$A$1:$E$1841,5,0),"")</f>
        <v/>
      </c>
      <c r="AA72" s="39" t="str">
        <f>IFERROR(VLOOKUP($B72&amp;AA$5,'Mark Leave'!$A$1:$E$1841,5,0),"")</f>
        <v/>
      </c>
      <c r="AB72" s="39" t="str">
        <f>IFERROR(VLOOKUP($B72&amp;AB$5,'Mark Leave'!$A$1:$E$1841,5,0),"")</f>
        <v/>
      </c>
      <c r="AC72" s="39" t="str">
        <f>IFERROR(VLOOKUP($B72&amp;AC$5,'Mark Leave'!$A$1:$E$1841,5,0),"")</f>
        <v/>
      </c>
      <c r="AD72" s="39" t="str">
        <f>IFERROR(VLOOKUP($B72&amp;AD$5,'Mark Leave'!$A$1:$E$1841,5,0),"")</f>
        <v/>
      </c>
      <c r="AE72" s="39" t="str">
        <f>IFERROR(VLOOKUP($B72&amp;AE$5,'Mark Leave'!$A$1:$E$1841,5,0),"")</f>
        <v/>
      </c>
      <c r="AF72" s="39" t="str">
        <f>IFERROR(VLOOKUP($B72&amp;AF$5,'Mark Leave'!$A$1:$E$1841,5,0),"")</f>
        <v/>
      </c>
      <c r="AG72" s="39" t="str">
        <f>IFERROR(VLOOKUP($B72&amp;AG$5,'Mark Leave'!$A$1:$E$1841,5,0),"")</f>
        <v/>
      </c>
      <c r="AH72" s="39">
        <f>IFERROR(VLOOKUP($B72&amp;AH$5,'Mark Leave'!$A$1:$E$1841,5,0),"")</f>
        <v>0</v>
      </c>
      <c r="AI72" s="98" t="str">
        <f>IF($B72&lt;&gt;"",COUNTIF($D72:$AH72,'Setting '!$H$2),"")</f>
        <v/>
      </c>
      <c r="AJ72" s="98" t="str">
        <f>IF($B72&lt;&gt;"",COUNTIF($D72:$AH72,'Setting '!$H$3)/2,"")</f>
        <v/>
      </c>
      <c r="AK72" s="98" t="str">
        <f>IF($B72&lt;&gt;"",COUNTIF($D72:$AH72,'Setting '!$H$4),"")</f>
        <v/>
      </c>
      <c r="AL72" s="98" t="str">
        <f t="shared" ref="AL72:AL100" si="39">IF($B72&lt;&gt;"",(AI72+AJ72),"")</f>
        <v/>
      </c>
      <c r="AM72" s="117" t="str">
        <f>IF(B72&lt;&gt;"",_xlfn.IFNA(VLOOKUP(B72,'Leave Credit Sheet'!B72:K165,10,0),""),"")</f>
        <v/>
      </c>
      <c r="AN72" s="98" t="str">
        <f t="shared" si="28"/>
        <v/>
      </c>
      <c r="AO72" s="106" t="str">
        <f>IF(B72&lt;&gt;"",_xlfn.IFNA(INDEX('CTC Sheet'!$C$6:$N$101,MATCH(AttendanceSheet!$B72,'CTC Sheet'!$A$6:$A$101,0),MATCH(AttendanceSheet!$T$1,'CTC Sheet'!$C$5:$N$5,0)),0),"")</f>
        <v/>
      </c>
      <c r="AP72" s="106" t="str">
        <f>IF(B72&lt;&gt;"",_xlfn.IFNA(INDEX('CTC Sheet'!$R$6:$AC$100,MATCH(AttendanceSheet!$B72,'CTC Sheet'!$P$6:$P$100,0),MATCH(AttendanceSheet!$T$1,'CTC Sheet'!$R$5:$AC$5,0)),0),"")</f>
        <v/>
      </c>
      <c r="AQ72" s="106" t="str">
        <f t="shared" si="29"/>
        <v/>
      </c>
      <c r="AR72" s="106" t="str">
        <f t="shared" si="30"/>
        <v/>
      </c>
      <c r="AS72" s="106" t="str">
        <f t="shared" si="31"/>
        <v/>
      </c>
      <c r="AT72" s="106" t="str">
        <f t="shared" si="32"/>
        <v/>
      </c>
      <c r="AU72" s="106" t="str">
        <f t="shared" si="33"/>
        <v/>
      </c>
      <c r="AV72" s="106" t="str">
        <f t="shared" si="34"/>
        <v/>
      </c>
      <c r="AW72" s="106" t="str">
        <f>IF(B72&lt;&gt;"",_xlfn.IFNA(INDEX('OtherArrear payment'!$A$1:$N$95,MATCH(AttendanceSheet!$B72,'OtherArrear payment'!$A$1:$A$95,0),MATCH(AttendanceSheet!$T$1,'OtherArrear payment'!$A$1:$N$1,0)),0),"")</f>
        <v/>
      </c>
      <c r="AX72" s="106" t="str">
        <f t="shared" ref="AX72:AX100" si="40">IF($B72&lt;&gt;"",$AQ72+$AR72+$AS72+$AT72+$AU72+$AV72,"")</f>
        <v/>
      </c>
      <c r="AY72" s="106">
        <f t="shared" si="35"/>
        <v>0</v>
      </c>
      <c r="AZ72" s="106">
        <f t="shared" si="36"/>
        <v>0</v>
      </c>
      <c r="BA72" s="106">
        <f t="shared" si="37"/>
        <v>0</v>
      </c>
      <c r="BB72" s="106">
        <f t="shared" si="38"/>
        <v>0</v>
      </c>
      <c r="BC72" s="106" t="str">
        <f>IF($B72&lt;&gt;"",IF(BL72="Yes",IF($BI72="Mr.",IF($AX72&lt;=7500,0,IF(AND($AX72&lt;10000,$AX72&gt;7501),175,IF(AND($AX72&gt;10000,'Setting '!$G$28&lt;&gt;11),200,300))),IF(AND($AX72&lt;=10000,$BI72="Ms."),0,IF(AND($AX72&gt;10000,'Setting '!$G$28&lt;&gt;11),200,300))),0),"")</f>
        <v/>
      </c>
      <c r="BD72" s="42"/>
      <c r="BE72" s="212" t="str">
        <f>IF($B72&lt;&gt;"",IF('Advance Sheet'!AF69&gt;=0,INDEX('Advance Sheet'!$Q$3:$AD$100,MATCH(AttendanceSheet!$B72,'Advance Sheet'!$Q$3:$Q$100,0),MATCH(AttendanceSheet!$T$1,'Advance Sheet'!$Q$3:$AD$3,)),0),"")</f>
        <v/>
      </c>
      <c r="BF72" s="137" t="str">
        <f t="shared" ref="BF72:BF100" si="41">IF($B72&lt;&gt;"",$AX72+AW72-($AY72+$AZ72+$BA72+$BB72+$BC72+$BD72+$BE72),"")</f>
        <v/>
      </c>
      <c r="BG72" s="97" t="str">
        <f>IF(B72&lt;&gt;"",VLOOKUP(B72,'Employee Details'!A71:S154,17,0),"")</f>
        <v/>
      </c>
      <c r="BH72" s="97" t="str">
        <f>IF(B72&lt;&gt;"",VLOOKUP(B72,'Employee Details'!A71:S154,18,0),"")</f>
        <v/>
      </c>
      <c r="BI72" s="40" t="str">
        <f>IF(B72&lt;&gt;"",VLOOKUP(B72,'Employee Details'!A70:S153,19,0),"")</f>
        <v/>
      </c>
      <c r="BJ72" s="38" t="str">
        <f>IF(B72&lt;&gt;"",VLOOKUP(B72,'Employee Details'!A71:D100,4,0),"")</f>
        <v/>
      </c>
      <c r="BK72" s="38" t="str">
        <f>IF(B72&lt;&gt;"",VLOOKUP(B72,'Employee Details'!A71:E154,5,0),"")</f>
        <v/>
      </c>
      <c r="BL72" s="210" t="str">
        <f>IF(B72&lt;&gt;"",VLOOKUP(B72,'Employee Details'!A71:U154,21,0),"")</f>
        <v/>
      </c>
    </row>
    <row r="73" spans="2:64" ht="16.5" thickTop="1" thickBot="1" x14ac:dyDescent="0.3">
      <c r="B73" s="37" t="str">
        <f>_xlfn.IFNA(INDEX('Employee Details'!$A$7:$A76,MATCH(AttendanceSheet!$C73,'Employee Details'!$B$7:$B82,0)),"")</f>
        <v/>
      </c>
      <c r="C73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'!$J$1:J67))),"")</f>
        <v/>
      </c>
      <c r="D73" s="39" t="str">
        <f>IFERROR(VLOOKUP($B73&amp;D$5,'Mark Leave'!$A$1:$E$1841,5,0),"")</f>
        <v/>
      </c>
      <c r="E73" s="39" t="str">
        <f>IFERROR(VLOOKUP($B73&amp;E$5,'Mark Leave'!$A$1:$E$1841,5,0),"")</f>
        <v/>
      </c>
      <c r="F73" s="39" t="str">
        <f>IFERROR(VLOOKUP($B73&amp;F$5,'Mark Leave'!$A$1:$E$1841,5,0),"")</f>
        <v/>
      </c>
      <c r="G73" s="39" t="str">
        <f>IFERROR(VLOOKUP($B73&amp;G$5,'Mark Leave'!$A$1:$E$1841,5,0),"")</f>
        <v/>
      </c>
      <c r="H73" s="39" t="str">
        <f>IFERROR(VLOOKUP($B73&amp;H$5,'Mark Leave'!$A$1:$E$1841,5,0),"")</f>
        <v/>
      </c>
      <c r="I73" s="39" t="str">
        <f>IFERROR(VLOOKUP($B73&amp;I$5,'Mark Leave'!$A$1:$E$1841,5,0),"")</f>
        <v/>
      </c>
      <c r="J73" s="39" t="str">
        <f>IFERROR(VLOOKUP($B73&amp;J$5,'Mark Leave'!$A$1:$E$1841,5,0),"")</f>
        <v/>
      </c>
      <c r="K73" s="39" t="str">
        <f>IFERROR(VLOOKUP($B73&amp;K$5,'Mark Leave'!$A$1:$E$1841,5,0),"")</f>
        <v/>
      </c>
      <c r="L73" s="39" t="str">
        <f>IFERROR(VLOOKUP($B73&amp;L$5,'Mark Leave'!$A$1:$E$1841,5,0),"")</f>
        <v/>
      </c>
      <c r="M73" s="39" t="str">
        <f>IFERROR(VLOOKUP($B73&amp;M$5,'Mark Leave'!$A$1:$E$1841,5,0),"")</f>
        <v/>
      </c>
      <c r="N73" s="39" t="str">
        <f>IFERROR(VLOOKUP($B73&amp;N$5,'Mark Leave'!$A$1:$E$1841,5,0),"")</f>
        <v/>
      </c>
      <c r="O73" s="39" t="str">
        <f>IFERROR(VLOOKUP($B73&amp;O$5,'Mark Leave'!$A$1:$E$1841,5,0),"")</f>
        <v/>
      </c>
      <c r="P73" s="39" t="str">
        <f>IFERROR(VLOOKUP($B73&amp;P$5,'Mark Leave'!$A$1:$E$1841,5,0),"")</f>
        <v/>
      </c>
      <c r="Q73" s="39" t="str">
        <f>IFERROR(VLOOKUP($B73&amp;Q$5,'Mark Leave'!$A$1:$E$1841,5,0),"")</f>
        <v/>
      </c>
      <c r="R73" s="39" t="str">
        <f>IFERROR(VLOOKUP($B73&amp;R$5,'Mark Leave'!$A$1:$E$1841,5,0),"")</f>
        <v/>
      </c>
      <c r="S73" s="39" t="str">
        <f>IFERROR(VLOOKUP($B73&amp;S$5,'Mark Leave'!$A$1:$E$1841,5,0),"")</f>
        <v/>
      </c>
      <c r="T73" s="39" t="str">
        <f>IFERROR(VLOOKUP($B73&amp;T$5,'Mark Leave'!$A$1:$E$1841,5,0),"")</f>
        <v/>
      </c>
      <c r="U73" s="39" t="str">
        <f>IFERROR(VLOOKUP($B73&amp;U$5,'Mark Leave'!$A$1:$E$1841,5,0),"")</f>
        <v/>
      </c>
      <c r="V73" s="39" t="str">
        <f>IFERROR(VLOOKUP($B73&amp;V$5,'Mark Leave'!$A$1:$E$1841,5,0),"")</f>
        <v/>
      </c>
      <c r="W73" s="39" t="str">
        <f>IFERROR(VLOOKUP($B73&amp;W$5,'Mark Leave'!$A$1:$E$1841,5,0),"")</f>
        <v/>
      </c>
      <c r="X73" s="39" t="str">
        <f>IFERROR(VLOOKUP($B73&amp;X$5,'Mark Leave'!$A$1:$E$1841,5,0),"")</f>
        <v/>
      </c>
      <c r="Y73" s="39" t="str">
        <f>IFERROR(VLOOKUP($B73&amp;Y$5,'Mark Leave'!$A$1:$E$1841,5,0),"")</f>
        <v/>
      </c>
      <c r="Z73" s="39" t="str">
        <f>IFERROR(VLOOKUP($B73&amp;Z$5,'Mark Leave'!$A$1:$E$1841,5,0),"")</f>
        <v/>
      </c>
      <c r="AA73" s="39" t="str">
        <f>IFERROR(VLOOKUP($B73&amp;AA$5,'Mark Leave'!$A$1:$E$1841,5,0),"")</f>
        <v/>
      </c>
      <c r="AB73" s="39" t="str">
        <f>IFERROR(VLOOKUP($B73&amp;AB$5,'Mark Leave'!$A$1:$E$1841,5,0),"")</f>
        <v/>
      </c>
      <c r="AC73" s="39" t="str">
        <f>IFERROR(VLOOKUP($B73&amp;AC$5,'Mark Leave'!$A$1:$E$1841,5,0),"")</f>
        <v/>
      </c>
      <c r="AD73" s="39" t="str">
        <f>IFERROR(VLOOKUP($B73&amp;AD$5,'Mark Leave'!$A$1:$E$1841,5,0),"")</f>
        <v/>
      </c>
      <c r="AE73" s="39" t="str">
        <f>IFERROR(VLOOKUP($B73&amp;AE$5,'Mark Leave'!$A$1:$E$1841,5,0),"")</f>
        <v/>
      </c>
      <c r="AF73" s="39" t="str">
        <f>IFERROR(VLOOKUP($B73&amp;AF$5,'Mark Leave'!$A$1:$E$1841,5,0),"")</f>
        <v/>
      </c>
      <c r="AG73" s="39" t="str">
        <f>IFERROR(VLOOKUP($B73&amp;AG$5,'Mark Leave'!$A$1:$E$1841,5,0),"")</f>
        <v/>
      </c>
      <c r="AH73" s="39">
        <f>IFERROR(VLOOKUP($B73&amp;AH$5,'Mark Leave'!$A$1:$E$1841,5,0),"")</f>
        <v>0</v>
      </c>
      <c r="AI73" s="98" t="str">
        <f>IF($B73&lt;&gt;"",COUNTIF($D73:$AH73,'Setting '!$H$2),"")</f>
        <v/>
      </c>
      <c r="AJ73" s="98" t="str">
        <f>IF($B73&lt;&gt;"",COUNTIF($D73:$AH73,'Setting '!$H$3)/2,"")</f>
        <v/>
      </c>
      <c r="AK73" s="98" t="str">
        <f>IF($B73&lt;&gt;"",COUNTIF($D73:$AH73,'Setting '!$H$4),"")</f>
        <v/>
      </c>
      <c r="AL73" s="98" t="str">
        <f t="shared" si="39"/>
        <v/>
      </c>
      <c r="AM73" s="117" t="str">
        <f>IF(B73&lt;&gt;"",_xlfn.IFNA(VLOOKUP(B73,'Leave Credit Sheet'!B73:K166,10,0),""),"")</f>
        <v/>
      </c>
      <c r="AN73" s="98" t="str">
        <f t="shared" si="28"/>
        <v/>
      </c>
      <c r="AO73" s="106" t="str">
        <f>IF(B73&lt;&gt;"",_xlfn.IFNA(INDEX('CTC Sheet'!$C$6:$N$101,MATCH(AttendanceSheet!$B73,'CTC Sheet'!$A$6:$A$101,0),MATCH(AttendanceSheet!$T$1,'CTC Sheet'!$C$5:$N$5,0)),0),"")</f>
        <v/>
      </c>
      <c r="AP73" s="106" t="str">
        <f>IF(B73&lt;&gt;"",_xlfn.IFNA(INDEX('CTC Sheet'!$R$6:$AC$100,MATCH(AttendanceSheet!$B73,'CTC Sheet'!$P$6:$P$100,0),MATCH(AttendanceSheet!$T$1,'CTC Sheet'!$R$5:$AC$5,0)),0),"")</f>
        <v/>
      </c>
      <c r="AQ73" s="106" t="str">
        <f t="shared" si="29"/>
        <v/>
      </c>
      <c r="AR73" s="106" t="str">
        <f t="shared" si="30"/>
        <v/>
      </c>
      <c r="AS73" s="106" t="str">
        <f t="shared" si="31"/>
        <v/>
      </c>
      <c r="AT73" s="106" t="str">
        <f t="shared" si="32"/>
        <v/>
      </c>
      <c r="AU73" s="106" t="str">
        <f t="shared" si="33"/>
        <v/>
      </c>
      <c r="AV73" s="106" t="str">
        <f t="shared" si="34"/>
        <v/>
      </c>
      <c r="AW73" s="106" t="str">
        <f>IF(B73&lt;&gt;"",_xlfn.IFNA(INDEX('OtherArrear payment'!$A$1:$N$95,MATCH(AttendanceSheet!$B73,'OtherArrear payment'!$A$1:$A$95,0),MATCH(AttendanceSheet!$T$1,'OtherArrear payment'!$A$1:$N$1,0)),0),"")</f>
        <v/>
      </c>
      <c r="AX73" s="106" t="str">
        <f t="shared" si="40"/>
        <v/>
      </c>
      <c r="AY73" s="106">
        <f t="shared" si="35"/>
        <v>0</v>
      </c>
      <c r="AZ73" s="106">
        <f t="shared" si="36"/>
        <v>0</v>
      </c>
      <c r="BA73" s="106">
        <f t="shared" si="37"/>
        <v>0</v>
      </c>
      <c r="BB73" s="106">
        <f t="shared" si="38"/>
        <v>0</v>
      </c>
      <c r="BC73" s="106" t="str">
        <f>IF($B73&lt;&gt;"",IF(BL73="Yes",IF($BI73="Mr.",IF($AX73&lt;=7500,0,IF(AND($AX73&lt;10000,$AX73&gt;7501),175,IF(AND($AX73&gt;10000,'Setting '!$G$28&lt;&gt;11),200,300))),IF(AND($AX73&lt;=10000,$BI73="Ms."),0,IF(AND($AX73&gt;10000,'Setting '!$G$28&lt;&gt;11),200,300))),0),"")</f>
        <v/>
      </c>
      <c r="BD73" s="42"/>
      <c r="BE73" s="212" t="str">
        <f>IF($B73&lt;&gt;"",IF('Advance Sheet'!AF70&gt;=0,INDEX('Advance Sheet'!$Q$3:$AD$100,MATCH(AttendanceSheet!$B73,'Advance Sheet'!$Q$3:$Q$100,0),MATCH(AttendanceSheet!$T$1,'Advance Sheet'!$Q$3:$AD$3,)),0),"")</f>
        <v/>
      </c>
      <c r="BF73" s="137" t="str">
        <f t="shared" si="41"/>
        <v/>
      </c>
      <c r="BG73" s="97" t="str">
        <f>IF(B73&lt;&gt;"",VLOOKUP(B73,'Employee Details'!A72:S155,17,0),"")</f>
        <v/>
      </c>
      <c r="BH73" s="97" t="str">
        <f>IF(B73&lt;&gt;"",VLOOKUP(B73,'Employee Details'!A72:S155,18,0),"")</f>
        <v/>
      </c>
      <c r="BI73" s="40" t="str">
        <f>IF(B73&lt;&gt;"",VLOOKUP(B73,'Employee Details'!A71:S154,19,0),"")</f>
        <v/>
      </c>
      <c r="BJ73" s="38" t="str">
        <f>IF(B73&lt;&gt;"",VLOOKUP(B73,'Employee Details'!A72:D100,4,0),"")</f>
        <v/>
      </c>
      <c r="BK73" s="38" t="str">
        <f>IF(B73&lt;&gt;"",VLOOKUP(B73,'Employee Details'!A72:E155,5,0),"")</f>
        <v/>
      </c>
      <c r="BL73" s="210" t="str">
        <f>IF(B73&lt;&gt;"",VLOOKUP(B73,'Employee Details'!A72:U155,21,0),"")</f>
        <v/>
      </c>
    </row>
    <row r="74" spans="2:64" ht="16.5" thickTop="1" thickBot="1" x14ac:dyDescent="0.3">
      <c r="B74" s="37" t="str">
        <f>_xlfn.IFNA(INDEX('Employee Details'!$A$7:$A77,MATCH(AttendanceSheet!$C74,'Employee Details'!$B$7:$B83,0)),"")</f>
        <v/>
      </c>
      <c r="C74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'!$J$1:J68))),"")</f>
        <v/>
      </c>
      <c r="D74" s="39" t="str">
        <f>IFERROR(VLOOKUP($B74&amp;D$5,'Mark Leave'!$A$1:$E$1841,5,0),"")</f>
        <v/>
      </c>
      <c r="E74" s="39" t="str">
        <f>IFERROR(VLOOKUP($B74&amp;E$5,'Mark Leave'!$A$1:$E$1841,5,0),"")</f>
        <v/>
      </c>
      <c r="F74" s="39" t="str">
        <f>IFERROR(VLOOKUP($B74&amp;F$5,'Mark Leave'!$A$1:$E$1841,5,0),"")</f>
        <v/>
      </c>
      <c r="G74" s="39" t="str">
        <f>IFERROR(VLOOKUP($B74&amp;G$5,'Mark Leave'!$A$1:$E$1841,5,0),"")</f>
        <v/>
      </c>
      <c r="H74" s="39" t="str">
        <f>IFERROR(VLOOKUP($B74&amp;H$5,'Mark Leave'!$A$1:$E$1841,5,0),"")</f>
        <v/>
      </c>
      <c r="I74" s="39" t="str">
        <f>IFERROR(VLOOKUP($B74&amp;I$5,'Mark Leave'!$A$1:$E$1841,5,0),"")</f>
        <v/>
      </c>
      <c r="J74" s="39" t="str">
        <f>IFERROR(VLOOKUP($B74&amp;J$5,'Mark Leave'!$A$1:$E$1841,5,0),"")</f>
        <v/>
      </c>
      <c r="K74" s="39" t="str">
        <f>IFERROR(VLOOKUP($B74&amp;K$5,'Mark Leave'!$A$1:$E$1841,5,0),"")</f>
        <v/>
      </c>
      <c r="L74" s="39" t="str">
        <f>IFERROR(VLOOKUP($B74&amp;L$5,'Mark Leave'!$A$1:$E$1841,5,0),"")</f>
        <v/>
      </c>
      <c r="M74" s="39" t="str">
        <f>IFERROR(VLOOKUP($B74&amp;M$5,'Mark Leave'!$A$1:$E$1841,5,0),"")</f>
        <v/>
      </c>
      <c r="N74" s="39" t="str">
        <f>IFERROR(VLOOKUP($B74&amp;N$5,'Mark Leave'!$A$1:$E$1841,5,0),"")</f>
        <v/>
      </c>
      <c r="O74" s="39" t="str">
        <f>IFERROR(VLOOKUP($B74&amp;O$5,'Mark Leave'!$A$1:$E$1841,5,0),"")</f>
        <v/>
      </c>
      <c r="P74" s="39" t="str">
        <f>IFERROR(VLOOKUP($B74&amp;P$5,'Mark Leave'!$A$1:$E$1841,5,0),"")</f>
        <v/>
      </c>
      <c r="Q74" s="39" t="str">
        <f>IFERROR(VLOOKUP($B74&amp;Q$5,'Mark Leave'!$A$1:$E$1841,5,0),"")</f>
        <v/>
      </c>
      <c r="R74" s="39" t="str">
        <f>IFERROR(VLOOKUP($B74&amp;R$5,'Mark Leave'!$A$1:$E$1841,5,0),"")</f>
        <v/>
      </c>
      <c r="S74" s="39" t="str">
        <f>IFERROR(VLOOKUP($B74&amp;S$5,'Mark Leave'!$A$1:$E$1841,5,0),"")</f>
        <v/>
      </c>
      <c r="T74" s="39" t="str">
        <f>IFERROR(VLOOKUP($B74&amp;T$5,'Mark Leave'!$A$1:$E$1841,5,0),"")</f>
        <v/>
      </c>
      <c r="U74" s="39" t="str">
        <f>IFERROR(VLOOKUP($B74&amp;U$5,'Mark Leave'!$A$1:$E$1841,5,0),"")</f>
        <v/>
      </c>
      <c r="V74" s="39" t="str">
        <f>IFERROR(VLOOKUP($B74&amp;V$5,'Mark Leave'!$A$1:$E$1841,5,0),"")</f>
        <v/>
      </c>
      <c r="W74" s="39" t="str">
        <f>IFERROR(VLOOKUP($B74&amp;W$5,'Mark Leave'!$A$1:$E$1841,5,0),"")</f>
        <v/>
      </c>
      <c r="X74" s="39" t="str">
        <f>IFERROR(VLOOKUP($B74&amp;X$5,'Mark Leave'!$A$1:$E$1841,5,0),"")</f>
        <v/>
      </c>
      <c r="Y74" s="39" t="str">
        <f>IFERROR(VLOOKUP($B74&amp;Y$5,'Mark Leave'!$A$1:$E$1841,5,0),"")</f>
        <v/>
      </c>
      <c r="Z74" s="39" t="str">
        <f>IFERROR(VLOOKUP($B74&amp;Z$5,'Mark Leave'!$A$1:$E$1841,5,0),"")</f>
        <v/>
      </c>
      <c r="AA74" s="39" t="str">
        <f>IFERROR(VLOOKUP($B74&amp;AA$5,'Mark Leave'!$A$1:$E$1841,5,0),"")</f>
        <v/>
      </c>
      <c r="AB74" s="39" t="str">
        <f>IFERROR(VLOOKUP($B74&amp;AB$5,'Mark Leave'!$A$1:$E$1841,5,0),"")</f>
        <v/>
      </c>
      <c r="AC74" s="39" t="str">
        <f>IFERROR(VLOOKUP($B74&amp;AC$5,'Mark Leave'!$A$1:$E$1841,5,0),"")</f>
        <v/>
      </c>
      <c r="AD74" s="39" t="str">
        <f>IFERROR(VLOOKUP($B74&amp;AD$5,'Mark Leave'!$A$1:$E$1841,5,0),"")</f>
        <v/>
      </c>
      <c r="AE74" s="39" t="str">
        <f>IFERROR(VLOOKUP($B74&amp;AE$5,'Mark Leave'!$A$1:$E$1841,5,0),"")</f>
        <v/>
      </c>
      <c r="AF74" s="39" t="str">
        <f>IFERROR(VLOOKUP($B74&amp;AF$5,'Mark Leave'!$A$1:$E$1841,5,0),"")</f>
        <v/>
      </c>
      <c r="AG74" s="39" t="str">
        <f>IFERROR(VLOOKUP($B74&amp;AG$5,'Mark Leave'!$A$1:$E$1841,5,0),"")</f>
        <v/>
      </c>
      <c r="AH74" s="39">
        <f>IFERROR(VLOOKUP($B74&amp;AH$5,'Mark Leave'!$A$1:$E$1841,5,0),"")</f>
        <v>0</v>
      </c>
      <c r="AI74" s="98" t="str">
        <f>IF($B74&lt;&gt;"",COUNTIF($D74:$AH74,'Setting '!$H$2),"")</f>
        <v/>
      </c>
      <c r="AJ74" s="98" t="str">
        <f>IF($B74&lt;&gt;"",COUNTIF($D74:$AH74,'Setting '!$H$3)/2,"")</f>
        <v/>
      </c>
      <c r="AK74" s="98" t="str">
        <f>IF($B74&lt;&gt;"",COUNTIF($D74:$AH74,'Setting '!$H$4),"")</f>
        <v/>
      </c>
      <c r="AL74" s="98" t="str">
        <f t="shared" si="39"/>
        <v/>
      </c>
      <c r="AM74" s="117" t="str">
        <f>IF(B74&lt;&gt;"",_xlfn.IFNA(VLOOKUP(B74,'Leave Credit Sheet'!B74:K167,10,0),""),"")</f>
        <v/>
      </c>
      <c r="AN74" s="98" t="str">
        <f t="shared" si="28"/>
        <v/>
      </c>
      <c r="AO74" s="106" t="str">
        <f>IF(B74&lt;&gt;"",_xlfn.IFNA(INDEX('CTC Sheet'!$C$6:$N$101,MATCH(AttendanceSheet!$B74,'CTC Sheet'!$A$6:$A$101,0),MATCH(AttendanceSheet!$T$1,'CTC Sheet'!$C$5:$N$5,0)),0),"")</f>
        <v/>
      </c>
      <c r="AP74" s="106" t="str">
        <f>IF(B74&lt;&gt;"",_xlfn.IFNA(INDEX('CTC Sheet'!$R$6:$AC$100,MATCH(AttendanceSheet!$B74,'CTC Sheet'!$P$6:$P$100,0),MATCH(AttendanceSheet!$T$1,'CTC Sheet'!$R$5:$AC$5,0)),0),"")</f>
        <v/>
      </c>
      <c r="AQ74" s="106" t="str">
        <f t="shared" si="29"/>
        <v/>
      </c>
      <c r="AR74" s="106" t="str">
        <f t="shared" si="30"/>
        <v/>
      </c>
      <c r="AS74" s="106" t="str">
        <f t="shared" si="31"/>
        <v/>
      </c>
      <c r="AT74" s="106" t="str">
        <f t="shared" si="32"/>
        <v/>
      </c>
      <c r="AU74" s="106" t="str">
        <f t="shared" si="33"/>
        <v/>
      </c>
      <c r="AV74" s="106" t="str">
        <f t="shared" si="34"/>
        <v/>
      </c>
      <c r="AW74" s="106" t="str">
        <f>IF(B74&lt;&gt;"",_xlfn.IFNA(INDEX('OtherArrear payment'!$A$1:$N$95,MATCH(AttendanceSheet!$B74,'OtherArrear payment'!$A$1:$A$95,0),MATCH(AttendanceSheet!$T$1,'OtherArrear payment'!$A$1:$N$1,0)),0),"")</f>
        <v/>
      </c>
      <c r="AX74" s="106" t="str">
        <f t="shared" si="40"/>
        <v/>
      </c>
      <c r="AY74" s="106">
        <f t="shared" si="35"/>
        <v>0</v>
      </c>
      <c r="AZ74" s="106">
        <f t="shared" si="36"/>
        <v>0</v>
      </c>
      <c r="BA74" s="106">
        <f t="shared" si="37"/>
        <v>0</v>
      </c>
      <c r="BB74" s="106">
        <f t="shared" si="38"/>
        <v>0</v>
      </c>
      <c r="BC74" s="106" t="str">
        <f>IF($B74&lt;&gt;"",IF(BL74="Yes",IF($BI74="Mr.",IF($AX74&lt;=7500,0,IF(AND($AX74&lt;10000,$AX74&gt;7501),175,IF(AND($AX74&gt;10000,'Setting '!$G$28&lt;&gt;11),200,300))),IF(AND($AX74&lt;=10000,$BI74="Ms."),0,IF(AND($AX74&gt;10000,'Setting '!$G$28&lt;&gt;11),200,300))),0),"")</f>
        <v/>
      </c>
      <c r="BD74" s="42"/>
      <c r="BE74" s="212" t="str">
        <f>IF($B74&lt;&gt;"",IF('Advance Sheet'!AF71&gt;=0,INDEX('Advance Sheet'!$Q$3:$AD$100,MATCH(AttendanceSheet!$B74,'Advance Sheet'!$Q$3:$Q$100,0),MATCH(AttendanceSheet!$T$1,'Advance Sheet'!$Q$3:$AD$3,)),0),"")</f>
        <v/>
      </c>
      <c r="BF74" s="137" t="str">
        <f t="shared" si="41"/>
        <v/>
      </c>
      <c r="BG74" s="97" t="str">
        <f>IF(B74&lt;&gt;"",VLOOKUP(B74,'Employee Details'!A73:S156,17,0),"")</f>
        <v/>
      </c>
      <c r="BH74" s="97" t="str">
        <f>IF(B74&lt;&gt;"",VLOOKUP(B74,'Employee Details'!A73:S156,18,0),"")</f>
        <v/>
      </c>
      <c r="BI74" s="40" t="str">
        <f>IF(B74&lt;&gt;"",VLOOKUP(B74,'Employee Details'!A72:S155,19,0),"")</f>
        <v/>
      </c>
      <c r="BJ74" s="38" t="str">
        <f>IF(B74&lt;&gt;"",VLOOKUP(B74,'Employee Details'!A73:D101,4,0),"")</f>
        <v/>
      </c>
      <c r="BK74" s="38" t="str">
        <f>IF(B74&lt;&gt;"",VLOOKUP(B74,'Employee Details'!A73:E156,5,0),"")</f>
        <v/>
      </c>
      <c r="BL74" s="210" t="str">
        <f>IF(B74&lt;&gt;"",VLOOKUP(B74,'Employee Details'!A73:U156,21,0),"")</f>
        <v/>
      </c>
    </row>
    <row r="75" spans="2:64" ht="16.5" thickTop="1" thickBot="1" x14ac:dyDescent="0.3">
      <c r="B75" s="37" t="str">
        <f>_xlfn.IFNA(INDEX('Employee Details'!$A$7:$A78,MATCH(AttendanceSheet!$C75,'Employee Details'!$B$7:$B84,0)),"")</f>
        <v/>
      </c>
      <c r="C75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'!$J$1:J69))),"")</f>
        <v/>
      </c>
      <c r="D75" s="39" t="str">
        <f>IFERROR(VLOOKUP($B75&amp;D$5,'Mark Leave'!$A$1:$E$1841,5,0),"")</f>
        <v/>
      </c>
      <c r="E75" s="39" t="str">
        <f>IFERROR(VLOOKUP($B75&amp;E$5,'Mark Leave'!$A$1:$E$1841,5,0),"")</f>
        <v/>
      </c>
      <c r="F75" s="39" t="str">
        <f>IFERROR(VLOOKUP($B75&amp;F$5,'Mark Leave'!$A$1:$E$1841,5,0),"")</f>
        <v/>
      </c>
      <c r="G75" s="39" t="str">
        <f>IFERROR(VLOOKUP($B75&amp;G$5,'Mark Leave'!$A$1:$E$1841,5,0),"")</f>
        <v/>
      </c>
      <c r="H75" s="39" t="str">
        <f>IFERROR(VLOOKUP($B75&amp;H$5,'Mark Leave'!$A$1:$E$1841,5,0),"")</f>
        <v/>
      </c>
      <c r="I75" s="39" t="str">
        <f>IFERROR(VLOOKUP($B75&amp;I$5,'Mark Leave'!$A$1:$E$1841,5,0),"")</f>
        <v/>
      </c>
      <c r="J75" s="39" t="str">
        <f>IFERROR(VLOOKUP($B75&amp;J$5,'Mark Leave'!$A$1:$E$1841,5,0),"")</f>
        <v/>
      </c>
      <c r="K75" s="39" t="str">
        <f>IFERROR(VLOOKUP($B75&amp;K$5,'Mark Leave'!$A$1:$E$1841,5,0),"")</f>
        <v/>
      </c>
      <c r="L75" s="39" t="str">
        <f>IFERROR(VLOOKUP($B75&amp;L$5,'Mark Leave'!$A$1:$E$1841,5,0),"")</f>
        <v/>
      </c>
      <c r="M75" s="39" t="str">
        <f>IFERROR(VLOOKUP($B75&amp;M$5,'Mark Leave'!$A$1:$E$1841,5,0),"")</f>
        <v/>
      </c>
      <c r="N75" s="39" t="str">
        <f>IFERROR(VLOOKUP($B75&amp;N$5,'Mark Leave'!$A$1:$E$1841,5,0),"")</f>
        <v/>
      </c>
      <c r="O75" s="39" t="str">
        <f>IFERROR(VLOOKUP($B75&amp;O$5,'Mark Leave'!$A$1:$E$1841,5,0),"")</f>
        <v/>
      </c>
      <c r="P75" s="39" t="str">
        <f>IFERROR(VLOOKUP($B75&amp;P$5,'Mark Leave'!$A$1:$E$1841,5,0),"")</f>
        <v/>
      </c>
      <c r="Q75" s="39" t="str">
        <f>IFERROR(VLOOKUP($B75&amp;Q$5,'Mark Leave'!$A$1:$E$1841,5,0),"")</f>
        <v/>
      </c>
      <c r="R75" s="39" t="str">
        <f>IFERROR(VLOOKUP($B75&amp;R$5,'Mark Leave'!$A$1:$E$1841,5,0),"")</f>
        <v/>
      </c>
      <c r="S75" s="39" t="str">
        <f>IFERROR(VLOOKUP($B75&amp;S$5,'Mark Leave'!$A$1:$E$1841,5,0),"")</f>
        <v/>
      </c>
      <c r="T75" s="39" t="str">
        <f>IFERROR(VLOOKUP($B75&amp;T$5,'Mark Leave'!$A$1:$E$1841,5,0),"")</f>
        <v/>
      </c>
      <c r="U75" s="39" t="str">
        <f>IFERROR(VLOOKUP($B75&amp;U$5,'Mark Leave'!$A$1:$E$1841,5,0),"")</f>
        <v/>
      </c>
      <c r="V75" s="39" t="str">
        <f>IFERROR(VLOOKUP($B75&amp;V$5,'Mark Leave'!$A$1:$E$1841,5,0),"")</f>
        <v/>
      </c>
      <c r="W75" s="39" t="str">
        <f>IFERROR(VLOOKUP($B75&amp;W$5,'Mark Leave'!$A$1:$E$1841,5,0),"")</f>
        <v/>
      </c>
      <c r="X75" s="39" t="str">
        <f>IFERROR(VLOOKUP($B75&amp;X$5,'Mark Leave'!$A$1:$E$1841,5,0),"")</f>
        <v/>
      </c>
      <c r="Y75" s="39" t="str">
        <f>IFERROR(VLOOKUP($B75&amp;Y$5,'Mark Leave'!$A$1:$E$1841,5,0),"")</f>
        <v/>
      </c>
      <c r="Z75" s="39" t="str">
        <f>IFERROR(VLOOKUP($B75&amp;Z$5,'Mark Leave'!$A$1:$E$1841,5,0),"")</f>
        <v/>
      </c>
      <c r="AA75" s="39" t="str">
        <f>IFERROR(VLOOKUP($B75&amp;AA$5,'Mark Leave'!$A$1:$E$1841,5,0),"")</f>
        <v/>
      </c>
      <c r="AB75" s="39" t="str">
        <f>IFERROR(VLOOKUP($B75&amp;AB$5,'Mark Leave'!$A$1:$E$1841,5,0),"")</f>
        <v/>
      </c>
      <c r="AC75" s="39" t="str">
        <f>IFERROR(VLOOKUP($B75&amp;AC$5,'Mark Leave'!$A$1:$E$1841,5,0),"")</f>
        <v/>
      </c>
      <c r="AD75" s="39" t="str">
        <f>IFERROR(VLOOKUP($B75&amp;AD$5,'Mark Leave'!$A$1:$E$1841,5,0),"")</f>
        <v/>
      </c>
      <c r="AE75" s="39" t="str">
        <f>IFERROR(VLOOKUP($B75&amp;AE$5,'Mark Leave'!$A$1:$E$1841,5,0),"")</f>
        <v/>
      </c>
      <c r="AF75" s="39" t="str">
        <f>IFERROR(VLOOKUP($B75&amp;AF$5,'Mark Leave'!$A$1:$E$1841,5,0),"")</f>
        <v/>
      </c>
      <c r="AG75" s="39" t="str">
        <f>IFERROR(VLOOKUP($B75&amp;AG$5,'Mark Leave'!$A$1:$E$1841,5,0),"")</f>
        <v/>
      </c>
      <c r="AH75" s="39">
        <f>IFERROR(VLOOKUP($B75&amp;AH$5,'Mark Leave'!$A$1:$E$1841,5,0),"")</f>
        <v>0</v>
      </c>
      <c r="AI75" s="98" t="str">
        <f>IF($B75&lt;&gt;"",COUNTIF($D75:$AH75,'Setting '!$H$2),"")</f>
        <v/>
      </c>
      <c r="AJ75" s="98" t="str">
        <f>IF($B75&lt;&gt;"",COUNTIF($D75:$AH75,'Setting '!$H$3)/2,"")</f>
        <v/>
      </c>
      <c r="AK75" s="98" t="str">
        <f>IF($B75&lt;&gt;"",COUNTIF($D75:$AH75,'Setting '!$H$4),"")</f>
        <v/>
      </c>
      <c r="AL75" s="98" t="str">
        <f t="shared" si="39"/>
        <v/>
      </c>
      <c r="AM75" s="117" t="str">
        <f>IF(B75&lt;&gt;"",_xlfn.IFNA(VLOOKUP(B75,'Leave Credit Sheet'!B75:K168,10,0),""),"")</f>
        <v/>
      </c>
      <c r="AN75" s="98" t="str">
        <f t="shared" si="28"/>
        <v/>
      </c>
      <c r="AO75" s="106" t="str">
        <f>IF(B75&lt;&gt;"",_xlfn.IFNA(INDEX('CTC Sheet'!$C$6:$N$101,MATCH(AttendanceSheet!$B75,'CTC Sheet'!$A$6:$A$101,0),MATCH(AttendanceSheet!$T$1,'CTC Sheet'!$C$5:$N$5,0)),0),"")</f>
        <v/>
      </c>
      <c r="AP75" s="106" t="str">
        <f>IF(B75&lt;&gt;"",_xlfn.IFNA(INDEX('CTC Sheet'!$R$6:$AC$100,MATCH(AttendanceSheet!$B75,'CTC Sheet'!$P$6:$P$100,0),MATCH(AttendanceSheet!$T$1,'CTC Sheet'!$R$5:$AC$5,0)),0),"")</f>
        <v/>
      </c>
      <c r="AQ75" s="106" t="str">
        <f t="shared" si="29"/>
        <v/>
      </c>
      <c r="AR75" s="106" t="str">
        <f t="shared" si="30"/>
        <v/>
      </c>
      <c r="AS75" s="106" t="str">
        <f t="shared" si="31"/>
        <v/>
      </c>
      <c r="AT75" s="106" t="str">
        <f t="shared" si="32"/>
        <v/>
      </c>
      <c r="AU75" s="106" t="str">
        <f t="shared" si="33"/>
        <v/>
      </c>
      <c r="AV75" s="106" t="str">
        <f t="shared" si="34"/>
        <v/>
      </c>
      <c r="AW75" s="106" t="str">
        <f>IF(B75&lt;&gt;"",_xlfn.IFNA(INDEX('OtherArrear payment'!$A$1:$N$95,MATCH(AttendanceSheet!$B75,'OtherArrear payment'!$A$1:$A$95,0),MATCH(AttendanceSheet!$T$1,'OtherArrear payment'!$A$1:$N$1,0)),0),"")</f>
        <v/>
      </c>
      <c r="AX75" s="106" t="str">
        <f t="shared" si="40"/>
        <v/>
      </c>
      <c r="AY75" s="106">
        <f t="shared" si="35"/>
        <v>0</v>
      </c>
      <c r="AZ75" s="106">
        <f t="shared" si="36"/>
        <v>0</v>
      </c>
      <c r="BA75" s="106">
        <f t="shared" si="37"/>
        <v>0</v>
      </c>
      <c r="BB75" s="106">
        <f t="shared" si="38"/>
        <v>0</v>
      </c>
      <c r="BC75" s="106" t="str">
        <f>IF($B75&lt;&gt;"",IF(BL75="Yes",IF($BI75="Mr.",IF($AX75&lt;=7500,0,IF(AND($AX75&lt;10000,$AX75&gt;7501),175,IF(AND($AX75&gt;10000,'Setting '!$G$28&lt;&gt;11),200,300))),IF(AND($AX75&lt;=10000,$BI75="Ms."),0,IF(AND($AX75&gt;10000,'Setting '!$G$28&lt;&gt;11),200,300))),0),"")</f>
        <v/>
      </c>
      <c r="BD75" s="42"/>
      <c r="BE75" s="212" t="str">
        <f>IF($B75&lt;&gt;"",IF('Advance Sheet'!AF72&gt;=0,INDEX('Advance Sheet'!$Q$3:$AD$100,MATCH(AttendanceSheet!$B75,'Advance Sheet'!$Q$3:$Q$100,0),MATCH(AttendanceSheet!$T$1,'Advance Sheet'!$Q$3:$AD$3,)),0),"")</f>
        <v/>
      </c>
      <c r="BF75" s="137" t="str">
        <f t="shared" si="41"/>
        <v/>
      </c>
      <c r="BG75" s="97" t="str">
        <f>IF(B75&lt;&gt;"",VLOOKUP(B75,'Employee Details'!A74:S157,17,0),"")</f>
        <v/>
      </c>
      <c r="BH75" s="97" t="str">
        <f>IF(B75&lt;&gt;"",VLOOKUP(B75,'Employee Details'!A74:S157,18,0),"")</f>
        <v/>
      </c>
      <c r="BI75" s="40" t="str">
        <f>IF(B75&lt;&gt;"",VLOOKUP(B75,'Employee Details'!A73:S156,19,0),"")</f>
        <v/>
      </c>
      <c r="BJ75" s="38" t="str">
        <f>IF(B75&lt;&gt;"",VLOOKUP(B75,'Employee Details'!A74:D102,4,0),"")</f>
        <v/>
      </c>
      <c r="BK75" s="38" t="str">
        <f>IF(B75&lt;&gt;"",VLOOKUP(B75,'Employee Details'!A74:E157,5,0),"")</f>
        <v/>
      </c>
      <c r="BL75" s="210" t="str">
        <f>IF(B75&lt;&gt;"",VLOOKUP(B75,'Employee Details'!A74:U157,21,0),"")</f>
        <v/>
      </c>
    </row>
    <row r="76" spans="2:64" ht="16.5" thickTop="1" thickBot="1" x14ac:dyDescent="0.3">
      <c r="B76" s="37" t="str">
        <f>_xlfn.IFNA(INDEX('Employee Details'!$A$7:$A79,MATCH(AttendanceSheet!$C76,'Employee Details'!$B$7:$B85,0)),"")</f>
        <v/>
      </c>
      <c r="C76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'!$J$1:J70))),"")</f>
        <v/>
      </c>
      <c r="D76" s="39" t="str">
        <f>IFERROR(VLOOKUP($B76&amp;D$5,'Mark Leave'!$A$1:$E$1841,5,0),"")</f>
        <v/>
      </c>
      <c r="E76" s="39" t="str">
        <f>IFERROR(VLOOKUP($B76&amp;E$5,'Mark Leave'!$A$1:$E$1841,5,0),"")</f>
        <v/>
      </c>
      <c r="F76" s="39" t="str">
        <f>IFERROR(VLOOKUP($B76&amp;F$5,'Mark Leave'!$A$1:$E$1841,5,0),"")</f>
        <v/>
      </c>
      <c r="G76" s="39" t="str">
        <f>IFERROR(VLOOKUP($B76&amp;G$5,'Mark Leave'!$A$1:$E$1841,5,0),"")</f>
        <v/>
      </c>
      <c r="H76" s="39" t="str">
        <f>IFERROR(VLOOKUP($B76&amp;H$5,'Mark Leave'!$A$1:$E$1841,5,0),"")</f>
        <v/>
      </c>
      <c r="I76" s="39" t="str">
        <f>IFERROR(VLOOKUP($B76&amp;I$5,'Mark Leave'!$A$1:$E$1841,5,0),"")</f>
        <v/>
      </c>
      <c r="J76" s="39" t="str">
        <f>IFERROR(VLOOKUP($B76&amp;J$5,'Mark Leave'!$A$1:$E$1841,5,0),"")</f>
        <v/>
      </c>
      <c r="K76" s="39" t="str">
        <f>IFERROR(VLOOKUP($B76&amp;K$5,'Mark Leave'!$A$1:$E$1841,5,0),"")</f>
        <v/>
      </c>
      <c r="L76" s="39" t="str">
        <f>IFERROR(VLOOKUP($B76&amp;L$5,'Mark Leave'!$A$1:$E$1841,5,0),"")</f>
        <v/>
      </c>
      <c r="M76" s="39" t="str">
        <f>IFERROR(VLOOKUP($B76&amp;M$5,'Mark Leave'!$A$1:$E$1841,5,0),"")</f>
        <v/>
      </c>
      <c r="N76" s="39" t="str">
        <f>IFERROR(VLOOKUP($B76&amp;N$5,'Mark Leave'!$A$1:$E$1841,5,0),"")</f>
        <v/>
      </c>
      <c r="O76" s="39" t="str">
        <f>IFERROR(VLOOKUP($B76&amp;O$5,'Mark Leave'!$A$1:$E$1841,5,0),"")</f>
        <v/>
      </c>
      <c r="P76" s="39" t="str">
        <f>IFERROR(VLOOKUP($B76&amp;P$5,'Mark Leave'!$A$1:$E$1841,5,0),"")</f>
        <v/>
      </c>
      <c r="Q76" s="39" t="str">
        <f>IFERROR(VLOOKUP($B76&amp;Q$5,'Mark Leave'!$A$1:$E$1841,5,0),"")</f>
        <v/>
      </c>
      <c r="R76" s="39" t="str">
        <f>IFERROR(VLOOKUP($B76&amp;R$5,'Mark Leave'!$A$1:$E$1841,5,0),"")</f>
        <v/>
      </c>
      <c r="S76" s="39" t="str">
        <f>IFERROR(VLOOKUP($B76&amp;S$5,'Mark Leave'!$A$1:$E$1841,5,0),"")</f>
        <v/>
      </c>
      <c r="T76" s="39" t="str">
        <f>IFERROR(VLOOKUP($B76&amp;T$5,'Mark Leave'!$A$1:$E$1841,5,0),"")</f>
        <v/>
      </c>
      <c r="U76" s="39" t="str">
        <f>IFERROR(VLOOKUP($B76&amp;U$5,'Mark Leave'!$A$1:$E$1841,5,0),"")</f>
        <v/>
      </c>
      <c r="V76" s="39" t="str">
        <f>IFERROR(VLOOKUP($B76&amp;V$5,'Mark Leave'!$A$1:$E$1841,5,0),"")</f>
        <v/>
      </c>
      <c r="W76" s="39" t="str">
        <f>IFERROR(VLOOKUP($B76&amp;W$5,'Mark Leave'!$A$1:$E$1841,5,0),"")</f>
        <v/>
      </c>
      <c r="X76" s="39" t="str">
        <f>IFERROR(VLOOKUP($B76&amp;X$5,'Mark Leave'!$A$1:$E$1841,5,0),"")</f>
        <v/>
      </c>
      <c r="Y76" s="39" t="str">
        <f>IFERROR(VLOOKUP($B76&amp;Y$5,'Mark Leave'!$A$1:$E$1841,5,0),"")</f>
        <v/>
      </c>
      <c r="Z76" s="39" t="str">
        <f>IFERROR(VLOOKUP($B76&amp;Z$5,'Mark Leave'!$A$1:$E$1841,5,0),"")</f>
        <v/>
      </c>
      <c r="AA76" s="39" t="str">
        <f>IFERROR(VLOOKUP($B76&amp;AA$5,'Mark Leave'!$A$1:$E$1841,5,0),"")</f>
        <v/>
      </c>
      <c r="AB76" s="39" t="str">
        <f>IFERROR(VLOOKUP($B76&amp;AB$5,'Mark Leave'!$A$1:$E$1841,5,0),"")</f>
        <v/>
      </c>
      <c r="AC76" s="39" t="str">
        <f>IFERROR(VLOOKUP($B76&amp;AC$5,'Mark Leave'!$A$1:$E$1841,5,0),"")</f>
        <v/>
      </c>
      <c r="AD76" s="39" t="str">
        <f>IFERROR(VLOOKUP($B76&amp;AD$5,'Mark Leave'!$A$1:$E$1841,5,0),"")</f>
        <v/>
      </c>
      <c r="AE76" s="39" t="str">
        <f>IFERROR(VLOOKUP($B76&amp;AE$5,'Mark Leave'!$A$1:$E$1841,5,0),"")</f>
        <v/>
      </c>
      <c r="AF76" s="39" t="str">
        <f>IFERROR(VLOOKUP($B76&amp;AF$5,'Mark Leave'!$A$1:$E$1841,5,0),"")</f>
        <v/>
      </c>
      <c r="AG76" s="39" t="str">
        <f>IFERROR(VLOOKUP($B76&amp;AG$5,'Mark Leave'!$A$1:$E$1841,5,0),"")</f>
        <v/>
      </c>
      <c r="AH76" s="39">
        <f>IFERROR(VLOOKUP($B76&amp;AH$5,'Mark Leave'!$A$1:$E$1841,5,0),"")</f>
        <v>0</v>
      </c>
      <c r="AI76" s="98" t="str">
        <f>IF($B76&lt;&gt;"",COUNTIF($D76:$AH76,'Setting '!$H$2),"")</f>
        <v/>
      </c>
      <c r="AJ76" s="98" t="str">
        <f>IF($B76&lt;&gt;"",COUNTIF($D76:$AH76,'Setting '!$H$3)/2,"")</f>
        <v/>
      </c>
      <c r="AK76" s="98" t="str">
        <f>IF($B76&lt;&gt;"",COUNTIF($D76:$AH76,'Setting '!$H$4),"")</f>
        <v/>
      </c>
      <c r="AL76" s="98" t="str">
        <f t="shared" si="39"/>
        <v/>
      </c>
      <c r="AM76" s="117" t="str">
        <f>IF(B76&lt;&gt;"",_xlfn.IFNA(VLOOKUP(B76,'Leave Credit Sheet'!B76:K169,10,0),""),"")</f>
        <v/>
      </c>
      <c r="AN76" s="98" t="str">
        <f t="shared" si="28"/>
        <v/>
      </c>
      <c r="AO76" s="106" t="str">
        <f>IF(B76&lt;&gt;"",_xlfn.IFNA(INDEX('CTC Sheet'!$C$6:$N$101,MATCH(AttendanceSheet!$B76,'CTC Sheet'!$A$6:$A$101,0),MATCH(AttendanceSheet!$T$1,'CTC Sheet'!$C$5:$N$5,0)),0),"")</f>
        <v/>
      </c>
      <c r="AP76" s="106" t="str">
        <f>IF(B76&lt;&gt;"",_xlfn.IFNA(INDEX('CTC Sheet'!$R$6:$AC$100,MATCH(AttendanceSheet!$B76,'CTC Sheet'!$P$6:$P$100,0),MATCH(AttendanceSheet!$T$1,'CTC Sheet'!$R$5:$AC$5,0)),0),"")</f>
        <v/>
      </c>
      <c r="AQ76" s="106" t="str">
        <f t="shared" si="29"/>
        <v/>
      </c>
      <c r="AR76" s="106" t="str">
        <f t="shared" si="30"/>
        <v/>
      </c>
      <c r="AS76" s="106" t="str">
        <f t="shared" si="31"/>
        <v/>
      </c>
      <c r="AT76" s="106" t="str">
        <f t="shared" si="32"/>
        <v/>
      </c>
      <c r="AU76" s="106" t="str">
        <f t="shared" si="33"/>
        <v/>
      </c>
      <c r="AV76" s="106" t="str">
        <f t="shared" si="34"/>
        <v/>
      </c>
      <c r="AW76" s="106" t="str">
        <f>IF(B76&lt;&gt;"",_xlfn.IFNA(INDEX('OtherArrear payment'!$A$1:$N$95,MATCH(AttendanceSheet!$B76,'OtherArrear payment'!$A$1:$A$95,0),MATCH(AttendanceSheet!$T$1,'OtherArrear payment'!$A$1:$N$1,0)),0),"")</f>
        <v/>
      </c>
      <c r="AX76" s="106" t="str">
        <f t="shared" si="40"/>
        <v/>
      </c>
      <c r="AY76" s="106">
        <f t="shared" si="35"/>
        <v>0</v>
      </c>
      <c r="AZ76" s="106">
        <f t="shared" si="36"/>
        <v>0</v>
      </c>
      <c r="BA76" s="106">
        <f t="shared" si="37"/>
        <v>0</v>
      </c>
      <c r="BB76" s="106">
        <f t="shared" si="38"/>
        <v>0</v>
      </c>
      <c r="BC76" s="106" t="str">
        <f>IF($B76&lt;&gt;"",IF(BL76="Yes",IF($BI76="Mr.",IF($AX76&lt;=7500,0,IF(AND($AX76&lt;10000,$AX76&gt;7501),175,IF(AND($AX76&gt;10000,'Setting '!$G$28&lt;&gt;11),200,300))),IF(AND($AX76&lt;=10000,$BI76="Ms."),0,IF(AND($AX76&gt;10000,'Setting '!$G$28&lt;&gt;11),200,300))),0),"")</f>
        <v/>
      </c>
      <c r="BD76" s="42"/>
      <c r="BE76" s="212" t="str">
        <f>IF($B76&lt;&gt;"",IF('Advance Sheet'!AF73&gt;=0,INDEX('Advance Sheet'!$Q$3:$AD$100,MATCH(AttendanceSheet!$B76,'Advance Sheet'!$Q$3:$Q$100,0),MATCH(AttendanceSheet!$T$1,'Advance Sheet'!$Q$3:$AD$3,)),0),"")</f>
        <v/>
      </c>
      <c r="BF76" s="137" t="str">
        <f t="shared" si="41"/>
        <v/>
      </c>
      <c r="BG76" s="97" t="str">
        <f>IF(B76&lt;&gt;"",VLOOKUP(B76,'Employee Details'!A75:S158,17,0),"")</f>
        <v/>
      </c>
      <c r="BH76" s="97" t="str">
        <f>IF(B76&lt;&gt;"",VLOOKUP(B76,'Employee Details'!A75:S158,18,0),"")</f>
        <v/>
      </c>
      <c r="BI76" s="40" t="str">
        <f>IF(B76&lt;&gt;"",VLOOKUP(B76,'Employee Details'!A74:S157,19,0),"")</f>
        <v/>
      </c>
      <c r="BJ76" s="38" t="str">
        <f>IF(B76&lt;&gt;"",VLOOKUP(B76,'Employee Details'!A75:D103,4,0),"")</f>
        <v/>
      </c>
      <c r="BK76" s="38" t="str">
        <f>IF(B76&lt;&gt;"",VLOOKUP(B76,'Employee Details'!A75:E158,5,0),"")</f>
        <v/>
      </c>
      <c r="BL76" s="210" t="str">
        <f>IF(B76&lt;&gt;"",VLOOKUP(B76,'Employee Details'!A75:U158,21,0),"")</f>
        <v/>
      </c>
    </row>
    <row r="77" spans="2:64" ht="16.5" thickTop="1" thickBot="1" x14ac:dyDescent="0.3">
      <c r="B77" s="37" t="str">
        <f>_xlfn.IFNA(INDEX('Employee Details'!$A$7:$A80,MATCH(AttendanceSheet!$C77,'Employee Details'!$B$7:$B86,0)),"")</f>
        <v/>
      </c>
      <c r="C77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'!$J$1:J71))),"")</f>
        <v/>
      </c>
      <c r="D77" s="39" t="str">
        <f>IFERROR(VLOOKUP($B77&amp;D$5,'Mark Leave'!$A$1:$E$1841,5,0),"")</f>
        <v/>
      </c>
      <c r="E77" s="39" t="str">
        <f>IFERROR(VLOOKUP($B77&amp;E$5,'Mark Leave'!$A$1:$E$1841,5,0),"")</f>
        <v/>
      </c>
      <c r="F77" s="39" t="str">
        <f>IFERROR(VLOOKUP($B77&amp;F$5,'Mark Leave'!$A$1:$E$1841,5,0),"")</f>
        <v/>
      </c>
      <c r="G77" s="39" t="str">
        <f>IFERROR(VLOOKUP($B77&amp;G$5,'Mark Leave'!$A$1:$E$1841,5,0),"")</f>
        <v/>
      </c>
      <c r="H77" s="39" t="str">
        <f>IFERROR(VLOOKUP($B77&amp;H$5,'Mark Leave'!$A$1:$E$1841,5,0),"")</f>
        <v/>
      </c>
      <c r="I77" s="39" t="str">
        <f>IFERROR(VLOOKUP($B77&amp;I$5,'Mark Leave'!$A$1:$E$1841,5,0),"")</f>
        <v/>
      </c>
      <c r="J77" s="39" t="str">
        <f>IFERROR(VLOOKUP($B77&amp;J$5,'Mark Leave'!$A$1:$E$1841,5,0),"")</f>
        <v/>
      </c>
      <c r="K77" s="39" t="str">
        <f>IFERROR(VLOOKUP($B77&amp;K$5,'Mark Leave'!$A$1:$E$1841,5,0),"")</f>
        <v/>
      </c>
      <c r="L77" s="39" t="str">
        <f>IFERROR(VLOOKUP($B77&amp;L$5,'Mark Leave'!$A$1:$E$1841,5,0),"")</f>
        <v/>
      </c>
      <c r="M77" s="39" t="str">
        <f>IFERROR(VLOOKUP($B77&amp;M$5,'Mark Leave'!$A$1:$E$1841,5,0),"")</f>
        <v/>
      </c>
      <c r="N77" s="39" t="str">
        <f>IFERROR(VLOOKUP($B77&amp;N$5,'Mark Leave'!$A$1:$E$1841,5,0),"")</f>
        <v/>
      </c>
      <c r="O77" s="39" t="str">
        <f>IFERROR(VLOOKUP($B77&amp;O$5,'Mark Leave'!$A$1:$E$1841,5,0),"")</f>
        <v/>
      </c>
      <c r="P77" s="39" t="str">
        <f>IFERROR(VLOOKUP($B77&amp;P$5,'Mark Leave'!$A$1:$E$1841,5,0),"")</f>
        <v/>
      </c>
      <c r="Q77" s="39" t="str">
        <f>IFERROR(VLOOKUP($B77&amp;Q$5,'Mark Leave'!$A$1:$E$1841,5,0),"")</f>
        <v/>
      </c>
      <c r="R77" s="39" t="str">
        <f>IFERROR(VLOOKUP($B77&amp;R$5,'Mark Leave'!$A$1:$E$1841,5,0),"")</f>
        <v/>
      </c>
      <c r="S77" s="39" t="str">
        <f>IFERROR(VLOOKUP($B77&amp;S$5,'Mark Leave'!$A$1:$E$1841,5,0),"")</f>
        <v/>
      </c>
      <c r="T77" s="39" t="str">
        <f>IFERROR(VLOOKUP($B77&amp;T$5,'Mark Leave'!$A$1:$E$1841,5,0),"")</f>
        <v/>
      </c>
      <c r="U77" s="39" t="str">
        <f>IFERROR(VLOOKUP($B77&amp;U$5,'Mark Leave'!$A$1:$E$1841,5,0),"")</f>
        <v/>
      </c>
      <c r="V77" s="39" t="str">
        <f>IFERROR(VLOOKUP($B77&amp;V$5,'Mark Leave'!$A$1:$E$1841,5,0),"")</f>
        <v/>
      </c>
      <c r="W77" s="39" t="str">
        <f>IFERROR(VLOOKUP($B77&amp;W$5,'Mark Leave'!$A$1:$E$1841,5,0),"")</f>
        <v/>
      </c>
      <c r="X77" s="39" t="str">
        <f>IFERROR(VLOOKUP($B77&amp;X$5,'Mark Leave'!$A$1:$E$1841,5,0),"")</f>
        <v/>
      </c>
      <c r="Y77" s="39" t="str">
        <f>IFERROR(VLOOKUP($B77&amp;Y$5,'Mark Leave'!$A$1:$E$1841,5,0),"")</f>
        <v/>
      </c>
      <c r="Z77" s="39" t="str">
        <f>IFERROR(VLOOKUP($B77&amp;Z$5,'Mark Leave'!$A$1:$E$1841,5,0),"")</f>
        <v/>
      </c>
      <c r="AA77" s="39" t="str">
        <f>IFERROR(VLOOKUP($B77&amp;AA$5,'Mark Leave'!$A$1:$E$1841,5,0),"")</f>
        <v/>
      </c>
      <c r="AB77" s="39" t="str">
        <f>IFERROR(VLOOKUP($B77&amp;AB$5,'Mark Leave'!$A$1:$E$1841,5,0),"")</f>
        <v/>
      </c>
      <c r="AC77" s="39" t="str">
        <f>IFERROR(VLOOKUP($B77&amp;AC$5,'Mark Leave'!$A$1:$E$1841,5,0),"")</f>
        <v/>
      </c>
      <c r="AD77" s="39" t="str">
        <f>IFERROR(VLOOKUP($B77&amp;AD$5,'Mark Leave'!$A$1:$E$1841,5,0),"")</f>
        <v/>
      </c>
      <c r="AE77" s="39" t="str">
        <f>IFERROR(VLOOKUP($B77&amp;AE$5,'Mark Leave'!$A$1:$E$1841,5,0),"")</f>
        <v/>
      </c>
      <c r="AF77" s="39" t="str">
        <f>IFERROR(VLOOKUP($B77&amp;AF$5,'Mark Leave'!$A$1:$E$1841,5,0),"")</f>
        <v/>
      </c>
      <c r="AG77" s="39" t="str">
        <f>IFERROR(VLOOKUP($B77&amp;AG$5,'Mark Leave'!$A$1:$E$1841,5,0),"")</f>
        <v/>
      </c>
      <c r="AH77" s="39">
        <f>IFERROR(VLOOKUP($B77&amp;AH$5,'Mark Leave'!$A$1:$E$1841,5,0),"")</f>
        <v>0</v>
      </c>
      <c r="AI77" s="98" t="str">
        <f>IF($B77&lt;&gt;"",COUNTIF($D77:$AH77,'Setting '!$H$2),"")</f>
        <v/>
      </c>
      <c r="AJ77" s="98" t="str">
        <f>IF($B77&lt;&gt;"",COUNTIF($D77:$AH77,'Setting '!$H$3)/2,"")</f>
        <v/>
      </c>
      <c r="AK77" s="98" t="str">
        <f>IF($B77&lt;&gt;"",COUNTIF($D77:$AH77,'Setting '!$H$4),"")</f>
        <v/>
      </c>
      <c r="AL77" s="98" t="str">
        <f t="shared" si="39"/>
        <v/>
      </c>
      <c r="AM77" s="117" t="str">
        <f>IF(B77&lt;&gt;"",_xlfn.IFNA(VLOOKUP(B77,'Leave Credit Sheet'!B77:K170,10,0),""),"")</f>
        <v/>
      </c>
      <c r="AN77" s="98" t="str">
        <f t="shared" si="28"/>
        <v/>
      </c>
      <c r="AO77" s="106" t="str">
        <f>IF(B77&lt;&gt;"",_xlfn.IFNA(INDEX('CTC Sheet'!$C$6:$N$101,MATCH(AttendanceSheet!$B77,'CTC Sheet'!$A$6:$A$101,0),MATCH(AttendanceSheet!$T$1,'CTC Sheet'!$C$5:$N$5,0)),0),"")</f>
        <v/>
      </c>
      <c r="AP77" s="106" t="str">
        <f>IF(B77&lt;&gt;"",_xlfn.IFNA(INDEX('CTC Sheet'!$R$6:$AC$100,MATCH(AttendanceSheet!$B77,'CTC Sheet'!$P$6:$P$100,0),MATCH(AttendanceSheet!$T$1,'CTC Sheet'!$R$5:$AC$5,0)),0),"")</f>
        <v/>
      </c>
      <c r="AQ77" s="106" t="str">
        <f t="shared" si="29"/>
        <v/>
      </c>
      <c r="AR77" s="106" t="str">
        <f t="shared" si="30"/>
        <v/>
      </c>
      <c r="AS77" s="106" t="str">
        <f t="shared" si="31"/>
        <v/>
      </c>
      <c r="AT77" s="106" t="str">
        <f t="shared" si="32"/>
        <v/>
      </c>
      <c r="AU77" s="106" t="str">
        <f t="shared" si="33"/>
        <v/>
      </c>
      <c r="AV77" s="106" t="str">
        <f t="shared" si="34"/>
        <v/>
      </c>
      <c r="AW77" s="106" t="str">
        <f>IF(B77&lt;&gt;"",_xlfn.IFNA(INDEX('OtherArrear payment'!$A$1:$N$95,MATCH(AttendanceSheet!$B77,'OtherArrear payment'!$A$1:$A$95,0),MATCH(AttendanceSheet!$T$1,'OtherArrear payment'!$A$1:$N$1,0)),0),"")</f>
        <v/>
      </c>
      <c r="AX77" s="106" t="str">
        <f t="shared" si="40"/>
        <v/>
      </c>
      <c r="AY77" s="106">
        <f t="shared" si="35"/>
        <v>0</v>
      </c>
      <c r="AZ77" s="106">
        <f t="shared" si="36"/>
        <v>0</v>
      </c>
      <c r="BA77" s="106">
        <f t="shared" si="37"/>
        <v>0</v>
      </c>
      <c r="BB77" s="106">
        <f t="shared" si="38"/>
        <v>0</v>
      </c>
      <c r="BC77" s="106" t="str">
        <f>IF($B77&lt;&gt;"",IF(BL77="Yes",IF($BI77="Mr.",IF($AX77&lt;=7500,0,IF(AND($AX77&lt;10000,$AX77&gt;7501),175,IF(AND($AX77&gt;10000,'Setting '!$G$28&lt;&gt;11),200,300))),IF(AND($AX77&lt;=10000,$BI77="Ms."),0,IF(AND($AX77&gt;10000,'Setting '!$G$28&lt;&gt;11),200,300))),0),"")</f>
        <v/>
      </c>
      <c r="BD77" s="42"/>
      <c r="BE77" s="212" t="str">
        <f>IF($B77&lt;&gt;"",IF('Advance Sheet'!AF74&gt;=0,INDEX('Advance Sheet'!$Q$3:$AD$100,MATCH(AttendanceSheet!$B77,'Advance Sheet'!$Q$3:$Q$100,0),MATCH(AttendanceSheet!$T$1,'Advance Sheet'!$Q$3:$AD$3,)),0),"")</f>
        <v/>
      </c>
      <c r="BF77" s="137" t="str">
        <f t="shared" si="41"/>
        <v/>
      </c>
      <c r="BG77" s="97" t="str">
        <f>IF(B77&lt;&gt;"",VLOOKUP(B77,'Employee Details'!A76:S159,17,0),"")</f>
        <v/>
      </c>
      <c r="BH77" s="97" t="str">
        <f>IF(B77&lt;&gt;"",VLOOKUP(B77,'Employee Details'!A76:S159,18,0),"")</f>
        <v/>
      </c>
      <c r="BI77" s="40" t="str">
        <f>IF(B77&lt;&gt;"",VLOOKUP(B77,'Employee Details'!A75:S158,19,0),"")</f>
        <v/>
      </c>
      <c r="BJ77" s="38" t="str">
        <f>IF(B77&lt;&gt;"",VLOOKUP(B77,'Employee Details'!A76:D104,4,0),"")</f>
        <v/>
      </c>
      <c r="BK77" s="38" t="str">
        <f>IF(B77&lt;&gt;"",VLOOKUP(B77,'Employee Details'!A76:E159,5,0),"")</f>
        <v/>
      </c>
      <c r="BL77" s="210" t="str">
        <f>IF(B77&lt;&gt;"",VLOOKUP(B77,'Employee Details'!A76:U159,21,0),"")</f>
        <v/>
      </c>
    </row>
    <row r="78" spans="2:64" ht="16.5" thickTop="1" thickBot="1" x14ac:dyDescent="0.3">
      <c r="B78" s="37" t="str">
        <f>_xlfn.IFNA(INDEX('Employee Details'!$A$7:$A81,MATCH(AttendanceSheet!$C78,'Employee Details'!$B$7:$B87,0)),"")</f>
        <v/>
      </c>
      <c r="C78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'!$J$1:J72))),"")</f>
        <v/>
      </c>
      <c r="D78" s="39" t="str">
        <f>IFERROR(VLOOKUP($B78&amp;D$5,'Mark Leave'!$A$1:$E$1841,5,0),"")</f>
        <v/>
      </c>
      <c r="E78" s="39" t="str">
        <f>IFERROR(VLOOKUP($B78&amp;E$5,'Mark Leave'!$A$1:$E$1841,5,0),"")</f>
        <v/>
      </c>
      <c r="F78" s="39" t="str">
        <f>IFERROR(VLOOKUP($B78&amp;F$5,'Mark Leave'!$A$1:$E$1841,5,0),"")</f>
        <v/>
      </c>
      <c r="G78" s="39" t="str">
        <f>IFERROR(VLOOKUP($B78&amp;G$5,'Mark Leave'!$A$1:$E$1841,5,0),"")</f>
        <v/>
      </c>
      <c r="H78" s="39" t="str">
        <f>IFERROR(VLOOKUP($B78&amp;H$5,'Mark Leave'!$A$1:$E$1841,5,0),"")</f>
        <v/>
      </c>
      <c r="I78" s="39" t="str">
        <f>IFERROR(VLOOKUP($B78&amp;I$5,'Mark Leave'!$A$1:$E$1841,5,0),"")</f>
        <v/>
      </c>
      <c r="J78" s="39" t="str">
        <f>IFERROR(VLOOKUP($B78&amp;J$5,'Mark Leave'!$A$1:$E$1841,5,0),"")</f>
        <v/>
      </c>
      <c r="K78" s="39" t="str">
        <f>IFERROR(VLOOKUP($B78&amp;K$5,'Mark Leave'!$A$1:$E$1841,5,0),"")</f>
        <v/>
      </c>
      <c r="L78" s="39" t="str">
        <f>IFERROR(VLOOKUP($B78&amp;L$5,'Mark Leave'!$A$1:$E$1841,5,0),"")</f>
        <v/>
      </c>
      <c r="M78" s="39" t="str">
        <f>IFERROR(VLOOKUP($B78&amp;M$5,'Mark Leave'!$A$1:$E$1841,5,0),"")</f>
        <v/>
      </c>
      <c r="N78" s="39" t="str">
        <f>IFERROR(VLOOKUP($B78&amp;N$5,'Mark Leave'!$A$1:$E$1841,5,0),"")</f>
        <v/>
      </c>
      <c r="O78" s="39" t="str">
        <f>IFERROR(VLOOKUP($B78&amp;O$5,'Mark Leave'!$A$1:$E$1841,5,0),"")</f>
        <v/>
      </c>
      <c r="P78" s="39" t="str">
        <f>IFERROR(VLOOKUP($B78&amp;P$5,'Mark Leave'!$A$1:$E$1841,5,0),"")</f>
        <v/>
      </c>
      <c r="Q78" s="39" t="str">
        <f>IFERROR(VLOOKUP($B78&amp;Q$5,'Mark Leave'!$A$1:$E$1841,5,0),"")</f>
        <v/>
      </c>
      <c r="R78" s="39" t="str">
        <f>IFERROR(VLOOKUP($B78&amp;R$5,'Mark Leave'!$A$1:$E$1841,5,0),"")</f>
        <v/>
      </c>
      <c r="S78" s="39" t="str">
        <f>IFERROR(VLOOKUP($B78&amp;S$5,'Mark Leave'!$A$1:$E$1841,5,0),"")</f>
        <v/>
      </c>
      <c r="T78" s="39" t="str">
        <f>IFERROR(VLOOKUP($B78&amp;T$5,'Mark Leave'!$A$1:$E$1841,5,0),"")</f>
        <v/>
      </c>
      <c r="U78" s="39" t="str">
        <f>IFERROR(VLOOKUP($B78&amp;U$5,'Mark Leave'!$A$1:$E$1841,5,0),"")</f>
        <v/>
      </c>
      <c r="V78" s="39" t="str">
        <f>IFERROR(VLOOKUP($B78&amp;V$5,'Mark Leave'!$A$1:$E$1841,5,0),"")</f>
        <v/>
      </c>
      <c r="W78" s="39" t="str">
        <f>IFERROR(VLOOKUP($B78&amp;W$5,'Mark Leave'!$A$1:$E$1841,5,0),"")</f>
        <v/>
      </c>
      <c r="X78" s="39" t="str">
        <f>IFERROR(VLOOKUP($B78&amp;X$5,'Mark Leave'!$A$1:$E$1841,5,0),"")</f>
        <v/>
      </c>
      <c r="Y78" s="39" t="str">
        <f>IFERROR(VLOOKUP($B78&amp;Y$5,'Mark Leave'!$A$1:$E$1841,5,0),"")</f>
        <v/>
      </c>
      <c r="Z78" s="39" t="str">
        <f>IFERROR(VLOOKUP($B78&amp;Z$5,'Mark Leave'!$A$1:$E$1841,5,0),"")</f>
        <v/>
      </c>
      <c r="AA78" s="39" t="str">
        <f>IFERROR(VLOOKUP($B78&amp;AA$5,'Mark Leave'!$A$1:$E$1841,5,0),"")</f>
        <v/>
      </c>
      <c r="AB78" s="39" t="str">
        <f>IFERROR(VLOOKUP($B78&amp;AB$5,'Mark Leave'!$A$1:$E$1841,5,0),"")</f>
        <v/>
      </c>
      <c r="AC78" s="39" t="str">
        <f>IFERROR(VLOOKUP($B78&amp;AC$5,'Mark Leave'!$A$1:$E$1841,5,0),"")</f>
        <v/>
      </c>
      <c r="AD78" s="39" t="str">
        <f>IFERROR(VLOOKUP($B78&amp;AD$5,'Mark Leave'!$A$1:$E$1841,5,0),"")</f>
        <v/>
      </c>
      <c r="AE78" s="39" t="str">
        <f>IFERROR(VLOOKUP($B78&amp;AE$5,'Mark Leave'!$A$1:$E$1841,5,0),"")</f>
        <v/>
      </c>
      <c r="AF78" s="39" t="str">
        <f>IFERROR(VLOOKUP($B78&amp;AF$5,'Mark Leave'!$A$1:$E$1841,5,0),"")</f>
        <v/>
      </c>
      <c r="AG78" s="39" t="str">
        <f>IFERROR(VLOOKUP($B78&amp;AG$5,'Mark Leave'!$A$1:$E$1841,5,0),"")</f>
        <v/>
      </c>
      <c r="AH78" s="39">
        <f>IFERROR(VLOOKUP($B78&amp;AH$5,'Mark Leave'!$A$1:$E$1841,5,0),"")</f>
        <v>0</v>
      </c>
      <c r="AI78" s="98" t="str">
        <f>IF($B78&lt;&gt;"",COUNTIF($D78:$AH78,'Setting '!$H$2),"")</f>
        <v/>
      </c>
      <c r="AJ78" s="98" t="str">
        <f>IF($B78&lt;&gt;"",COUNTIF($D78:$AH78,'Setting '!$H$3)/2,"")</f>
        <v/>
      </c>
      <c r="AK78" s="98" t="str">
        <f>IF($B78&lt;&gt;"",COUNTIF($D78:$AH78,'Setting '!$H$4),"")</f>
        <v/>
      </c>
      <c r="AL78" s="98" t="str">
        <f t="shared" si="39"/>
        <v/>
      </c>
      <c r="AM78" s="117" t="str">
        <f>IF(B78&lt;&gt;"",_xlfn.IFNA(VLOOKUP(B78,'Leave Credit Sheet'!B78:K171,10,0),""),"")</f>
        <v/>
      </c>
      <c r="AN78" s="98" t="str">
        <f t="shared" si="28"/>
        <v/>
      </c>
      <c r="AO78" s="106" t="str">
        <f>IF(B78&lt;&gt;"",_xlfn.IFNA(INDEX('CTC Sheet'!$C$6:$N$101,MATCH(AttendanceSheet!$B78,'CTC Sheet'!$A$6:$A$101,0),MATCH(AttendanceSheet!$T$1,'CTC Sheet'!$C$5:$N$5,0)),0),"")</f>
        <v/>
      </c>
      <c r="AP78" s="106" t="str">
        <f>IF(B78&lt;&gt;"",_xlfn.IFNA(INDEX('CTC Sheet'!$R$6:$AC$100,MATCH(AttendanceSheet!$B78,'CTC Sheet'!$P$6:$P$100,0),MATCH(AttendanceSheet!$T$1,'CTC Sheet'!$R$5:$AC$5,0)),0),"")</f>
        <v/>
      </c>
      <c r="AQ78" s="106" t="str">
        <f t="shared" si="29"/>
        <v/>
      </c>
      <c r="AR78" s="106" t="str">
        <f t="shared" si="30"/>
        <v/>
      </c>
      <c r="AS78" s="106" t="str">
        <f t="shared" si="31"/>
        <v/>
      </c>
      <c r="AT78" s="106" t="str">
        <f t="shared" si="32"/>
        <v/>
      </c>
      <c r="AU78" s="106" t="str">
        <f t="shared" si="33"/>
        <v/>
      </c>
      <c r="AV78" s="106" t="str">
        <f t="shared" si="34"/>
        <v/>
      </c>
      <c r="AW78" s="106" t="str">
        <f>IF(B78&lt;&gt;"",_xlfn.IFNA(INDEX('OtherArrear payment'!$A$1:$N$95,MATCH(AttendanceSheet!$B78,'OtherArrear payment'!$A$1:$A$95,0),MATCH(AttendanceSheet!$T$1,'OtherArrear payment'!$A$1:$N$1,0)),0),"")</f>
        <v/>
      </c>
      <c r="AX78" s="106" t="str">
        <f t="shared" si="40"/>
        <v/>
      </c>
      <c r="AY78" s="106">
        <f t="shared" si="35"/>
        <v>0</v>
      </c>
      <c r="AZ78" s="106">
        <f t="shared" si="36"/>
        <v>0</v>
      </c>
      <c r="BA78" s="106">
        <f t="shared" si="37"/>
        <v>0</v>
      </c>
      <c r="BB78" s="106">
        <f t="shared" si="38"/>
        <v>0</v>
      </c>
      <c r="BC78" s="106" t="str">
        <f>IF($B78&lt;&gt;"",IF(BL78="Yes",IF($BI78="Mr.",IF($AX78&lt;=7500,0,IF(AND($AX78&lt;10000,$AX78&gt;7501),175,IF(AND($AX78&gt;10000,'Setting '!$G$28&lt;&gt;11),200,300))),IF(AND($AX78&lt;=10000,$BI78="Ms."),0,IF(AND($AX78&gt;10000,'Setting '!$G$28&lt;&gt;11),200,300))),0),"")</f>
        <v/>
      </c>
      <c r="BD78" s="42"/>
      <c r="BE78" s="212" t="str">
        <f>IF($B78&lt;&gt;"",IF('Advance Sheet'!AF75&gt;=0,INDEX('Advance Sheet'!$Q$3:$AD$100,MATCH(AttendanceSheet!$B78,'Advance Sheet'!$Q$3:$Q$100,0),MATCH(AttendanceSheet!$T$1,'Advance Sheet'!$Q$3:$AD$3,)),0),"")</f>
        <v/>
      </c>
      <c r="BF78" s="137" t="str">
        <f t="shared" si="41"/>
        <v/>
      </c>
      <c r="BG78" s="97" t="str">
        <f>IF(B78&lt;&gt;"",VLOOKUP(B78,'Employee Details'!A77:S160,17,0),"")</f>
        <v/>
      </c>
      <c r="BH78" s="97" t="str">
        <f>IF(B78&lt;&gt;"",VLOOKUP(B78,'Employee Details'!A77:S160,18,0),"")</f>
        <v/>
      </c>
      <c r="BI78" s="40" t="str">
        <f>IF(B78&lt;&gt;"",VLOOKUP(B78,'Employee Details'!A76:S159,19,0),"")</f>
        <v/>
      </c>
      <c r="BJ78" s="38" t="str">
        <f>IF(B78&lt;&gt;"",VLOOKUP(B78,'Employee Details'!A77:D105,4,0),"")</f>
        <v/>
      </c>
      <c r="BK78" s="38" t="str">
        <f>IF(B78&lt;&gt;"",VLOOKUP(B78,'Employee Details'!A77:E160,5,0),"")</f>
        <v/>
      </c>
      <c r="BL78" s="210" t="str">
        <f>IF(B78&lt;&gt;"",VLOOKUP(B78,'Employee Details'!A77:U160,21,0),"")</f>
        <v/>
      </c>
    </row>
    <row r="79" spans="2:64" ht="16.5" thickTop="1" thickBot="1" x14ac:dyDescent="0.3">
      <c r="B79" s="37" t="str">
        <f>_xlfn.IFNA(INDEX('Employee Details'!$A$7:$A82,MATCH(AttendanceSheet!$C79,'Employee Details'!$B$7:$B88,0)),"")</f>
        <v/>
      </c>
      <c r="C79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'!$J$1:J73))),"")</f>
        <v/>
      </c>
      <c r="D79" s="39" t="str">
        <f>IFERROR(VLOOKUP($B79&amp;D$5,'Mark Leave'!$A$1:$E$1841,5,0),"")</f>
        <v/>
      </c>
      <c r="E79" s="39" t="str">
        <f>IFERROR(VLOOKUP($B79&amp;E$5,'Mark Leave'!$A$1:$E$1841,5,0),"")</f>
        <v/>
      </c>
      <c r="F79" s="39" t="str">
        <f>IFERROR(VLOOKUP($B79&amp;F$5,'Mark Leave'!$A$1:$E$1841,5,0),"")</f>
        <v/>
      </c>
      <c r="G79" s="39" t="str">
        <f>IFERROR(VLOOKUP($B79&amp;G$5,'Mark Leave'!$A$1:$E$1841,5,0),"")</f>
        <v/>
      </c>
      <c r="H79" s="39" t="str">
        <f>IFERROR(VLOOKUP($B79&amp;H$5,'Mark Leave'!$A$1:$E$1841,5,0),"")</f>
        <v/>
      </c>
      <c r="I79" s="39" t="str">
        <f>IFERROR(VLOOKUP($B79&amp;I$5,'Mark Leave'!$A$1:$E$1841,5,0),"")</f>
        <v/>
      </c>
      <c r="J79" s="39" t="str">
        <f>IFERROR(VLOOKUP($B79&amp;J$5,'Mark Leave'!$A$1:$E$1841,5,0),"")</f>
        <v/>
      </c>
      <c r="K79" s="39" t="str">
        <f>IFERROR(VLOOKUP($B79&amp;K$5,'Mark Leave'!$A$1:$E$1841,5,0),"")</f>
        <v/>
      </c>
      <c r="L79" s="39" t="str">
        <f>IFERROR(VLOOKUP($B79&amp;L$5,'Mark Leave'!$A$1:$E$1841,5,0),"")</f>
        <v/>
      </c>
      <c r="M79" s="39" t="str">
        <f>IFERROR(VLOOKUP($B79&amp;M$5,'Mark Leave'!$A$1:$E$1841,5,0),"")</f>
        <v/>
      </c>
      <c r="N79" s="39" t="str">
        <f>IFERROR(VLOOKUP($B79&amp;N$5,'Mark Leave'!$A$1:$E$1841,5,0),"")</f>
        <v/>
      </c>
      <c r="O79" s="39" t="str">
        <f>IFERROR(VLOOKUP($B79&amp;O$5,'Mark Leave'!$A$1:$E$1841,5,0),"")</f>
        <v/>
      </c>
      <c r="P79" s="39" t="str">
        <f>IFERROR(VLOOKUP($B79&amp;P$5,'Mark Leave'!$A$1:$E$1841,5,0),"")</f>
        <v/>
      </c>
      <c r="Q79" s="39" t="str">
        <f>IFERROR(VLOOKUP($B79&amp;Q$5,'Mark Leave'!$A$1:$E$1841,5,0),"")</f>
        <v/>
      </c>
      <c r="R79" s="39" t="str">
        <f>IFERROR(VLOOKUP($B79&amp;R$5,'Mark Leave'!$A$1:$E$1841,5,0),"")</f>
        <v/>
      </c>
      <c r="S79" s="39" t="str">
        <f>IFERROR(VLOOKUP($B79&amp;S$5,'Mark Leave'!$A$1:$E$1841,5,0),"")</f>
        <v/>
      </c>
      <c r="T79" s="39" t="str">
        <f>IFERROR(VLOOKUP($B79&amp;T$5,'Mark Leave'!$A$1:$E$1841,5,0),"")</f>
        <v/>
      </c>
      <c r="U79" s="39" t="str">
        <f>IFERROR(VLOOKUP($B79&amp;U$5,'Mark Leave'!$A$1:$E$1841,5,0),"")</f>
        <v/>
      </c>
      <c r="V79" s="39" t="str">
        <f>IFERROR(VLOOKUP($B79&amp;V$5,'Mark Leave'!$A$1:$E$1841,5,0),"")</f>
        <v/>
      </c>
      <c r="W79" s="39" t="str">
        <f>IFERROR(VLOOKUP($B79&amp;W$5,'Mark Leave'!$A$1:$E$1841,5,0),"")</f>
        <v/>
      </c>
      <c r="X79" s="39" t="str">
        <f>IFERROR(VLOOKUP($B79&amp;X$5,'Mark Leave'!$A$1:$E$1841,5,0),"")</f>
        <v/>
      </c>
      <c r="Y79" s="39" t="str">
        <f>IFERROR(VLOOKUP($B79&amp;Y$5,'Mark Leave'!$A$1:$E$1841,5,0),"")</f>
        <v/>
      </c>
      <c r="Z79" s="39" t="str">
        <f>IFERROR(VLOOKUP($B79&amp;Z$5,'Mark Leave'!$A$1:$E$1841,5,0),"")</f>
        <v/>
      </c>
      <c r="AA79" s="39" t="str">
        <f>IFERROR(VLOOKUP($B79&amp;AA$5,'Mark Leave'!$A$1:$E$1841,5,0),"")</f>
        <v/>
      </c>
      <c r="AB79" s="39" t="str">
        <f>IFERROR(VLOOKUP($B79&amp;AB$5,'Mark Leave'!$A$1:$E$1841,5,0),"")</f>
        <v/>
      </c>
      <c r="AC79" s="39" t="str">
        <f>IFERROR(VLOOKUP($B79&amp;AC$5,'Mark Leave'!$A$1:$E$1841,5,0),"")</f>
        <v/>
      </c>
      <c r="AD79" s="39" t="str">
        <f>IFERROR(VLOOKUP($B79&amp;AD$5,'Mark Leave'!$A$1:$E$1841,5,0),"")</f>
        <v/>
      </c>
      <c r="AE79" s="39" t="str">
        <f>IFERROR(VLOOKUP($B79&amp;AE$5,'Mark Leave'!$A$1:$E$1841,5,0),"")</f>
        <v/>
      </c>
      <c r="AF79" s="39" t="str">
        <f>IFERROR(VLOOKUP($B79&amp;AF$5,'Mark Leave'!$A$1:$E$1841,5,0),"")</f>
        <v/>
      </c>
      <c r="AG79" s="39" t="str">
        <f>IFERROR(VLOOKUP($B79&amp;AG$5,'Mark Leave'!$A$1:$E$1841,5,0),"")</f>
        <v/>
      </c>
      <c r="AH79" s="39">
        <f>IFERROR(VLOOKUP($B79&amp;AH$5,'Mark Leave'!$A$1:$E$1841,5,0),"")</f>
        <v>0</v>
      </c>
      <c r="AI79" s="98" t="str">
        <f>IF($B79&lt;&gt;"",COUNTIF($D79:$AH79,'Setting '!$H$2),"")</f>
        <v/>
      </c>
      <c r="AJ79" s="98" t="str">
        <f>IF($B79&lt;&gt;"",COUNTIF($D79:$AH79,'Setting '!$H$3)/2,"")</f>
        <v/>
      </c>
      <c r="AK79" s="98" t="str">
        <f>IF($B79&lt;&gt;"",COUNTIF($D79:$AH79,'Setting '!$H$4),"")</f>
        <v/>
      </c>
      <c r="AL79" s="98" t="str">
        <f t="shared" si="39"/>
        <v/>
      </c>
      <c r="AM79" s="117" t="str">
        <f>IF(B79&lt;&gt;"",_xlfn.IFNA(VLOOKUP(B79,'Leave Credit Sheet'!B79:K172,10,0),""),"")</f>
        <v/>
      </c>
      <c r="AN79" s="98" t="str">
        <f t="shared" si="28"/>
        <v/>
      </c>
      <c r="AO79" s="106" t="str">
        <f>IF(B79&lt;&gt;"",_xlfn.IFNA(INDEX('CTC Sheet'!$C$6:$N$101,MATCH(AttendanceSheet!$B79,'CTC Sheet'!$A$6:$A$101,0),MATCH(AttendanceSheet!$T$1,'CTC Sheet'!$C$5:$N$5,0)),0),"")</f>
        <v/>
      </c>
      <c r="AP79" s="106" t="str">
        <f>IF(B79&lt;&gt;"",_xlfn.IFNA(INDEX('CTC Sheet'!$R$6:$AC$100,MATCH(AttendanceSheet!$B79,'CTC Sheet'!$P$6:$P$100,0),MATCH(AttendanceSheet!$T$1,'CTC Sheet'!$R$5:$AC$5,0)),0),"")</f>
        <v/>
      </c>
      <c r="AQ79" s="106" t="str">
        <f t="shared" si="29"/>
        <v/>
      </c>
      <c r="AR79" s="106" t="str">
        <f t="shared" si="30"/>
        <v/>
      </c>
      <c r="AS79" s="106" t="str">
        <f t="shared" si="31"/>
        <v/>
      </c>
      <c r="AT79" s="106" t="str">
        <f t="shared" si="32"/>
        <v/>
      </c>
      <c r="AU79" s="106" t="str">
        <f t="shared" si="33"/>
        <v/>
      </c>
      <c r="AV79" s="106" t="str">
        <f t="shared" si="34"/>
        <v/>
      </c>
      <c r="AW79" s="106" t="str">
        <f>IF(B79&lt;&gt;"",_xlfn.IFNA(INDEX('OtherArrear payment'!$A$1:$N$95,MATCH(AttendanceSheet!$B79,'OtherArrear payment'!$A$1:$A$95,0),MATCH(AttendanceSheet!$T$1,'OtherArrear payment'!$A$1:$N$1,0)),0),"")</f>
        <v/>
      </c>
      <c r="AX79" s="106" t="str">
        <f t="shared" si="40"/>
        <v/>
      </c>
      <c r="AY79" s="106">
        <f t="shared" si="35"/>
        <v>0</v>
      </c>
      <c r="AZ79" s="106">
        <f t="shared" si="36"/>
        <v>0</v>
      </c>
      <c r="BA79" s="106">
        <f t="shared" si="37"/>
        <v>0</v>
      </c>
      <c r="BB79" s="106">
        <f t="shared" si="38"/>
        <v>0</v>
      </c>
      <c r="BC79" s="106" t="str">
        <f>IF($B79&lt;&gt;"",IF(BL79="Yes",IF($BI79="Mr.",IF($AX79&lt;=7500,0,IF(AND($AX79&lt;10000,$AX79&gt;7501),175,IF(AND($AX79&gt;10000,'Setting '!$G$28&lt;&gt;11),200,300))),IF(AND($AX79&lt;=10000,$BI79="Ms."),0,IF(AND($AX79&gt;10000,'Setting '!$G$28&lt;&gt;11),200,300))),0),"")</f>
        <v/>
      </c>
      <c r="BD79" s="42"/>
      <c r="BE79" s="212" t="str">
        <f>IF($B79&lt;&gt;"",IF('Advance Sheet'!AF76&gt;=0,INDEX('Advance Sheet'!$Q$3:$AD$100,MATCH(AttendanceSheet!$B79,'Advance Sheet'!$Q$3:$Q$100,0),MATCH(AttendanceSheet!$T$1,'Advance Sheet'!$Q$3:$AD$3,)),0),"")</f>
        <v/>
      </c>
      <c r="BF79" s="137" t="str">
        <f t="shared" si="41"/>
        <v/>
      </c>
      <c r="BG79" s="97" t="str">
        <f>IF(B79&lt;&gt;"",VLOOKUP(B79,'Employee Details'!A78:S161,17,0),"")</f>
        <v/>
      </c>
      <c r="BH79" s="97" t="str">
        <f>IF(B79&lt;&gt;"",VLOOKUP(B79,'Employee Details'!A78:S161,18,0),"")</f>
        <v/>
      </c>
      <c r="BI79" s="40" t="str">
        <f>IF(B79&lt;&gt;"",VLOOKUP(B79,'Employee Details'!A77:S160,19,0),"")</f>
        <v/>
      </c>
      <c r="BJ79" s="38" t="str">
        <f>IF(B79&lt;&gt;"",VLOOKUP(B79,'Employee Details'!A78:D106,4,0),"")</f>
        <v/>
      </c>
      <c r="BK79" s="38" t="str">
        <f>IF(B79&lt;&gt;"",VLOOKUP(B79,'Employee Details'!A78:E161,5,0),"")</f>
        <v/>
      </c>
      <c r="BL79" s="210" t="str">
        <f>IF(B79&lt;&gt;"",VLOOKUP(B79,'Employee Details'!A78:U161,21,0),"")</f>
        <v/>
      </c>
    </row>
    <row r="80" spans="2:64" ht="16.5" thickTop="1" thickBot="1" x14ac:dyDescent="0.3">
      <c r="B80" s="37" t="str">
        <f>_xlfn.IFNA(INDEX('Employee Details'!$A$7:$A83,MATCH(AttendanceSheet!$C80,'Employee Details'!$B$7:$B89,0)),"")</f>
        <v/>
      </c>
      <c r="C80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'!$J$1:J74))),"")</f>
        <v/>
      </c>
      <c r="D80" s="39" t="str">
        <f>IFERROR(VLOOKUP($B80&amp;D$5,'Mark Leave'!$A$1:$E$1841,5,0),"")</f>
        <v/>
      </c>
      <c r="E80" s="39" t="str">
        <f>IFERROR(VLOOKUP($B80&amp;E$5,'Mark Leave'!$A$1:$E$1841,5,0),"")</f>
        <v/>
      </c>
      <c r="F80" s="39" t="str">
        <f>IFERROR(VLOOKUP($B80&amp;F$5,'Mark Leave'!$A$1:$E$1841,5,0),"")</f>
        <v/>
      </c>
      <c r="G80" s="39" t="str">
        <f>IFERROR(VLOOKUP($B80&amp;G$5,'Mark Leave'!$A$1:$E$1841,5,0),"")</f>
        <v/>
      </c>
      <c r="H80" s="39" t="str">
        <f>IFERROR(VLOOKUP($B80&amp;H$5,'Mark Leave'!$A$1:$E$1841,5,0),"")</f>
        <v/>
      </c>
      <c r="I80" s="39" t="str">
        <f>IFERROR(VLOOKUP($B80&amp;I$5,'Mark Leave'!$A$1:$E$1841,5,0),"")</f>
        <v/>
      </c>
      <c r="J80" s="39" t="str">
        <f>IFERROR(VLOOKUP($B80&amp;J$5,'Mark Leave'!$A$1:$E$1841,5,0),"")</f>
        <v/>
      </c>
      <c r="K80" s="39" t="str">
        <f>IFERROR(VLOOKUP($B80&amp;K$5,'Mark Leave'!$A$1:$E$1841,5,0),"")</f>
        <v/>
      </c>
      <c r="L80" s="39" t="str">
        <f>IFERROR(VLOOKUP($B80&amp;L$5,'Mark Leave'!$A$1:$E$1841,5,0),"")</f>
        <v/>
      </c>
      <c r="M80" s="39" t="str">
        <f>IFERROR(VLOOKUP($B80&amp;M$5,'Mark Leave'!$A$1:$E$1841,5,0),"")</f>
        <v/>
      </c>
      <c r="N80" s="39" t="str">
        <f>IFERROR(VLOOKUP($B80&amp;N$5,'Mark Leave'!$A$1:$E$1841,5,0),"")</f>
        <v/>
      </c>
      <c r="O80" s="39" t="str">
        <f>IFERROR(VLOOKUP($B80&amp;O$5,'Mark Leave'!$A$1:$E$1841,5,0),"")</f>
        <v/>
      </c>
      <c r="P80" s="39" t="str">
        <f>IFERROR(VLOOKUP($B80&amp;P$5,'Mark Leave'!$A$1:$E$1841,5,0),"")</f>
        <v/>
      </c>
      <c r="Q80" s="39" t="str">
        <f>IFERROR(VLOOKUP($B80&amp;Q$5,'Mark Leave'!$A$1:$E$1841,5,0),"")</f>
        <v/>
      </c>
      <c r="R80" s="39" t="str">
        <f>IFERROR(VLOOKUP($B80&amp;R$5,'Mark Leave'!$A$1:$E$1841,5,0),"")</f>
        <v/>
      </c>
      <c r="S80" s="39" t="str">
        <f>IFERROR(VLOOKUP($B80&amp;S$5,'Mark Leave'!$A$1:$E$1841,5,0),"")</f>
        <v/>
      </c>
      <c r="T80" s="39" t="str">
        <f>IFERROR(VLOOKUP($B80&amp;T$5,'Mark Leave'!$A$1:$E$1841,5,0),"")</f>
        <v/>
      </c>
      <c r="U80" s="39" t="str">
        <f>IFERROR(VLOOKUP($B80&amp;U$5,'Mark Leave'!$A$1:$E$1841,5,0),"")</f>
        <v/>
      </c>
      <c r="V80" s="39" t="str">
        <f>IFERROR(VLOOKUP($B80&amp;V$5,'Mark Leave'!$A$1:$E$1841,5,0),"")</f>
        <v/>
      </c>
      <c r="W80" s="39" t="str">
        <f>IFERROR(VLOOKUP($B80&amp;W$5,'Mark Leave'!$A$1:$E$1841,5,0),"")</f>
        <v/>
      </c>
      <c r="X80" s="39" t="str">
        <f>IFERROR(VLOOKUP($B80&amp;X$5,'Mark Leave'!$A$1:$E$1841,5,0),"")</f>
        <v/>
      </c>
      <c r="Y80" s="39" t="str">
        <f>IFERROR(VLOOKUP($B80&amp;Y$5,'Mark Leave'!$A$1:$E$1841,5,0),"")</f>
        <v/>
      </c>
      <c r="Z80" s="39" t="str">
        <f>IFERROR(VLOOKUP($B80&amp;Z$5,'Mark Leave'!$A$1:$E$1841,5,0),"")</f>
        <v/>
      </c>
      <c r="AA80" s="39" t="str">
        <f>IFERROR(VLOOKUP($B80&amp;AA$5,'Mark Leave'!$A$1:$E$1841,5,0),"")</f>
        <v/>
      </c>
      <c r="AB80" s="39" t="str">
        <f>IFERROR(VLOOKUP($B80&amp;AB$5,'Mark Leave'!$A$1:$E$1841,5,0),"")</f>
        <v/>
      </c>
      <c r="AC80" s="39" t="str">
        <f>IFERROR(VLOOKUP($B80&amp;AC$5,'Mark Leave'!$A$1:$E$1841,5,0),"")</f>
        <v/>
      </c>
      <c r="AD80" s="39" t="str">
        <f>IFERROR(VLOOKUP($B80&amp;AD$5,'Mark Leave'!$A$1:$E$1841,5,0),"")</f>
        <v/>
      </c>
      <c r="AE80" s="39" t="str">
        <f>IFERROR(VLOOKUP($B80&amp;AE$5,'Mark Leave'!$A$1:$E$1841,5,0),"")</f>
        <v/>
      </c>
      <c r="AF80" s="39" t="str">
        <f>IFERROR(VLOOKUP($B80&amp;AF$5,'Mark Leave'!$A$1:$E$1841,5,0),"")</f>
        <v/>
      </c>
      <c r="AG80" s="39" t="str">
        <f>IFERROR(VLOOKUP($B80&amp;AG$5,'Mark Leave'!$A$1:$E$1841,5,0),"")</f>
        <v/>
      </c>
      <c r="AH80" s="39">
        <f>IFERROR(VLOOKUP($B80&amp;AH$5,'Mark Leave'!$A$1:$E$1841,5,0),"")</f>
        <v>0</v>
      </c>
      <c r="AI80" s="98" t="str">
        <f>IF($B80&lt;&gt;"",COUNTIF($D80:$AH80,'Setting '!$H$2),"")</f>
        <v/>
      </c>
      <c r="AJ80" s="98" t="str">
        <f>IF($B80&lt;&gt;"",COUNTIF($D80:$AH80,'Setting '!$H$3)/2,"")</f>
        <v/>
      </c>
      <c r="AK80" s="98" t="str">
        <f>IF($B80&lt;&gt;"",COUNTIF($D80:$AH80,'Setting '!$H$4),"")</f>
        <v/>
      </c>
      <c r="AL80" s="98" t="str">
        <f t="shared" si="39"/>
        <v/>
      </c>
      <c r="AM80" s="117" t="str">
        <f>IF(B80&lt;&gt;"",_xlfn.IFNA(VLOOKUP(B80,'Leave Credit Sheet'!B80:K173,10,0),""),"")</f>
        <v/>
      </c>
      <c r="AN80" s="98" t="str">
        <f t="shared" si="28"/>
        <v/>
      </c>
      <c r="AO80" s="106" t="str">
        <f>IF(B80&lt;&gt;"",_xlfn.IFNA(INDEX('CTC Sheet'!$C$6:$N$101,MATCH(AttendanceSheet!$B80,'CTC Sheet'!$A$6:$A$101,0),MATCH(AttendanceSheet!$T$1,'CTC Sheet'!$C$5:$N$5,0)),0),"")</f>
        <v/>
      </c>
      <c r="AP80" s="106" t="str">
        <f>IF(B80&lt;&gt;"",_xlfn.IFNA(INDEX('CTC Sheet'!$R$6:$AC$100,MATCH(AttendanceSheet!$B80,'CTC Sheet'!$P$6:$P$100,0),MATCH(AttendanceSheet!$T$1,'CTC Sheet'!$R$5:$AC$5,0)),0),"")</f>
        <v/>
      </c>
      <c r="AQ80" s="106" t="str">
        <f t="shared" si="29"/>
        <v/>
      </c>
      <c r="AR80" s="106" t="str">
        <f t="shared" si="30"/>
        <v/>
      </c>
      <c r="AS80" s="106" t="str">
        <f t="shared" si="31"/>
        <v/>
      </c>
      <c r="AT80" s="106" t="str">
        <f t="shared" si="32"/>
        <v/>
      </c>
      <c r="AU80" s="106" t="str">
        <f t="shared" si="33"/>
        <v/>
      </c>
      <c r="AV80" s="106" t="str">
        <f t="shared" si="34"/>
        <v/>
      </c>
      <c r="AW80" s="106" t="str">
        <f>IF(B80&lt;&gt;"",_xlfn.IFNA(INDEX('OtherArrear payment'!$A$1:$N$95,MATCH(AttendanceSheet!$B80,'OtherArrear payment'!$A$1:$A$95,0),MATCH(AttendanceSheet!$T$1,'OtherArrear payment'!$A$1:$N$1,0)),0),"")</f>
        <v/>
      </c>
      <c r="AX80" s="106" t="str">
        <f t="shared" si="40"/>
        <v/>
      </c>
      <c r="AY80" s="106">
        <f t="shared" si="35"/>
        <v>0</v>
      </c>
      <c r="AZ80" s="106">
        <f t="shared" si="36"/>
        <v>0</v>
      </c>
      <c r="BA80" s="106">
        <f t="shared" si="37"/>
        <v>0</v>
      </c>
      <c r="BB80" s="106">
        <f t="shared" si="38"/>
        <v>0</v>
      </c>
      <c r="BC80" s="106" t="str">
        <f>IF($B80&lt;&gt;"",IF(BL80="Yes",IF($BI80="Mr.",IF($AX80&lt;=7500,0,IF(AND($AX80&lt;10000,$AX80&gt;7501),175,IF(AND($AX80&gt;10000,'Setting '!$G$28&lt;&gt;11),200,300))),IF(AND($AX80&lt;=10000,$BI80="Ms."),0,IF(AND($AX80&gt;10000,'Setting '!$G$28&lt;&gt;11),200,300))),0),"")</f>
        <v/>
      </c>
      <c r="BD80" s="42"/>
      <c r="BE80" s="212" t="str">
        <f>IF($B80&lt;&gt;"",IF('Advance Sheet'!AF77&gt;=0,INDEX('Advance Sheet'!$Q$3:$AD$100,MATCH(AttendanceSheet!$B80,'Advance Sheet'!$Q$3:$Q$100,0),MATCH(AttendanceSheet!$T$1,'Advance Sheet'!$Q$3:$AD$3,)),0),"")</f>
        <v/>
      </c>
      <c r="BF80" s="137" t="str">
        <f t="shared" si="41"/>
        <v/>
      </c>
      <c r="BG80" s="97" t="str">
        <f>IF(B80&lt;&gt;"",VLOOKUP(B80,'Employee Details'!A79:S162,17,0),"")</f>
        <v/>
      </c>
      <c r="BH80" s="97" t="str">
        <f>IF(B80&lt;&gt;"",VLOOKUP(B80,'Employee Details'!A79:S162,18,0),"")</f>
        <v/>
      </c>
      <c r="BI80" s="40" t="str">
        <f>IF(B80&lt;&gt;"",VLOOKUP(B80,'Employee Details'!A78:S161,19,0),"")</f>
        <v/>
      </c>
      <c r="BJ80" s="38" t="str">
        <f>IF(B80&lt;&gt;"",VLOOKUP(B80,'Employee Details'!A79:D107,4,0),"")</f>
        <v/>
      </c>
      <c r="BK80" s="38" t="str">
        <f>IF(B80&lt;&gt;"",VLOOKUP(B80,'Employee Details'!A79:E162,5,0),"")</f>
        <v/>
      </c>
      <c r="BL80" s="210" t="str">
        <f>IF(B80&lt;&gt;"",VLOOKUP(B80,'Employee Details'!A79:U162,21,0),"")</f>
        <v/>
      </c>
    </row>
    <row r="81" spans="2:64" ht="16.5" thickTop="1" thickBot="1" x14ac:dyDescent="0.3">
      <c r="B81" s="37" t="str">
        <f>_xlfn.IFNA(INDEX('Employee Details'!$A$7:$A84,MATCH(AttendanceSheet!$C81,'Employee Details'!$B$7:$B90,0)),"")</f>
        <v/>
      </c>
      <c r="C81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'!$J$1:J75))),"")</f>
        <v/>
      </c>
      <c r="D81" s="39" t="str">
        <f>IFERROR(VLOOKUP($B81&amp;D$5,'Mark Leave'!$A$1:$E$1841,5,0),"")</f>
        <v/>
      </c>
      <c r="E81" s="39" t="str">
        <f>IFERROR(VLOOKUP($B81&amp;E$5,'Mark Leave'!$A$1:$E$1841,5,0),"")</f>
        <v/>
      </c>
      <c r="F81" s="39" t="str">
        <f>IFERROR(VLOOKUP($B81&amp;F$5,'Mark Leave'!$A$1:$E$1841,5,0),"")</f>
        <v/>
      </c>
      <c r="G81" s="39" t="str">
        <f>IFERROR(VLOOKUP($B81&amp;G$5,'Mark Leave'!$A$1:$E$1841,5,0),"")</f>
        <v/>
      </c>
      <c r="H81" s="39" t="str">
        <f>IFERROR(VLOOKUP($B81&amp;H$5,'Mark Leave'!$A$1:$E$1841,5,0),"")</f>
        <v/>
      </c>
      <c r="I81" s="39" t="str">
        <f>IFERROR(VLOOKUP($B81&amp;I$5,'Mark Leave'!$A$1:$E$1841,5,0),"")</f>
        <v/>
      </c>
      <c r="J81" s="39" t="str">
        <f>IFERROR(VLOOKUP($B81&amp;J$5,'Mark Leave'!$A$1:$E$1841,5,0),"")</f>
        <v/>
      </c>
      <c r="K81" s="39" t="str">
        <f>IFERROR(VLOOKUP($B81&amp;K$5,'Mark Leave'!$A$1:$E$1841,5,0),"")</f>
        <v/>
      </c>
      <c r="L81" s="39" t="str">
        <f>IFERROR(VLOOKUP($B81&amp;L$5,'Mark Leave'!$A$1:$E$1841,5,0),"")</f>
        <v/>
      </c>
      <c r="M81" s="39" t="str">
        <f>IFERROR(VLOOKUP($B81&amp;M$5,'Mark Leave'!$A$1:$E$1841,5,0),"")</f>
        <v/>
      </c>
      <c r="N81" s="39" t="str">
        <f>IFERROR(VLOOKUP($B81&amp;N$5,'Mark Leave'!$A$1:$E$1841,5,0),"")</f>
        <v/>
      </c>
      <c r="O81" s="39" t="str">
        <f>IFERROR(VLOOKUP($B81&amp;O$5,'Mark Leave'!$A$1:$E$1841,5,0),"")</f>
        <v/>
      </c>
      <c r="P81" s="39" t="str">
        <f>IFERROR(VLOOKUP($B81&amp;P$5,'Mark Leave'!$A$1:$E$1841,5,0),"")</f>
        <v/>
      </c>
      <c r="Q81" s="39" t="str">
        <f>IFERROR(VLOOKUP($B81&amp;Q$5,'Mark Leave'!$A$1:$E$1841,5,0),"")</f>
        <v/>
      </c>
      <c r="R81" s="39" t="str">
        <f>IFERROR(VLOOKUP($B81&amp;R$5,'Mark Leave'!$A$1:$E$1841,5,0),"")</f>
        <v/>
      </c>
      <c r="S81" s="39" t="str">
        <f>IFERROR(VLOOKUP($B81&amp;S$5,'Mark Leave'!$A$1:$E$1841,5,0),"")</f>
        <v/>
      </c>
      <c r="T81" s="39" t="str">
        <f>IFERROR(VLOOKUP($B81&amp;T$5,'Mark Leave'!$A$1:$E$1841,5,0),"")</f>
        <v/>
      </c>
      <c r="U81" s="39" t="str">
        <f>IFERROR(VLOOKUP($B81&amp;U$5,'Mark Leave'!$A$1:$E$1841,5,0),"")</f>
        <v/>
      </c>
      <c r="V81" s="39" t="str">
        <f>IFERROR(VLOOKUP($B81&amp;V$5,'Mark Leave'!$A$1:$E$1841,5,0),"")</f>
        <v/>
      </c>
      <c r="W81" s="39" t="str">
        <f>IFERROR(VLOOKUP($B81&amp;W$5,'Mark Leave'!$A$1:$E$1841,5,0),"")</f>
        <v/>
      </c>
      <c r="X81" s="39" t="str">
        <f>IFERROR(VLOOKUP($B81&amp;X$5,'Mark Leave'!$A$1:$E$1841,5,0),"")</f>
        <v/>
      </c>
      <c r="Y81" s="39" t="str">
        <f>IFERROR(VLOOKUP($B81&amp;Y$5,'Mark Leave'!$A$1:$E$1841,5,0),"")</f>
        <v/>
      </c>
      <c r="Z81" s="39" t="str">
        <f>IFERROR(VLOOKUP($B81&amp;Z$5,'Mark Leave'!$A$1:$E$1841,5,0),"")</f>
        <v/>
      </c>
      <c r="AA81" s="39" t="str">
        <f>IFERROR(VLOOKUP($B81&amp;AA$5,'Mark Leave'!$A$1:$E$1841,5,0),"")</f>
        <v/>
      </c>
      <c r="AB81" s="39" t="str">
        <f>IFERROR(VLOOKUP($B81&amp;AB$5,'Mark Leave'!$A$1:$E$1841,5,0),"")</f>
        <v/>
      </c>
      <c r="AC81" s="39" t="str">
        <f>IFERROR(VLOOKUP($B81&amp;AC$5,'Mark Leave'!$A$1:$E$1841,5,0),"")</f>
        <v/>
      </c>
      <c r="AD81" s="39" t="str">
        <f>IFERROR(VLOOKUP($B81&amp;AD$5,'Mark Leave'!$A$1:$E$1841,5,0),"")</f>
        <v/>
      </c>
      <c r="AE81" s="39" t="str">
        <f>IFERROR(VLOOKUP($B81&amp;AE$5,'Mark Leave'!$A$1:$E$1841,5,0),"")</f>
        <v/>
      </c>
      <c r="AF81" s="39" t="str">
        <f>IFERROR(VLOOKUP($B81&amp;AF$5,'Mark Leave'!$A$1:$E$1841,5,0),"")</f>
        <v/>
      </c>
      <c r="AG81" s="39" t="str">
        <f>IFERROR(VLOOKUP($B81&amp;AG$5,'Mark Leave'!$A$1:$E$1841,5,0),"")</f>
        <v/>
      </c>
      <c r="AH81" s="39">
        <f>IFERROR(VLOOKUP($B81&amp;AH$5,'Mark Leave'!$A$1:$E$1841,5,0),"")</f>
        <v>0</v>
      </c>
      <c r="AI81" s="98" t="str">
        <f>IF($B81&lt;&gt;"",COUNTIF($D81:$AH81,'Setting '!$H$2),"")</f>
        <v/>
      </c>
      <c r="AJ81" s="98" t="str">
        <f>IF($B81&lt;&gt;"",COUNTIF($D81:$AH81,'Setting '!$H$3)/2,"")</f>
        <v/>
      </c>
      <c r="AK81" s="98" t="str">
        <f>IF($B81&lt;&gt;"",COUNTIF($D81:$AH81,'Setting '!$H$4),"")</f>
        <v/>
      </c>
      <c r="AL81" s="98" t="str">
        <f t="shared" si="39"/>
        <v/>
      </c>
      <c r="AM81" s="117" t="str">
        <f>IF(B81&lt;&gt;"",_xlfn.IFNA(VLOOKUP(B81,'Leave Credit Sheet'!B81:K174,10,0),""),"")</f>
        <v/>
      </c>
      <c r="AN81" s="98" t="str">
        <f t="shared" si="28"/>
        <v/>
      </c>
      <c r="AO81" s="106" t="str">
        <f>IF(B81&lt;&gt;"",_xlfn.IFNA(INDEX('CTC Sheet'!$C$6:$N$101,MATCH(AttendanceSheet!$B81,'CTC Sheet'!$A$6:$A$101,0),MATCH(AttendanceSheet!$T$1,'CTC Sheet'!$C$5:$N$5,0)),0),"")</f>
        <v/>
      </c>
      <c r="AP81" s="106" t="str">
        <f>IF(B81&lt;&gt;"",_xlfn.IFNA(INDEX('CTC Sheet'!$R$6:$AC$100,MATCH(AttendanceSheet!$B81,'CTC Sheet'!$P$6:$P$100,0),MATCH(AttendanceSheet!$T$1,'CTC Sheet'!$R$5:$AC$5,0)),0),"")</f>
        <v/>
      </c>
      <c r="AQ81" s="106" t="str">
        <f t="shared" si="29"/>
        <v/>
      </c>
      <c r="AR81" s="106" t="str">
        <f t="shared" si="30"/>
        <v/>
      </c>
      <c r="AS81" s="106" t="str">
        <f t="shared" si="31"/>
        <v/>
      </c>
      <c r="AT81" s="106" t="str">
        <f t="shared" si="32"/>
        <v/>
      </c>
      <c r="AU81" s="106" t="str">
        <f t="shared" si="33"/>
        <v/>
      </c>
      <c r="AV81" s="106" t="str">
        <f t="shared" si="34"/>
        <v/>
      </c>
      <c r="AW81" s="106" t="str">
        <f>IF(B81&lt;&gt;"",_xlfn.IFNA(INDEX('OtherArrear payment'!$A$1:$N$95,MATCH(AttendanceSheet!$B81,'OtherArrear payment'!$A$1:$A$95,0),MATCH(AttendanceSheet!$T$1,'OtherArrear payment'!$A$1:$N$1,0)),0),"")</f>
        <v/>
      </c>
      <c r="AX81" s="106" t="str">
        <f t="shared" si="40"/>
        <v/>
      </c>
      <c r="AY81" s="106">
        <f t="shared" si="35"/>
        <v>0</v>
      </c>
      <c r="AZ81" s="106">
        <f t="shared" si="36"/>
        <v>0</v>
      </c>
      <c r="BA81" s="106">
        <f t="shared" si="37"/>
        <v>0</v>
      </c>
      <c r="BB81" s="106">
        <f t="shared" si="38"/>
        <v>0</v>
      </c>
      <c r="BC81" s="106" t="str">
        <f>IF($B81&lt;&gt;"",IF(BL81="Yes",IF($BI81="Mr.",IF($AX81&lt;=7500,0,IF(AND($AX81&lt;10000,$AX81&gt;7501),175,IF(AND($AX81&gt;10000,'Setting '!$G$28&lt;&gt;11),200,300))),IF(AND($AX81&lt;=10000,$BI81="Ms."),0,IF(AND($AX81&gt;10000,'Setting '!$G$28&lt;&gt;11),200,300))),0),"")</f>
        <v/>
      </c>
      <c r="BD81" s="42"/>
      <c r="BE81" s="212" t="str">
        <f>IF($B81&lt;&gt;"",IF('Advance Sheet'!AF78&gt;=0,INDEX('Advance Sheet'!$Q$3:$AD$100,MATCH(AttendanceSheet!$B81,'Advance Sheet'!$Q$3:$Q$100,0),MATCH(AttendanceSheet!$T$1,'Advance Sheet'!$Q$3:$AD$3,)),0),"")</f>
        <v/>
      </c>
      <c r="BF81" s="137" t="str">
        <f t="shared" si="41"/>
        <v/>
      </c>
      <c r="BG81" s="97" t="str">
        <f>IF(B81&lt;&gt;"",VLOOKUP(B81,'Employee Details'!A80:S163,17,0),"")</f>
        <v/>
      </c>
      <c r="BH81" s="97" t="str">
        <f>IF(B81&lt;&gt;"",VLOOKUP(B81,'Employee Details'!A80:S163,18,0),"")</f>
        <v/>
      </c>
      <c r="BI81" s="40" t="str">
        <f>IF(B81&lt;&gt;"",VLOOKUP(B81,'Employee Details'!A79:S162,19,0),"")</f>
        <v/>
      </c>
      <c r="BJ81" s="38" t="str">
        <f>IF(B81&lt;&gt;"",VLOOKUP(B81,'Employee Details'!A80:D108,4,0),"")</f>
        <v/>
      </c>
      <c r="BK81" s="38" t="str">
        <f>IF(B81&lt;&gt;"",VLOOKUP(B81,'Employee Details'!A80:E163,5,0),"")</f>
        <v/>
      </c>
      <c r="BL81" s="210" t="str">
        <f>IF(B81&lt;&gt;"",VLOOKUP(B81,'Employee Details'!A80:U163,21,0),"")</f>
        <v/>
      </c>
    </row>
    <row r="82" spans="2:64" ht="16.5" thickTop="1" thickBot="1" x14ac:dyDescent="0.3">
      <c r="B82" s="37" t="str">
        <f>_xlfn.IFNA(INDEX('Employee Details'!$A$7:$A85,MATCH(AttendanceSheet!$C82,'Employee Details'!$B$7:$B91,0)),"")</f>
        <v/>
      </c>
      <c r="C82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'!$J$1:J76))),"")</f>
        <v/>
      </c>
      <c r="D82" s="39" t="str">
        <f>IFERROR(VLOOKUP($B82&amp;D$5,'Mark Leave'!$A$1:$E$1841,5,0),"")</f>
        <v/>
      </c>
      <c r="E82" s="39" t="str">
        <f>IFERROR(VLOOKUP($B82&amp;E$5,'Mark Leave'!$A$1:$E$1841,5,0),"")</f>
        <v/>
      </c>
      <c r="F82" s="39" t="str">
        <f>IFERROR(VLOOKUP($B82&amp;F$5,'Mark Leave'!$A$1:$E$1841,5,0),"")</f>
        <v/>
      </c>
      <c r="G82" s="39" t="str">
        <f>IFERROR(VLOOKUP($B82&amp;G$5,'Mark Leave'!$A$1:$E$1841,5,0),"")</f>
        <v/>
      </c>
      <c r="H82" s="39" t="str">
        <f>IFERROR(VLOOKUP($B82&amp;H$5,'Mark Leave'!$A$1:$E$1841,5,0),"")</f>
        <v/>
      </c>
      <c r="I82" s="39" t="str">
        <f>IFERROR(VLOOKUP($B82&amp;I$5,'Mark Leave'!$A$1:$E$1841,5,0),"")</f>
        <v/>
      </c>
      <c r="J82" s="39" t="str">
        <f>IFERROR(VLOOKUP($B82&amp;J$5,'Mark Leave'!$A$1:$E$1841,5,0),"")</f>
        <v/>
      </c>
      <c r="K82" s="39" t="str">
        <f>IFERROR(VLOOKUP($B82&amp;K$5,'Mark Leave'!$A$1:$E$1841,5,0),"")</f>
        <v/>
      </c>
      <c r="L82" s="39" t="str">
        <f>IFERROR(VLOOKUP($B82&amp;L$5,'Mark Leave'!$A$1:$E$1841,5,0),"")</f>
        <v/>
      </c>
      <c r="M82" s="39" t="str">
        <f>IFERROR(VLOOKUP($B82&amp;M$5,'Mark Leave'!$A$1:$E$1841,5,0),"")</f>
        <v/>
      </c>
      <c r="N82" s="39" t="str">
        <f>IFERROR(VLOOKUP($B82&amp;N$5,'Mark Leave'!$A$1:$E$1841,5,0),"")</f>
        <v/>
      </c>
      <c r="O82" s="39" t="str">
        <f>IFERROR(VLOOKUP($B82&amp;O$5,'Mark Leave'!$A$1:$E$1841,5,0),"")</f>
        <v/>
      </c>
      <c r="P82" s="39" t="str">
        <f>IFERROR(VLOOKUP($B82&amp;P$5,'Mark Leave'!$A$1:$E$1841,5,0),"")</f>
        <v/>
      </c>
      <c r="Q82" s="39" t="str">
        <f>IFERROR(VLOOKUP($B82&amp;Q$5,'Mark Leave'!$A$1:$E$1841,5,0),"")</f>
        <v/>
      </c>
      <c r="R82" s="39" t="str">
        <f>IFERROR(VLOOKUP($B82&amp;R$5,'Mark Leave'!$A$1:$E$1841,5,0),"")</f>
        <v/>
      </c>
      <c r="S82" s="39" t="str">
        <f>IFERROR(VLOOKUP($B82&amp;S$5,'Mark Leave'!$A$1:$E$1841,5,0),"")</f>
        <v/>
      </c>
      <c r="T82" s="39" t="str">
        <f>IFERROR(VLOOKUP($B82&amp;T$5,'Mark Leave'!$A$1:$E$1841,5,0),"")</f>
        <v/>
      </c>
      <c r="U82" s="39" t="str">
        <f>IFERROR(VLOOKUP($B82&amp;U$5,'Mark Leave'!$A$1:$E$1841,5,0),"")</f>
        <v/>
      </c>
      <c r="V82" s="39" t="str">
        <f>IFERROR(VLOOKUP($B82&amp;V$5,'Mark Leave'!$A$1:$E$1841,5,0),"")</f>
        <v/>
      </c>
      <c r="W82" s="39" t="str">
        <f>IFERROR(VLOOKUP($B82&amp;W$5,'Mark Leave'!$A$1:$E$1841,5,0),"")</f>
        <v/>
      </c>
      <c r="X82" s="39" t="str">
        <f>IFERROR(VLOOKUP($B82&amp;X$5,'Mark Leave'!$A$1:$E$1841,5,0),"")</f>
        <v/>
      </c>
      <c r="Y82" s="39" t="str">
        <f>IFERROR(VLOOKUP($B82&amp;Y$5,'Mark Leave'!$A$1:$E$1841,5,0),"")</f>
        <v/>
      </c>
      <c r="Z82" s="39" t="str">
        <f>IFERROR(VLOOKUP($B82&amp;Z$5,'Mark Leave'!$A$1:$E$1841,5,0),"")</f>
        <v/>
      </c>
      <c r="AA82" s="39" t="str">
        <f>IFERROR(VLOOKUP($B82&amp;AA$5,'Mark Leave'!$A$1:$E$1841,5,0),"")</f>
        <v/>
      </c>
      <c r="AB82" s="39" t="str">
        <f>IFERROR(VLOOKUP($B82&amp;AB$5,'Mark Leave'!$A$1:$E$1841,5,0),"")</f>
        <v/>
      </c>
      <c r="AC82" s="39" t="str">
        <f>IFERROR(VLOOKUP($B82&amp;AC$5,'Mark Leave'!$A$1:$E$1841,5,0),"")</f>
        <v/>
      </c>
      <c r="AD82" s="39" t="str">
        <f>IFERROR(VLOOKUP($B82&amp;AD$5,'Mark Leave'!$A$1:$E$1841,5,0),"")</f>
        <v/>
      </c>
      <c r="AE82" s="39" t="str">
        <f>IFERROR(VLOOKUP($B82&amp;AE$5,'Mark Leave'!$A$1:$E$1841,5,0),"")</f>
        <v/>
      </c>
      <c r="AF82" s="39" t="str">
        <f>IFERROR(VLOOKUP($B82&amp;AF$5,'Mark Leave'!$A$1:$E$1841,5,0),"")</f>
        <v/>
      </c>
      <c r="AG82" s="39" t="str">
        <f>IFERROR(VLOOKUP($B82&amp;AG$5,'Mark Leave'!$A$1:$E$1841,5,0),"")</f>
        <v/>
      </c>
      <c r="AH82" s="39">
        <f>IFERROR(VLOOKUP($B82&amp;AH$5,'Mark Leave'!$A$1:$E$1841,5,0),"")</f>
        <v>0</v>
      </c>
      <c r="AI82" s="98" t="str">
        <f>IF($B82&lt;&gt;"",COUNTIF($D82:$AH82,'Setting '!$H$2),"")</f>
        <v/>
      </c>
      <c r="AJ82" s="98" t="str">
        <f>IF($B82&lt;&gt;"",COUNTIF($D82:$AH82,'Setting '!$H$3)/2,"")</f>
        <v/>
      </c>
      <c r="AK82" s="98" t="str">
        <f>IF($B82&lt;&gt;"",COUNTIF($D82:$AH82,'Setting '!$H$4),"")</f>
        <v/>
      </c>
      <c r="AL82" s="98" t="str">
        <f t="shared" si="39"/>
        <v/>
      </c>
      <c r="AM82" s="117" t="str">
        <f>IF(B82&lt;&gt;"",_xlfn.IFNA(VLOOKUP(B82,'Leave Credit Sheet'!B82:K175,10,0),""),"")</f>
        <v/>
      </c>
      <c r="AN82" s="98" t="str">
        <f t="shared" si="28"/>
        <v/>
      </c>
      <c r="AO82" s="106" t="str">
        <f>IF(B82&lt;&gt;"",_xlfn.IFNA(INDEX('CTC Sheet'!$C$6:$N$101,MATCH(AttendanceSheet!$B82,'CTC Sheet'!$A$6:$A$101,0),MATCH(AttendanceSheet!$T$1,'CTC Sheet'!$C$5:$N$5,0)),0),"")</f>
        <v/>
      </c>
      <c r="AP82" s="106" t="str">
        <f>IF(B82&lt;&gt;"",_xlfn.IFNA(INDEX('CTC Sheet'!$R$6:$AC$100,MATCH(AttendanceSheet!$B82,'CTC Sheet'!$P$6:$P$100,0),MATCH(AttendanceSheet!$T$1,'CTC Sheet'!$R$5:$AC$5,0)),0),"")</f>
        <v/>
      </c>
      <c r="AQ82" s="106" t="str">
        <f t="shared" si="29"/>
        <v/>
      </c>
      <c r="AR82" s="106" t="str">
        <f t="shared" si="30"/>
        <v/>
      </c>
      <c r="AS82" s="106" t="str">
        <f t="shared" si="31"/>
        <v/>
      </c>
      <c r="AT82" s="106" t="str">
        <f t="shared" si="32"/>
        <v/>
      </c>
      <c r="AU82" s="106" t="str">
        <f t="shared" si="33"/>
        <v/>
      </c>
      <c r="AV82" s="106" t="str">
        <f t="shared" si="34"/>
        <v/>
      </c>
      <c r="AW82" s="106" t="str">
        <f>IF(B82&lt;&gt;"",_xlfn.IFNA(INDEX('OtherArrear payment'!$A$1:$N$95,MATCH(AttendanceSheet!$B82,'OtherArrear payment'!$A$1:$A$95,0),MATCH(AttendanceSheet!$T$1,'OtherArrear payment'!$A$1:$N$1,0)),0),"")</f>
        <v/>
      </c>
      <c r="AX82" s="106" t="str">
        <f t="shared" si="40"/>
        <v/>
      </c>
      <c r="AY82" s="106">
        <f t="shared" si="35"/>
        <v>0</v>
      </c>
      <c r="AZ82" s="106">
        <f t="shared" si="36"/>
        <v>0</v>
      </c>
      <c r="BA82" s="106">
        <f t="shared" si="37"/>
        <v>0</v>
      </c>
      <c r="BB82" s="106">
        <f t="shared" si="38"/>
        <v>0</v>
      </c>
      <c r="BC82" s="106" t="str">
        <f>IF($B82&lt;&gt;"",IF(BL82="Yes",IF($BI82="Mr.",IF($AX82&lt;=7500,0,IF(AND($AX82&lt;10000,$AX82&gt;7501),175,IF(AND($AX82&gt;10000,'Setting '!$G$28&lt;&gt;11),200,300))),IF(AND($AX82&lt;=10000,$BI82="Ms."),0,IF(AND($AX82&gt;10000,'Setting '!$G$28&lt;&gt;11),200,300))),0),"")</f>
        <v/>
      </c>
      <c r="BD82" s="42"/>
      <c r="BE82" s="212" t="str">
        <f>IF($B82&lt;&gt;"",IF('Advance Sheet'!AF79&gt;=0,INDEX('Advance Sheet'!$Q$3:$AD$100,MATCH(AttendanceSheet!$B82,'Advance Sheet'!$Q$3:$Q$100,0),MATCH(AttendanceSheet!$T$1,'Advance Sheet'!$Q$3:$AD$3,)),0),"")</f>
        <v/>
      </c>
      <c r="BF82" s="137" t="str">
        <f t="shared" si="41"/>
        <v/>
      </c>
      <c r="BG82" s="97" t="str">
        <f>IF(B82&lt;&gt;"",VLOOKUP(B82,'Employee Details'!A81:S164,17,0),"")</f>
        <v/>
      </c>
      <c r="BH82" s="97" t="str">
        <f>IF(B82&lt;&gt;"",VLOOKUP(B82,'Employee Details'!A81:S164,18,0),"")</f>
        <v/>
      </c>
      <c r="BI82" s="40" t="str">
        <f>IF(B82&lt;&gt;"",VLOOKUP(B82,'Employee Details'!A80:S163,19,0),"")</f>
        <v/>
      </c>
      <c r="BJ82" s="38" t="str">
        <f>IF(B82&lt;&gt;"",VLOOKUP(B82,'Employee Details'!A81:D109,4,0),"")</f>
        <v/>
      </c>
      <c r="BK82" s="38" t="str">
        <f>IF(B82&lt;&gt;"",VLOOKUP(B82,'Employee Details'!A81:E164,5,0),"")</f>
        <v/>
      </c>
      <c r="BL82" s="210" t="str">
        <f>IF(B82&lt;&gt;"",VLOOKUP(B82,'Employee Details'!A81:U164,21,0),"")</f>
        <v/>
      </c>
    </row>
    <row r="83" spans="2:64" ht="16.5" thickTop="1" thickBot="1" x14ac:dyDescent="0.3">
      <c r="B83" s="37" t="str">
        <f>_xlfn.IFNA(INDEX('Employee Details'!$A$7:$A86,MATCH(AttendanceSheet!$C83,'Employee Details'!$B$7:$B92,0)),"")</f>
        <v/>
      </c>
      <c r="C83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'!$J$1:J77))),"")</f>
        <v/>
      </c>
      <c r="D83" s="39" t="str">
        <f>IFERROR(VLOOKUP($B83&amp;D$5,'Mark Leave'!$A$1:$E$1841,5,0),"")</f>
        <v/>
      </c>
      <c r="E83" s="39" t="str">
        <f>IFERROR(VLOOKUP($B83&amp;E$5,'Mark Leave'!$A$1:$E$1841,5,0),"")</f>
        <v/>
      </c>
      <c r="F83" s="39" t="str">
        <f>IFERROR(VLOOKUP($B83&amp;F$5,'Mark Leave'!$A$1:$E$1841,5,0),"")</f>
        <v/>
      </c>
      <c r="G83" s="39" t="str">
        <f>IFERROR(VLOOKUP($B83&amp;G$5,'Mark Leave'!$A$1:$E$1841,5,0),"")</f>
        <v/>
      </c>
      <c r="H83" s="39" t="str">
        <f>IFERROR(VLOOKUP($B83&amp;H$5,'Mark Leave'!$A$1:$E$1841,5,0),"")</f>
        <v/>
      </c>
      <c r="I83" s="39" t="str">
        <f>IFERROR(VLOOKUP($B83&amp;I$5,'Mark Leave'!$A$1:$E$1841,5,0),"")</f>
        <v/>
      </c>
      <c r="J83" s="39" t="str">
        <f>IFERROR(VLOOKUP($B83&amp;J$5,'Mark Leave'!$A$1:$E$1841,5,0),"")</f>
        <v/>
      </c>
      <c r="K83" s="39" t="str">
        <f>IFERROR(VLOOKUP($B83&amp;K$5,'Mark Leave'!$A$1:$E$1841,5,0),"")</f>
        <v/>
      </c>
      <c r="L83" s="39" t="str">
        <f>IFERROR(VLOOKUP($B83&amp;L$5,'Mark Leave'!$A$1:$E$1841,5,0),"")</f>
        <v/>
      </c>
      <c r="M83" s="39" t="str">
        <f>IFERROR(VLOOKUP($B83&amp;M$5,'Mark Leave'!$A$1:$E$1841,5,0),"")</f>
        <v/>
      </c>
      <c r="N83" s="39" t="str">
        <f>IFERROR(VLOOKUP($B83&amp;N$5,'Mark Leave'!$A$1:$E$1841,5,0),"")</f>
        <v/>
      </c>
      <c r="O83" s="39" t="str">
        <f>IFERROR(VLOOKUP($B83&amp;O$5,'Mark Leave'!$A$1:$E$1841,5,0),"")</f>
        <v/>
      </c>
      <c r="P83" s="39" t="str">
        <f>IFERROR(VLOOKUP($B83&amp;P$5,'Mark Leave'!$A$1:$E$1841,5,0),"")</f>
        <v/>
      </c>
      <c r="Q83" s="39" t="str">
        <f>IFERROR(VLOOKUP($B83&amp;Q$5,'Mark Leave'!$A$1:$E$1841,5,0),"")</f>
        <v/>
      </c>
      <c r="R83" s="39" t="str">
        <f>IFERROR(VLOOKUP($B83&amp;R$5,'Mark Leave'!$A$1:$E$1841,5,0),"")</f>
        <v/>
      </c>
      <c r="S83" s="39" t="str">
        <f>IFERROR(VLOOKUP($B83&amp;S$5,'Mark Leave'!$A$1:$E$1841,5,0),"")</f>
        <v/>
      </c>
      <c r="T83" s="39" t="str">
        <f>IFERROR(VLOOKUP($B83&amp;T$5,'Mark Leave'!$A$1:$E$1841,5,0),"")</f>
        <v/>
      </c>
      <c r="U83" s="39" t="str">
        <f>IFERROR(VLOOKUP($B83&amp;U$5,'Mark Leave'!$A$1:$E$1841,5,0),"")</f>
        <v/>
      </c>
      <c r="V83" s="39" t="str">
        <f>IFERROR(VLOOKUP($B83&amp;V$5,'Mark Leave'!$A$1:$E$1841,5,0),"")</f>
        <v/>
      </c>
      <c r="W83" s="39" t="str">
        <f>IFERROR(VLOOKUP($B83&amp;W$5,'Mark Leave'!$A$1:$E$1841,5,0),"")</f>
        <v/>
      </c>
      <c r="X83" s="39" t="str">
        <f>IFERROR(VLOOKUP($B83&amp;X$5,'Mark Leave'!$A$1:$E$1841,5,0),"")</f>
        <v/>
      </c>
      <c r="Y83" s="39" t="str">
        <f>IFERROR(VLOOKUP($B83&amp;Y$5,'Mark Leave'!$A$1:$E$1841,5,0),"")</f>
        <v/>
      </c>
      <c r="Z83" s="39" t="str">
        <f>IFERROR(VLOOKUP($B83&amp;Z$5,'Mark Leave'!$A$1:$E$1841,5,0),"")</f>
        <v/>
      </c>
      <c r="AA83" s="39" t="str">
        <f>IFERROR(VLOOKUP($B83&amp;AA$5,'Mark Leave'!$A$1:$E$1841,5,0),"")</f>
        <v/>
      </c>
      <c r="AB83" s="39" t="str">
        <f>IFERROR(VLOOKUP($B83&amp;AB$5,'Mark Leave'!$A$1:$E$1841,5,0),"")</f>
        <v/>
      </c>
      <c r="AC83" s="39" t="str">
        <f>IFERROR(VLOOKUP($B83&amp;AC$5,'Mark Leave'!$A$1:$E$1841,5,0),"")</f>
        <v/>
      </c>
      <c r="AD83" s="39" t="str">
        <f>IFERROR(VLOOKUP($B83&amp;AD$5,'Mark Leave'!$A$1:$E$1841,5,0),"")</f>
        <v/>
      </c>
      <c r="AE83" s="39" t="str">
        <f>IFERROR(VLOOKUP($B83&amp;AE$5,'Mark Leave'!$A$1:$E$1841,5,0),"")</f>
        <v/>
      </c>
      <c r="AF83" s="39" t="str">
        <f>IFERROR(VLOOKUP($B83&amp;AF$5,'Mark Leave'!$A$1:$E$1841,5,0),"")</f>
        <v/>
      </c>
      <c r="AG83" s="39" t="str">
        <f>IFERROR(VLOOKUP($B83&amp;AG$5,'Mark Leave'!$A$1:$E$1841,5,0),"")</f>
        <v/>
      </c>
      <c r="AH83" s="39">
        <f>IFERROR(VLOOKUP($B83&amp;AH$5,'Mark Leave'!$A$1:$E$1841,5,0),"")</f>
        <v>0</v>
      </c>
      <c r="AI83" s="98" t="str">
        <f>IF($B83&lt;&gt;"",COUNTIF($D83:$AH83,'Setting '!$H$2),"")</f>
        <v/>
      </c>
      <c r="AJ83" s="98" t="str">
        <f>IF($B83&lt;&gt;"",COUNTIF($D83:$AH83,'Setting '!$H$3)/2,"")</f>
        <v/>
      </c>
      <c r="AK83" s="98" t="str">
        <f>IF($B83&lt;&gt;"",COUNTIF($D83:$AH83,'Setting '!$H$4),"")</f>
        <v/>
      </c>
      <c r="AL83" s="98" t="str">
        <f t="shared" si="39"/>
        <v/>
      </c>
      <c r="AM83" s="117" t="str">
        <f>IF(B83&lt;&gt;"",_xlfn.IFNA(VLOOKUP(B83,'Leave Credit Sheet'!B83:K176,10,0),""),"")</f>
        <v/>
      </c>
      <c r="AN83" s="98" t="str">
        <f t="shared" si="28"/>
        <v/>
      </c>
      <c r="AO83" s="106" t="str">
        <f>IF(B83&lt;&gt;"",_xlfn.IFNA(INDEX('CTC Sheet'!$C$6:$N$101,MATCH(AttendanceSheet!$B83,'CTC Sheet'!$A$6:$A$101,0),MATCH(AttendanceSheet!$T$1,'CTC Sheet'!$C$5:$N$5,0)),0),"")</f>
        <v/>
      </c>
      <c r="AP83" s="106" t="str">
        <f>IF(B83&lt;&gt;"",_xlfn.IFNA(INDEX('CTC Sheet'!$R$6:$AC$100,MATCH(AttendanceSheet!$B83,'CTC Sheet'!$P$6:$P$100,0),MATCH(AttendanceSheet!$T$1,'CTC Sheet'!$R$5:$AC$5,0)),0),"")</f>
        <v/>
      </c>
      <c r="AQ83" s="106" t="str">
        <f t="shared" si="29"/>
        <v/>
      </c>
      <c r="AR83" s="106" t="str">
        <f t="shared" si="30"/>
        <v/>
      </c>
      <c r="AS83" s="106" t="str">
        <f t="shared" si="31"/>
        <v/>
      </c>
      <c r="AT83" s="106" t="str">
        <f t="shared" si="32"/>
        <v/>
      </c>
      <c r="AU83" s="106" t="str">
        <f t="shared" si="33"/>
        <v/>
      </c>
      <c r="AV83" s="106" t="str">
        <f t="shared" si="34"/>
        <v/>
      </c>
      <c r="AW83" s="106" t="str">
        <f>IF(B83&lt;&gt;"",_xlfn.IFNA(INDEX('OtherArrear payment'!$A$1:$N$95,MATCH(AttendanceSheet!$B83,'OtherArrear payment'!$A$1:$A$95,0),MATCH(AttendanceSheet!$T$1,'OtherArrear payment'!$A$1:$N$1,0)),0),"")</f>
        <v/>
      </c>
      <c r="AX83" s="106" t="str">
        <f t="shared" si="40"/>
        <v/>
      </c>
      <c r="AY83" s="106">
        <f t="shared" si="35"/>
        <v>0</v>
      </c>
      <c r="AZ83" s="106">
        <f t="shared" si="36"/>
        <v>0</v>
      </c>
      <c r="BA83" s="106">
        <f t="shared" si="37"/>
        <v>0</v>
      </c>
      <c r="BB83" s="106">
        <f t="shared" si="38"/>
        <v>0</v>
      </c>
      <c r="BC83" s="106" t="str">
        <f>IF($B83&lt;&gt;"",IF(BL83="Yes",IF($BI83="Mr.",IF($AX83&lt;=7500,0,IF(AND($AX83&lt;10000,$AX83&gt;7501),175,IF(AND($AX83&gt;10000,'Setting '!$G$28&lt;&gt;11),200,300))),IF(AND($AX83&lt;=10000,$BI83="Ms."),0,IF(AND($AX83&gt;10000,'Setting '!$G$28&lt;&gt;11),200,300))),0),"")</f>
        <v/>
      </c>
      <c r="BD83" s="42"/>
      <c r="BE83" s="212" t="str">
        <f>IF($B83&lt;&gt;"",IF('Advance Sheet'!AF80&gt;=0,INDEX('Advance Sheet'!$Q$3:$AD$100,MATCH(AttendanceSheet!$B83,'Advance Sheet'!$Q$3:$Q$100,0),MATCH(AttendanceSheet!$T$1,'Advance Sheet'!$Q$3:$AD$3,)),0),"")</f>
        <v/>
      </c>
      <c r="BF83" s="137" t="str">
        <f t="shared" si="41"/>
        <v/>
      </c>
      <c r="BG83" s="97" t="str">
        <f>IF(B83&lt;&gt;"",VLOOKUP(B83,'Employee Details'!A82:S165,17,0),"")</f>
        <v/>
      </c>
      <c r="BH83" s="97" t="str">
        <f>IF(B83&lt;&gt;"",VLOOKUP(B83,'Employee Details'!A82:S165,18,0),"")</f>
        <v/>
      </c>
      <c r="BI83" s="40" t="str">
        <f>IF(B83&lt;&gt;"",VLOOKUP(B83,'Employee Details'!A81:S164,19,0),"")</f>
        <v/>
      </c>
      <c r="BJ83" s="38" t="str">
        <f>IF(B83&lt;&gt;"",VLOOKUP(B83,'Employee Details'!A82:D110,4,0),"")</f>
        <v/>
      </c>
      <c r="BK83" s="38" t="str">
        <f>IF(B83&lt;&gt;"",VLOOKUP(B83,'Employee Details'!A82:E165,5,0),"")</f>
        <v/>
      </c>
      <c r="BL83" s="210" t="str">
        <f>IF(B83&lt;&gt;"",VLOOKUP(B83,'Employee Details'!A82:U165,21,0),"")</f>
        <v/>
      </c>
    </row>
    <row r="84" spans="2:64" ht="16.5" thickTop="1" thickBot="1" x14ac:dyDescent="0.3">
      <c r="B84" s="37" t="str">
        <f>_xlfn.IFNA(INDEX('Employee Details'!$A$7:$A87,MATCH(AttendanceSheet!$C84,'Employee Details'!$B$7:$B93,0)),"")</f>
        <v/>
      </c>
      <c r="C84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'!$J$1:J78))),"")</f>
        <v/>
      </c>
      <c r="D84" s="39" t="str">
        <f>IFERROR(VLOOKUP($B84&amp;D$5,'Mark Leave'!$A$1:$E$1841,5,0),"")</f>
        <v/>
      </c>
      <c r="E84" s="39" t="str">
        <f>IFERROR(VLOOKUP($B84&amp;E$5,'Mark Leave'!$A$1:$E$1841,5,0),"")</f>
        <v/>
      </c>
      <c r="F84" s="39" t="str">
        <f>IFERROR(VLOOKUP($B84&amp;F$5,'Mark Leave'!$A$1:$E$1841,5,0),"")</f>
        <v/>
      </c>
      <c r="G84" s="39" t="str">
        <f>IFERROR(VLOOKUP($B84&amp;G$5,'Mark Leave'!$A$1:$E$1841,5,0),"")</f>
        <v/>
      </c>
      <c r="H84" s="39" t="str">
        <f>IFERROR(VLOOKUP($B84&amp;H$5,'Mark Leave'!$A$1:$E$1841,5,0),"")</f>
        <v/>
      </c>
      <c r="I84" s="39" t="str">
        <f>IFERROR(VLOOKUP($B84&amp;I$5,'Mark Leave'!$A$1:$E$1841,5,0),"")</f>
        <v/>
      </c>
      <c r="J84" s="39" t="str">
        <f>IFERROR(VLOOKUP($B84&amp;J$5,'Mark Leave'!$A$1:$E$1841,5,0),"")</f>
        <v/>
      </c>
      <c r="K84" s="39" t="str">
        <f>IFERROR(VLOOKUP($B84&amp;K$5,'Mark Leave'!$A$1:$E$1841,5,0),"")</f>
        <v/>
      </c>
      <c r="L84" s="39" t="str">
        <f>IFERROR(VLOOKUP($B84&amp;L$5,'Mark Leave'!$A$1:$E$1841,5,0),"")</f>
        <v/>
      </c>
      <c r="M84" s="39" t="str">
        <f>IFERROR(VLOOKUP($B84&amp;M$5,'Mark Leave'!$A$1:$E$1841,5,0),"")</f>
        <v/>
      </c>
      <c r="N84" s="39" t="str">
        <f>IFERROR(VLOOKUP($B84&amp;N$5,'Mark Leave'!$A$1:$E$1841,5,0),"")</f>
        <v/>
      </c>
      <c r="O84" s="39" t="str">
        <f>IFERROR(VLOOKUP($B84&amp;O$5,'Mark Leave'!$A$1:$E$1841,5,0),"")</f>
        <v/>
      </c>
      <c r="P84" s="39" t="str">
        <f>IFERROR(VLOOKUP($B84&amp;P$5,'Mark Leave'!$A$1:$E$1841,5,0),"")</f>
        <v/>
      </c>
      <c r="Q84" s="39" t="str">
        <f>IFERROR(VLOOKUP($B84&amp;Q$5,'Mark Leave'!$A$1:$E$1841,5,0),"")</f>
        <v/>
      </c>
      <c r="R84" s="39" t="str">
        <f>IFERROR(VLOOKUP($B84&amp;R$5,'Mark Leave'!$A$1:$E$1841,5,0),"")</f>
        <v/>
      </c>
      <c r="S84" s="39" t="str">
        <f>IFERROR(VLOOKUP($B84&amp;S$5,'Mark Leave'!$A$1:$E$1841,5,0),"")</f>
        <v/>
      </c>
      <c r="T84" s="39" t="str">
        <f>IFERROR(VLOOKUP($B84&amp;T$5,'Mark Leave'!$A$1:$E$1841,5,0),"")</f>
        <v/>
      </c>
      <c r="U84" s="39" t="str">
        <f>IFERROR(VLOOKUP($B84&amp;U$5,'Mark Leave'!$A$1:$E$1841,5,0),"")</f>
        <v/>
      </c>
      <c r="V84" s="39" t="str">
        <f>IFERROR(VLOOKUP($B84&amp;V$5,'Mark Leave'!$A$1:$E$1841,5,0),"")</f>
        <v/>
      </c>
      <c r="W84" s="39" t="str">
        <f>IFERROR(VLOOKUP($B84&amp;W$5,'Mark Leave'!$A$1:$E$1841,5,0),"")</f>
        <v/>
      </c>
      <c r="X84" s="39" t="str">
        <f>IFERROR(VLOOKUP($B84&amp;X$5,'Mark Leave'!$A$1:$E$1841,5,0),"")</f>
        <v/>
      </c>
      <c r="Y84" s="39" t="str">
        <f>IFERROR(VLOOKUP($B84&amp;Y$5,'Mark Leave'!$A$1:$E$1841,5,0),"")</f>
        <v/>
      </c>
      <c r="Z84" s="39" t="str">
        <f>IFERROR(VLOOKUP($B84&amp;Z$5,'Mark Leave'!$A$1:$E$1841,5,0),"")</f>
        <v/>
      </c>
      <c r="AA84" s="39" t="str">
        <f>IFERROR(VLOOKUP($B84&amp;AA$5,'Mark Leave'!$A$1:$E$1841,5,0),"")</f>
        <v/>
      </c>
      <c r="AB84" s="39" t="str">
        <f>IFERROR(VLOOKUP($B84&amp;AB$5,'Mark Leave'!$A$1:$E$1841,5,0),"")</f>
        <v/>
      </c>
      <c r="AC84" s="39" t="str">
        <f>IFERROR(VLOOKUP($B84&amp;AC$5,'Mark Leave'!$A$1:$E$1841,5,0),"")</f>
        <v/>
      </c>
      <c r="AD84" s="39" t="str">
        <f>IFERROR(VLOOKUP($B84&amp;AD$5,'Mark Leave'!$A$1:$E$1841,5,0),"")</f>
        <v/>
      </c>
      <c r="AE84" s="39" t="str">
        <f>IFERROR(VLOOKUP($B84&amp;AE$5,'Mark Leave'!$A$1:$E$1841,5,0),"")</f>
        <v/>
      </c>
      <c r="AF84" s="39" t="str">
        <f>IFERROR(VLOOKUP($B84&amp;AF$5,'Mark Leave'!$A$1:$E$1841,5,0),"")</f>
        <v/>
      </c>
      <c r="AG84" s="39" t="str">
        <f>IFERROR(VLOOKUP($B84&amp;AG$5,'Mark Leave'!$A$1:$E$1841,5,0),"")</f>
        <v/>
      </c>
      <c r="AH84" s="39">
        <f>IFERROR(VLOOKUP($B84&amp;AH$5,'Mark Leave'!$A$1:$E$1841,5,0),"")</f>
        <v>0</v>
      </c>
      <c r="AI84" s="98" t="str">
        <f>IF($B84&lt;&gt;"",COUNTIF($D84:$AH84,'Setting '!$H$2),"")</f>
        <v/>
      </c>
      <c r="AJ84" s="98" t="str">
        <f>IF($B84&lt;&gt;"",COUNTIF($D84:$AH84,'Setting '!$H$3)/2,"")</f>
        <v/>
      </c>
      <c r="AK84" s="98" t="str">
        <f>IF($B84&lt;&gt;"",COUNTIF($D84:$AH84,'Setting '!$H$4),"")</f>
        <v/>
      </c>
      <c r="AL84" s="98" t="str">
        <f t="shared" si="39"/>
        <v/>
      </c>
      <c r="AM84" s="117" t="str">
        <f>IF(B84&lt;&gt;"",_xlfn.IFNA(VLOOKUP(B84,'Leave Credit Sheet'!B84:K177,10,0),""),"")</f>
        <v/>
      </c>
      <c r="AN84" s="98" t="str">
        <f t="shared" si="28"/>
        <v/>
      </c>
      <c r="AO84" s="106" t="str">
        <f>IF(B84&lt;&gt;"",_xlfn.IFNA(INDEX('CTC Sheet'!$C$6:$N$101,MATCH(AttendanceSheet!$B84,'CTC Sheet'!$A$6:$A$101,0),MATCH(AttendanceSheet!$T$1,'CTC Sheet'!$C$5:$N$5,0)),0),"")</f>
        <v/>
      </c>
      <c r="AP84" s="106" t="str">
        <f>IF(B84&lt;&gt;"",_xlfn.IFNA(INDEX('CTC Sheet'!$R$6:$AC$100,MATCH(AttendanceSheet!$B84,'CTC Sheet'!$P$6:$P$100,0),MATCH(AttendanceSheet!$T$1,'CTC Sheet'!$R$5:$AC$5,0)),0),"")</f>
        <v/>
      </c>
      <c r="AQ84" s="106" t="str">
        <f t="shared" si="29"/>
        <v/>
      </c>
      <c r="AR84" s="106" t="str">
        <f t="shared" si="30"/>
        <v/>
      </c>
      <c r="AS84" s="106" t="str">
        <f t="shared" si="31"/>
        <v/>
      </c>
      <c r="AT84" s="106" t="str">
        <f t="shared" si="32"/>
        <v/>
      </c>
      <c r="AU84" s="106" t="str">
        <f t="shared" si="33"/>
        <v/>
      </c>
      <c r="AV84" s="106" t="str">
        <f t="shared" si="34"/>
        <v/>
      </c>
      <c r="AW84" s="106" t="str">
        <f>IF(B84&lt;&gt;"",_xlfn.IFNA(INDEX('OtherArrear payment'!$A$1:$N$95,MATCH(AttendanceSheet!$B84,'OtherArrear payment'!$A$1:$A$95,0),MATCH(AttendanceSheet!$T$1,'OtherArrear payment'!$A$1:$N$1,0)),0),"")</f>
        <v/>
      </c>
      <c r="AX84" s="106" t="str">
        <f t="shared" si="40"/>
        <v/>
      </c>
      <c r="AY84" s="106">
        <f t="shared" si="35"/>
        <v>0</v>
      </c>
      <c r="AZ84" s="106">
        <f t="shared" si="36"/>
        <v>0</v>
      </c>
      <c r="BA84" s="106">
        <f t="shared" si="37"/>
        <v>0</v>
      </c>
      <c r="BB84" s="106">
        <f t="shared" si="38"/>
        <v>0</v>
      </c>
      <c r="BC84" s="106" t="str">
        <f>IF($B84&lt;&gt;"",IF(BL84="Yes",IF($BI84="Mr.",IF($AX84&lt;=7500,0,IF(AND($AX84&lt;10000,$AX84&gt;7501),175,IF(AND($AX84&gt;10000,'Setting '!$G$28&lt;&gt;11),200,300))),IF(AND($AX84&lt;=10000,$BI84="Ms."),0,IF(AND($AX84&gt;10000,'Setting '!$G$28&lt;&gt;11),200,300))),0),"")</f>
        <v/>
      </c>
      <c r="BD84" s="42"/>
      <c r="BE84" s="212" t="str">
        <f>IF($B84&lt;&gt;"",IF('Advance Sheet'!AF81&gt;=0,INDEX('Advance Sheet'!$Q$3:$AD$100,MATCH(AttendanceSheet!$B84,'Advance Sheet'!$Q$3:$Q$100,0),MATCH(AttendanceSheet!$T$1,'Advance Sheet'!$Q$3:$AD$3,)),0),"")</f>
        <v/>
      </c>
      <c r="BF84" s="137" t="str">
        <f t="shared" si="41"/>
        <v/>
      </c>
      <c r="BG84" s="97" t="str">
        <f>IF(B84&lt;&gt;"",VLOOKUP(B84,'Employee Details'!A83:S166,17,0),"")</f>
        <v/>
      </c>
      <c r="BH84" s="97" t="str">
        <f>IF(B84&lt;&gt;"",VLOOKUP(B84,'Employee Details'!A83:S166,18,0),"")</f>
        <v/>
      </c>
      <c r="BI84" s="40" t="str">
        <f>IF(B84&lt;&gt;"",VLOOKUP(B84,'Employee Details'!A82:S165,19,0),"")</f>
        <v/>
      </c>
      <c r="BJ84" s="38" t="str">
        <f>IF(B84&lt;&gt;"",VLOOKUP(B84,'Employee Details'!A83:D111,4,0),"")</f>
        <v/>
      </c>
      <c r="BK84" s="38" t="str">
        <f>IF(B84&lt;&gt;"",VLOOKUP(B84,'Employee Details'!A83:E166,5,0),"")</f>
        <v/>
      </c>
      <c r="BL84" s="210" t="str">
        <f>IF(B84&lt;&gt;"",VLOOKUP(B84,'Employee Details'!A83:U166,21,0),"")</f>
        <v/>
      </c>
    </row>
    <row r="85" spans="2:64" ht="16.5" thickTop="1" thickBot="1" x14ac:dyDescent="0.3">
      <c r="B85" s="37" t="str">
        <f>_xlfn.IFNA(INDEX('Employee Details'!$A$7:$A88,MATCH(AttendanceSheet!$C85,'Employee Details'!$B$7:$B94,0)),"")</f>
        <v/>
      </c>
      <c r="C85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'!$J$1:J79))),"")</f>
        <v/>
      </c>
      <c r="D85" s="39" t="str">
        <f>IFERROR(VLOOKUP($B85&amp;D$5,'Mark Leave'!$A$1:$E$1841,5,0),"")</f>
        <v/>
      </c>
      <c r="E85" s="39" t="str">
        <f>IFERROR(VLOOKUP($B85&amp;E$5,'Mark Leave'!$A$1:$E$1841,5,0),"")</f>
        <v/>
      </c>
      <c r="F85" s="39" t="str">
        <f>IFERROR(VLOOKUP($B85&amp;F$5,'Mark Leave'!$A$1:$E$1841,5,0),"")</f>
        <v/>
      </c>
      <c r="G85" s="39" t="str">
        <f>IFERROR(VLOOKUP($B85&amp;G$5,'Mark Leave'!$A$1:$E$1841,5,0),"")</f>
        <v/>
      </c>
      <c r="H85" s="39" t="str">
        <f>IFERROR(VLOOKUP($B85&amp;H$5,'Mark Leave'!$A$1:$E$1841,5,0),"")</f>
        <v/>
      </c>
      <c r="I85" s="39" t="str">
        <f>IFERROR(VLOOKUP($B85&amp;I$5,'Mark Leave'!$A$1:$E$1841,5,0),"")</f>
        <v/>
      </c>
      <c r="J85" s="39" t="str">
        <f>IFERROR(VLOOKUP($B85&amp;J$5,'Mark Leave'!$A$1:$E$1841,5,0),"")</f>
        <v/>
      </c>
      <c r="K85" s="39" t="str">
        <f>IFERROR(VLOOKUP($B85&amp;K$5,'Mark Leave'!$A$1:$E$1841,5,0),"")</f>
        <v/>
      </c>
      <c r="L85" s="39" t="str">
        <f>IFERROR(VLOOKUP($B85&amp;L$5,'Mark Leave'!$A$1:$E$1841,5,0),"")</f>
        <v/>
      </c>
      <c r="M85" s="39" t="str">
        <f>IFERROR(VLOOKUP($B85&amp;M$5,'Mark Leave'!$A$1:$E$1841,5,0),"")</f>
        <v/>
      </c>
      <c r="N85" s="39" t="str">
        <f>IFERROR(VLOOKUP($B85&amp;N$5,'Mark Leave'!$A$1:$E$1841,5,0),"")</f>
        <v/>
      </c>
      <c r="O85" s="39" t="str">
        <f>IFERROR(VLOOKUP($B85&amp;O$5,'Mark Leave'!$A$1:$E$1841,5,0),"")</f>
        <v/>
      </c>
      <c r="P85" s="39" t="str">
        <f>IFERROR(VLOOKUP($B85&amp;P$5,'Mark Leave'!$A$1:$E$1841,5,0),"")</f>
        <v/>
      </c>
      <c r="Q85" s="39" t="str">
        <f>IFERROR(VLOOKUP($B85&amp;Q$5,'Mark Leave'!$A$1:$E$1841,5,0),"")</f>
        <v/>
      </c>
      <c r="R85" s="39" t="str">
        <f>IFERROR(VLOOKUP($B85&amp;R$5,'Mark Leave'!$A$1:$E$1841,5,0),"")</f>
        <v/>
      </c>
      <c r="S85" s="39" t="str">
        <f>IFERROR(VLOOKUP($B85&amp;S$5,'Mark Leave'!$A$1:$E$1841,5,0),"")</f>
        <v/>
      </c>
      <c r="T85" s="39" t="str">
        <f>IFERROR(VLOOKUP($B85&amp;T$5,'Mark Leave'!$A$1:$E$1841,5,0),"")</f>
        <v/>
      </c>
      <c r="U85" s="39" t="str">
        <f>IFERROR(VLOOKUP($B85&amp;U$5,'Mark Leave'!$A$1:$E$1841,5,0),"")</f>
        <v/>
      </c>
      <c r="V85" s="39" t="str">
        <f>IFERROR(VLOOKUP($B85&amp;V$5,'Mark Leave'!$A$1:$E$1841,5,0),"")</f>
        <v/>
      </c>
      <c r="W85" s="39" t="str">
        <f>IFERROR(VLOOKUP($B85&amp;W$5,'Mark Leave'!$A$1:$E$1841,5,0),"")</f>
        <v/>
      </c>
      <c r="X85" s="39" t="str">
        <f>IFERROR(VLOOKUP($B85&amp;X$5,'Mark Leave'!$A$1:$E$1841,5,0),"")</f>
        <v/>
      </c>
      <c r="Y85" s="39" t="str">
        <f>IFERROR(VLOOKUP($B85&amp;Y$5,'Mark Leave'!$A$1:$E$1841,5,0),"")</f>
        <v/>
      </c>
      <c r="Z85" s="39" t="str">
        <f>IFERROR(VLOOKUP($B85&amp;Z$5,'Mark Leave'!$A$1:$E$1841,5,0),"")</f>
        <v/>
      </c>
      <c r="AA85" s="39" t="str">
        <f>IFERROR(VLOOKUP($B85&amp;AA$5,'Mark Leave'!$A$1:$E$1841,5,0),"")</f>
        <v/>
      </c>
      <c r="AB85" s="39" t="str">
        <f>IFERROR(VLOOKUP($B85&amp;AB$5,'Mark Leave'!$A$1:$E$1841,5,0),"")</f>
        <v/>
      </c>
      <c r="AC85" s="39" t="str">
        <f>IFERROR(VLOOKUP($B85&amp;AC$5,'Mark Leave'!$A$1:$E$1841,5,0),"")</f>
        <v/>
      </c>
      <c r="AD85" s="39" t="str">
        <f>IFERROR(VLOOKUP($B85&amp;AD$5,'Mark Leave'!$A$1:$E$1841,5,0),"")</f>
        <v/>
      </c>
      <c r="AE85" s="39" t="str">
        <f>IFERROR(VLOOKUP($B85&amp;AE$5,'Mark Leave'!$A$1:$E$1841,5,0),"")</f>
        <v/>
      </c>
      <c r="AF85" s="39" t="str">
        <f>IFERROR(VLOOKUP($B85&amp;AF$5,'Mark Leave'!$A$1:$E$1841,5,0),"")</f>
        <v/>
      </c>
      <c r="AG85" s="39" t="str">
        <f>IFERROR(VLOOKUP($B85&amp;AG$5,'Mark Leave'!$A$1:$E$1841,5,0),"")</f>
        <v/>
      </c>
      <c r="AH85" s="39">
        <f>IFERROR(VLOOKUP($B85&amp;AH$5,'Mark Leave'!$A$1:$E$1841,5,0),"")</f>
        <v>0</v>
      </c>
      <c r="AI85" s="98" t="str">
        <f>IF($B85&lt;&gt;"",COUNTIF($D85:$AH85,'Setting '!$H$2),"")</f>
        <v/>
      </c>
      <c r="AJ85" s="98" t="str">
        <f>IF($B85&lt;&gt;"",COUNTIF($D85:$AH85,'Setting '!$H$3)/2,"")</f>
        <v/>
      </c>
      <c r="AK85" s="98" t="str">
        <f>IF($B85&lt;&gt;"",COUNTIF($D85:$AH85,'Setting '!$H$4),"")</f>
        <v/>
      </c>
      <c r="AL85" s="98" t="str">
        <f t="shared" si="39"/>
        <v/>
      </c>
      <c r="AM85" s="117" t="str">
        <f>IF(B85&lt;&gt;"",_xlfn.IFNA(VLOOKUP(B85,'Leave Credit Sheet'!B85:K178,10,0),""),"")</f>
        <v/>
      </c>
      <c r="AN85" s="98" t="str">
        <f t="shared" si="28"/>
        <v/>
      </c>
      <c r="AO85" s="106" t="str">
        <f>IF(B85&lt;&gt;"",_xlfn.IFNA(INDEX('CTC Sheet'!$C$6:$N$101,MATCH(AttendanceSheet!$B85,'CTC Sheet'!$A$6:$A$101,0),MATCH(AttendanceSheet!$T$1,'CTC Sheet'!$C$5:$N$5,0)),0),"")</f>
        <v/>
      </c>
      <c r="AP85" s="106" t="str">
        <f>IF(B85&lt;&gt;"",_xlfn.IFNA(INDEX('CTC Sheet'!$R$6:$AC$100,MATCH(AttendanceSheet!$B85,'CTC Sheet'!$P$6:$P$100,0),MATCH(AttendanceSheet!$T$1,'CTC Sheet'!$R$5:$AC$5,0)),0),"")</f>
        <v/>
      </c>
      <c r="AQ85" s="106" t="str">
        <f t="shared" si="29"/>
        <v/>
      </c>
      <c r="AR85" s="106" t="str">
        <f t="shared" si="30"/>
        <v/>
      </c>
      <c r="AS85" s="106" t="str">
        <f t="shared" si="31"/>
        <v/>
      </c>
      <c r="AT85" s="106" t="str">
        <f t="shared" si="32"/>
        <v/>
      </c>
      <c r="AU85" s="106" t="str">
        <f t="shared" si="33"/>
        <v/>
      </c>
      <c r="AV85" s="106" t="str">
        <f t="shared" si="34"/>
        <v/>
      </c>
      <c r="AW85" s="106" t="str">
        <f>IF(B85&lt;&gt;"",_xlfn.IFNA(INDEX('OtherArrear payment'!$A$1:$N$95,MATCH(AttendanceSheet!$B85,'OtherArrear payment'!$A$1:$A$95,0),MATCH(AttendanceSheet!$T$1,'OtherArrear payment'!$A$1:$N$1,0)),0),"")</f>
        <v/>
      </c>
      <c r="AX85" s="106" t="str">
        <f t="shared" si="40"/>
        <v/>
      </c>
      <c r="AY85" s="106">
        <f t="shared" si="35"/>
        <v>0</v>
      </c>
      <c r="AZ85" s="106">
        <f t="shared" si="36"/>
        <v>0</v>
      </c>
      <c r="BA85" s="106">
        <f t="shared" si="37"/>
        <v>0</v>
      </c>
      <c r="BB85" s="106">
        <f t="shared" si="38"/>
        <v>0</v>
      </c>
      <c r="BC85" s="106" t="str">
        <f>IF($B85&lt;&gt;"",IF(BL85="Yes",IF($BI85="Mr.",IF($AX85&lt;=7500,0,IF(AND($AX85&lt;10000,$AX85&gt;7501),175,IF(AND($AX85&gt;10000,'Setting '!$G$28&lt;&gt;11),200,300))),IF(AND($AX85&lt;=10000,$BI85="Ms."),0,IF(AND($AX85&gt;10000,'Setting '!$G$28&lt;&gt;11),200,300))),0),"")</f>
        <v/>
      </c>
      <c r="BD85" s="42"/>
      <c r="BE85" s="212" t="str">
        <f>IF($B85&lt;&gt;"",IF('Advance Sheet'!AF82&gt;=0,INDEX('Advance Sheet'!$Q$3:$AD$100,MATCH(AttendanceSheet!$B85,'Advance Sheet'!$Q$3:$Q$100,0),MATCH(AttendanceSheet!$T$1,'Advance Sheet'!$Q$3:$AD$3,)),0),"")</f>
        <v/>
      </c>
      <c r="BF85" s="137" t="str">
        <f t="shared" si="41"/>
        <v/>
      </c>
      <c r="BG85" s="97" t="str">
        <f>IF(B85&lt;&gt;"",VLOOKUP(B85,'Employee Details'!A84:S167,17,0),"")</f>
        <v/>
      </c>
      <c r="BH85" s="97" t="str">
        <f>IF(B85&lt;&gt;"",VLOOKUP(B85,'Employee Details'!A84:S167,18,0),"")</f>
        <v/>
      </c>
      <c r="BI85" s="40" t="str">
        <f>IF(B85&lt;&gt;"",VLOOKUP(B85,'Employee Details'!A83:S166,19,0),"")</f>
        <v/>
      </c>
      <c r="BJ85" s="38" t="str">
        <f>IF(B85&lt;&gt;"",VLOOKUP(B85,'Employee Details'!A84:D112,4,0),"")</f>
        <v/>
      </c>
      <c r="BK85" s="38" t="str">
        <f>IF(B85&lt;&gt;"",VLOOKUP(B85,'Employee Details'!A84:E167,5,0),"")</f>
        <v/>
      </c>
      <c r="BL85" s="210" t="str">
        <f>IF(B85&lt;&gt;"",VLOOKUP(B85,'Employee Details'!A84:U167,21,0),"")</f>
        <v/>
      </c>
    </row>
    <row r="86" spans="2:64" ht="16.5" thickTop="1" thickBot="1" x14ac:dyDescent="0.3">
      <c r="B86" s="37" t="str">
        <f>_xlfn.IFNA(INDEX('Employee Details'!$A$7:$A89,MATCH(AttendanceSheet!$C86,'Employee Details'!$B$7:$B95,0)),"")</f>
        <v/>
      </c>
      <c r="C86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'!$J$1:J80))),"")</f>
        <v/>
      </c>
      <c r="D86" s="39" t="str">
        <f>IFERROR(VLOOKUP($B86&amp;D$5,'Mark Leave'!$A$1:$E$1841,5,0),"")</f>
        <v/>
      </c>
      <c r="E86" s="39" t="str">
        <f>IFERROR(VLOOKUP($B86&amp;E$5,'Mark Leave'!$A$1:$E$1841,5,0),"")</f>
        <v/>
      </c>
      <c r="F86" s="39" t="str">
        <f>IFERROR(VLOOKUP($B86&amp;F$5,'Mark Leave'!$A$1:$E$1841,5,0),"")</f>
        <v/>
      </c>
      <c r="G86" s="39" t="str">
        <f>IFERROR(VLOOKUP($B86&amp;G$5,'Mark Leave'!$A$1:$E$1841,5,0),"")</f>
        <v/>
      </c>
      <c r="H86" s="39" t="str">
        <f>IFERROR(VLOOKUP($B86&amp;H$5,'Mark Leave'!$A$1:$E$1841,5,0),"")</f>
        <v/>
      </c>
      <c r="I86" s="39" t="str">
        <f>IFERROR(VLOOKUP($B86&amp;I$5,'Mark Leave'!$A$1:$E$1841,5,0),"")</f>
        <v/>
      </c>
      <c r="J86" s="39" t="str">
        <f>IFERROR(VLOOKUP($B86&amp;J$5,'Mark Leave'!$A$1:$E$1841,5,0),"")</f>
        <v/>
      </c>
      <c r="K86" s="39" t="str">
        <f>IFERROR(VLOOKUP($B86&amp;K$5,'Mark Leave'!$A$1:$E$1841,5,0),"")</f>
        <v/>
      </c>
      <c r="L86" s="39" t="str">
        <f>IFERROR(VLOOKUP($B86&amp;L$5,'Mark Leave'!$A$1:$E$1841,5,0),"")</f>
        <v/>
      </c>
      <c r="M86" s="39" t="str">
        <f>IFERROR(VLOOKUP($B86&amp;M$5,'Mark Leave'!$A$1:$E$1841,5,0),"")</f>
        <v/>
      </c>
      <c r="N86" s="39" t="str">
        <f>IFERROR(VLOOKUP($B86&amp;N$5,'Mark Leave'!$A$1:$E$1841,5,0),"")</f>
        <v/>
      </c>
      <c r="O86" s="39" t="str">
        <f>IFERROR(VLOOKUP($B86&amp;O$5,'Mark Leave'!$A$1:$E$1841,5,0),"")</f>
        <v/>
      </c>
      <c r="P86" s="39" t="str">
        <f>IFERROR(VLOOKUP($B86&amp;P$5,'Mark Leave'!$A$1:$E$1841,5,0),"")</f>
        <v/>
      </c>
      <c r="Q86" s="39" t="str">
        <f>IFERROR(VLOOKUP($B86&amp;Q$5,'Mark Leave'!$A$1:$E$1841,5,0),"")</f>
        <v/>
      </c>
      <c r="R86" s="39" t="str">
        <f>IFERROR(VLOOKUP($B86&amp;R$5,'Mark Leave'!$A$1:$E$1841,5,0),"")</f>
        <v/>
      </c>
      <c r="S86" s="39" t="str">
        <f>IFERROR(VLOOKUP($B86&amp;S$5,'Mark Leave'!$A$1:$E$1841,5,0),"")</f>
        <v/>
      </c>
      <c r="T86" s="39" t="str">
        <f>IFERROR(VLOOKUP($B86&amp;T$5,'Mark Leave'!$A$1:$E$1841,5,0),"")</f>
        <v/>
      </c>
      <c r="U86" s="39" t="str">
        <f>IFERROR(VLOOKUP($B86&amp;U$5,'Mark Leave'!$A$1:$E$1841,5,0),"")</f>
        <v/>
      </c>
      <c r="V86" s="39" t="str">
        <f>IFERROR(VLOOKUP($B86&amp;V$5,'Mark Leave'!$A$1:$E$1841,5,0),"")</f>
        <v/>
      </c>
      <c r="W86" s="39" t="str">
        <f>IFERROR(VLOOKUP($B86&amp;W$5,'Mark Leave'!$A$1:$E$1841,5,0),"")</f>
        <v/>
      </c>
      <c r="X86" s="39" t="str">
        <f>IFERROR(VLOOKUP($B86&amp;X$5,'Mark Leave'!$A$1:$E$1841,5,0),"")</f>
        <v/>
      </c>
      <c r="Y86" s="39" t="str">
        <f>IFERROR(VLOOKUP($B86&amp;Y$5,'Mark Leave'!$A$1:$E$1841,5,0),"")</f>
        <v/>
      </c>
      <c r="Z86" s="39" t="str">
        <f>IFERROR(VLOOKUP($B86&amp;Z$5,'Mark Leave'!$A$1:$E$1841,5,0),"")</f>
        <v/>
      </c>
      <c r="AA86" s="39" t="str">
        <f>IFERROR(VLOOKUP($B86&amp;AA$5,'Mark Leave'!$A$1:$E$1841,5,0),"")</f>
        <v/>
      </c>
      <c r="AB86" s="39" t="str">
        <f>IFERROR(VLOOKUP($B86&amp;AB$5,'Mark Leave'!$A$1:$E$1841,5,0),"")</f>
        <v/>
      </c>
      <c r="AC86" s="39" t="str">
        <f>IFERROR(VLOOKUP($B86&amp;AC$5,'Mark Leave'!$A$1:$E$1841,5,0),"")</f>
        <v/>
      </c>
      <c r="AD86" s="39" t="str">
        <f>IFERROR(VLOOKUP($B86&amp;AD$5,'Mark Leave'!$A$1:$E$1841,5,0),"")</f>
        <v/>
      </c>
      <c r="AE86" s="39" t="str">
        <f>IFERROR(VLOOKUP($B86&amp;AE$5,'Mark Leave'!$A$1:$E$1841,5,0),"")</f>
        <v/>
      </c>
      <c r="AF86" s="39" t="str">
        <f>IFERROR(VLOOKUP($B86&amp;AF$5,'Mark Leave'!$A$1:$E$1841,5,0),"")</f>
        <v/>
      </c>
      <c r="AG86" s="39" t="str">
        <f>IFERROR(VLOOKUP($B86&amp;AG$5,'Mark Leave'!$A$1:$E$1841,5,0),"")</f>
        <v/>
      </c>
      <c r="AH86" s="39">
        <f>IFERROR(VLOOKUP($B86&amp;AH$5,'Mark Leave'!$A$1:$E$1841,5,0),"")</f>
        <v>0</v>
      </c>
      <c r="AI86" s="98" t="str">
        <f>IF($B86&lt;&gt;"",COUNTIF($D86:$AH86,'Setting '!$H$2),"")</f>
        <v/>
      </c>
      <c r="AJ86" s="98" t="str">
        <f>IF($B86&lt;&gt;"",COUNTIF($D86:$AH86,'Setting '!$H$3)/2,"")</f>
        <v/>
      </c>
      <c r="AK86" s="98" t="str">
        <f>IF($B86&lt;&gt;"",COUNTIF($D86:$AH86,'Setting '!$H$4),"")</f>
        <v/>
      </c>
      <c r="AL86" s="98" t="str">
        <f t="shared" si="39"/>
        <v/>
      </c>
      <c r="AM86" s="117" t="str">
        <f>IF(B86&lt;&gt;"",_xlfn.IFNA(VLOOKUP(B86,'Leave Credit Sheet'!B86:K179,10,0),""),"")</f>
        <v/>
      </c>
      <c r="AN86" s="98" t="str">
        <f t="shared" si="28"/>
        <v/>
      </c>
      <c r="AO86" s="106" t="str">
        <f>IF(B86&lt;&gt;"",_xlfn.IFNA(INDEX('CTC Sheet'!$C$6:$N$101,MATCH(AttendanceSheet!$B86,'CTC Sheet'!$A$6:$A$101,0),MATCH(AttendanceSheet!$T$1,'CTC Sheet'!$C$5:$N$5,0)),0),"")</f>
        <v/>
      </c>
      <c r="AP86" s="106" t="str">
        <f>IF(B86&lt;&gt;"",_xlfn.IFNA(INDEX('CTC Sheet'!$R$6:$AC$100,MATCH(AttendanceSheet!$B86,'CTC Sheet'!$P$6:$P$100,0),MATCH(AttendanceSheet!$T$1,'CTC Sheet'!$R$5:$AC$5,0)),0),"")</f>
        <v/>
      </c>
      <c r="AQ86" s="106" t="str">
        <f t="shared" si="29"/>
        <v/>
      </c>
      <c r="AR86" s="106" t="str">
        <f t="shared" si="30"/>
        <v/>
      </c>
      <c r="AS86" s="106" t="str">
        <f t="shared" si="31"/>
        <v/>
      </c>
      <c r="AT86" s="106" t="str">
        <f t="shared" si="32"/>
        <v/>
      </c>
      <c r="AU86" s="106" t="str">
        <f t="shared" si="33"/>
        <v/>
      </c>
      <c r="AV86" s="106" t="str">
        <f t="shared" si="34"/>
        <v/>
      </c>
      <c r="AW86" s="106" t="str">
        <f>IF(B86&lt;&gt;"",_xlfn.IFNA(INDEX('OtherArrear payment'!$A$1:$N$95,MATCH(AttendanceSheet!$B86,'OtherArrear payment'!$A$1:$A$95,0),MATCH(AttendanceSheet!$T$1,'OtherArrear payment'!$A$1:$N$1,0)),0),"")</f>
        <v/>
      </c>
      <c r="AX86" s="106" t="str">
        <f t="shared" si="40"/>
        <v/>
      </c>
      <c r="AY86" s="106">
        <f t="shared" si="35"/>
        <v>0</v>
      </c>
      <c r="AZ86" s="106">
        <f t="shared" si="36"/>
        <v>0</v>
      </c>
      <c r="BA86" s="106">
        <f t="shared" si="37"/>
        <v>0</v>
      </c>
      <c r="BB86" s="106">
        <f t="shared" si="38"/>
        <v>0</v>
      </c>
      <c r="BC86" s="106" t="str">
        <f>IF($B86&lt;&gt;"",IF(BL86="Yes",IF($BI86="Mr.",IF($AX86&lt;=7500,0,IF(AND($AX86&lt;10000,$AX86&gt;7501),175,IF(AND($AX86&gt;10000,'Setting '!$G$28&lt;&gt;11),200,300))),IF(AND($AX86&lt;=10000,$BI86="Ms."),0,IF(AND($AX86&gt;10000,'Setting '!$G$28&lt;&gt;11),200,300))),0),"")</f>
        <v/>
      </c>
      <c r="BD86" s="42"/>
      <c r="BE86" s="212" t="str">
        <f>IF($B86&lt;&gt;"",IF('Advance Sheet'!AF83&gt;=0,INDEX('Advance Sheet'!$Q$3:$AD$100,MATCH(AttendanceSheet!$B86,'Advance Sheet'!$Q$3:$Q$100,0),MATCH(AttendanceSheet!$T$1,'Advance Sheet'!$Q$3:$AD$3,)),0),"")</f>
        <v/>
      </c>
      <c r="BF86" s="137" t="str">
        <f t="shared" si="41"/>
        <v/>
      </c>
      <c r="BG86" s="97" t="str">
        <f>IF(B86&lt;&gt;"",VLOOKUP(B86,'Employee Details'!A85:S168,17,0),"")</f>
        <v/>
      </c>
      <c r="BH86" s="97" t="str">
        <f>IF(B86&lt;&gt;"",VLOOKUP(B86,'Employee Details'!A85:S168,18,0),"")</f>
        <v/>
      </c>
      <c r="BI86" s="40" t="str">
        <f>IF(B86&lt;&gt;"",VLOOKUP(B86,'Employee Details'!A84:S167,19,0),"")</f>
        <v/>
      </c>
      <c r="BJ86" s="38" t="str">
        <f>IF(B86&lt;&gt;"",VLOOKUP(B86,'Employee Details'!A85:D113,4,0),"")</f>
        <v/>
      </c>
      <c r="BK86" s="38" t="str">
        <f>IF(B86&lt;&gt;"",VLOOKUP(B86,'Employee Details'!A85:E168,5,0),"")</f>
        <v/>
      </c>
      <c r="BL86" s="210" t="str">
        <f>IF(B86&lt;&gt;"",VLOOKUP(B86,'Employee Details'!A85:U168,21,0),"")</f>
        <v/>
      </c>
    </row>
    <row r="87" spans="2:64" ht="16.5" thickTop="1" thickBot="1" x14ac:dyDescent="0.3">
      <c r="B87" s="37" t="str">
        <f>_xlfn.IFNA(INDEX('Employee Details'!$A$7:$A90,MATCH(AttendanceSheet!$C87,'Employee Details'!$B$7:$B96,0)),"")</f>
        <v/>
      </c>
      <c r="C87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'!$J$1:J81))),"")</f>
        <v/>
      </c>
      <c r="D87" s="39" t="str">
        <f>IFERROR(VLOOKUP($B87&amp;D$5,'Mark Leave'!$A$1:$E$1841,5,0),"")</f>
        <v/>
      </c>
      <c r="E87" s="39" t="str">
        <f>IFERROR(VLOOKUP($B87&amp;E$5,'Mark Leave'!$A$1:$E$1841,5,0),"")</f>
        <v/>
      </c>
      <c r="F87" s="39" t="str">
        <f>IFERROR(VLOOKUP($B87&amp;F$5,'Mark Leave'!$A$1:$E$1841,5,0),"")</f>
        <v/>
      </c>
      <c r="G87" s="39" t="str">
        <f>IFERROR(VLOOKUP($B87&amp;G$5,'Mark Leave'!$A$1:$E$1841,5,0),"")</f>
        <v/>
      </c>
      <c r="H87" s="39" t="str">
        <f>IFERROR(VLOOKUP($B87&amp;H$5,'Mark Leave'!$A$1:$E$1841,5,0),"")</f>
        <v/>
      </c>
      <c r="I87" s="39" t="str">
        <f>IFERROR(VLOOKUP($B87&amp;I$5,'Mark Leave'!$A$1:$E$1841,5,0),"")</f>
        <v/>
      </c>
      <c r="J87" s="39" t="str">
        <f>IFERROR(VLOOKUP($B87&amp;J$5,'Mark Leave'!$A$1:$E$1841,5,0),"")</f>
        <v/>
      </c>
      <c r="K87" s="39" t="str">
        <f>IFERROR(VLOOKUP($B87&amp;K$5,'Mark Leave'!$A$1:$E$1841,5,0),"")</f>
        <v/>
      </c>
      <c r="L87" s="39" t="str">
        <f>IFERROR(VLOOKUP($B87&amp;L$5,'Mark Leave'!$A$1:$E$1841,5,0),"")</f>
        <v/>
      </c>
      <c r="M87" s="39" t="str">
        <f>IFERROR(VLOOKUP($B87&amp;M$5,'Mark Leave'!$A$1:$E$1841,5,0),"")</f>
        <v/>
      </c>
      <c r="N87" s="39" t="str">
        <f>IFERROR(VLOOKUP($B87&amp;N$5,'Mark Leave'!$A$1:$E$1841,5,0),"")</f>
        <v/>
      </c>
      <c r="O87" s="39" t="str">
        <f>IFERROR(VLOOKUP($B87&amp;O$5,'Mark Leave'!$A$1:$E$1841,5,0),"")</f>
        <v/>
      </c>
      <c r="P87" s="39" t="str">
        <f>IFERROR(VLOOKUP($B87&amp;P$5,'Mark Leave'!$A$1:$E$1841,5,0),"")</f>
        <v/>
      </c>
      <c r="Q87" s="39" t="str">
        <f>IFERROR(VLOOKUP($B87&amp;Q$5,'Mark Leave'!$A$1:$E$1841,5,0),"")</f>
        <v/>
      </c>
      <c r="R87" s="39" t="str">
        <f>IFERROR(VLOOKUP($B87&amp;R$5,'Mark Leave'!$A$1:$E$1841,5,0),"")</f>
        <v/>
      </c>
      <c r="S87" s="39" t="str">
        <f>IFERROR(VLOOKUP($B87&amp;S$5,'Mark Leave'!$A$1:$E$1841,5,0),"")</f>
        <v/>
      </c>
      <c r="T87" s="39" t="str">
        <f>IFERROR(VLOOKUP($B87&amp;T$5,'Mark Leave'!$A$1:$E$1841,5,0),"")</f>
        <v/>
      </c>
      <c r="U87" s="39" t="str">
        <f>IFERROR(VLOOKUP($B87&amp;U$5,'Mark Leave'!$A$1:$E$1841,5,0),"")</f>
        <v/>
      </c>
      <c r="V87" s="39" t="str">
        <f>IFERROR(VLOOKUP($B87&amp;V$5,'Mark Leave'!$A$1:$E$1841,5,0),"")</f>
        <v/>
      </c>
      <c r="W87" s="39" t="str">
        <f>IFERROR(VLOOKUP($B87&amp;W$5,'Mark Leave'!$A$1:$E$1841,5,0),"")</f>
        <v/>
      </c>
      <c r="X87" s="39" t="str">
        <f>IFERROR(VLOOKUP($B87&amp;X$5,'Mark Leave'!$A$1:$E$1841,5,0),"")</f>
        <v/>
      </c>
      <c r="Y87" s="39" t="str">
        <f>IFERROR(VLOOKUP($B87&amp;Y$5,'Mark Leave'!$A$1:$E$1841,5,0),"")</f>
        <v/>
      </c>
      <c r="Z87" s="39" t="str">
        <f>IFERROR(VLOOKUP($B87&amp;Z$5,'Mark Leave'!$A$1:$E$1841,5,0),"")</f>
        <v/>
      </c>
      <c r="AA87" s="39" t="str">
        <f>IFERROR(VLOOKUP($B87&amp;AA$5,'Mark Leave'!$A$1:$E$1841,5,0),"")</f>
        <v/>
      </c>
      <c r="AB87" s="39" t="str">
        <f>IFERROR(VLOOKUP($B87&amp;AB$5,'Mark Leave'!$A$1:$E$1841,5,0),"")</f>
        <v/>
      </c>
      <c r="AC87" s="39" t="str">
        <f>IFERROR(VLOOKUP($B87&amp;AC$5,'Mark Leave'!$A$1:$E$1841,5,0),"")</f>
        <v/>
      </c>
      <c r="AD87" s="39" t="str">
        <f>IFERROR(VLOOKUP($B87&amp;AD$5,'Mark Leave'!$A$1:$E$1841,5,0),"")</f>
        <v/>
      </c>
      <c r="AE87" s="39" t="str">
        <f>IFERROR(VLOOKUP($B87&amp;AE$5,'Mark Leave'!$A$1:$E$1841,5,0),"")</f>
        <v/>
      </c>
      <c r="AF87" s="39" t="str">
        <f>IFERROR(VLOOKUP($B87&amp;AF$5,'Mark Leave'!$A$1:$E$1841,5,0),"")</f>
        <v/>
      </c>
      <c r="AG87" s="39" t="str">
        <f>IFERROR(VLOOKUP($B87&amp;AG$5,'Mark Leave'!$A$1:$E$1841,5,0),"")</f>
        <v/>
      </c>
      <c r="AH87" s="39">
        <f>IFERROR(VLOOKUP($B87&amp;AH$5,'Mark Leave'!$A$1:$E$1841,5,0),"")</f>
        <v>0</v>
      </c>
      <c r="AI87" s="98" t="str">
        <f>IF($B87&lt;&gt;"",COUNTIF($D87:$AH87,'Setting '!$H$2),"")</f>
        <v/>
      </c>
      <c r="AJ87" s="98" t="str">
        <f>IF($B87&lt;&gt;"",COUNTIF($D87:$AH87,'Setting '!$H$3)/2,"")</f>
        <v/>
      </c>
      <c r="AK87" s="98" t="str">
        <f>IF($B87&lt;&gt;"",COUNTIF($D87:$AH87,'Setting '!$H$4),"")</f>
        <v/>
      </c>
      <c r="AL87" s="98" t="str">
        <f t="shared" si="39"/>
        <v/>
      </c>
      <c r="AM87" s="117" t="str">
        <f>IF(B87&lt;&gt;"",_xlfn.IFNA(VLOOKUP(B87,'Leave Credit Sheet'!B87:K180,10,0),""),"")</f>
        <v/>
      </c>
      <c r="AN87" s="98" t="str">
        <f t="shared" si="28"/>
        <v/>
      </c>
      <c r="AO87" s="106" t="str">
        <f>IF(B87&lt;&gt;"",_xlfn.IFNA(INDEX('CTC Sheet'!$C$6:$N$101,MATCH(AttendanceSheet!$B87,'CTC Sheet'!$A$6:$A$101,0),MATCH(AttendanceSheet!$T$1,'CTC Sheet'!$C$5:$N$5,0)),0),"")</f>
        <v/>
      </c>
      <c r="AP87" s="106" t="str">
        <f>IF(B87&lt;&gt;"",_xlfn.IFNA(INDEX('CTC Sheet'!$R$6:$AC$100,MATCH(AttendanceSheet!$B87,'CTC Sheet'!$P$6:$P$100,0),MATCH(AttendanceSheet!$T$1,'CTC Sheet'!$R$5:$AC$5,0)),0),"")</f>
        <v/>
      </c>
      <c r="AQ87" s="106" t="str">
        <f t="shared" si="29"/>
        <v/>
      </c>
      <c r="AR87" s="106" t="str">
        <f t="shared" si="30"/>
        <v/>
      </c>
      <c r="AS87" s="106" t="str">
        <f t="shared" si="31"/>
        <v/>
      </c>
      <c r="AT87" s="106" t="str">
        <f t="shared" si="32"/>
        <v/>
      </c>
      <c r="AU87" s="106" t="str">
        <f t="shared" si="33"/>
        <v/>
      </c>
      <c r="AV87" s="106" t="str">
        <f t="shared" si="34"/>
        <v/>
      </c>
      <c r="AW87" s="106" t="str">
        <f>IF(B87&lt;&gt;"",_xlfn.IFNA(INDEX('OtherArrear payment'!$A$1:$N$95,MATCH(AttendanceSheet!$B87,'OtherArrear payment'!$A$1:$A$95,0),MATCH(AttendanceSheet!$T$1,'OtherArrear payment'!$A$1:$N$1,0)),0),"")</f>
        <v/>
      </c>
      <c r="AX87" s="106" t="str">
        <f t="shared" si="40"/>
        <v/>
      </c>
      <c r="AY87" s="106">
        <f t="shared" si="35"/>
        <v>0</v>
      </c>
      <c r="AZ87" s="106">
        <f t="shared" si="36"/>
        <v>0</v>
      </c>
      <c r="BA87" s="106">
        <f t="shared" si="37"/>
        <v>0</v>
      </c>
      <c r="BB87" s="106">
        <f t="shared" si="38"/>
        <v>0</v>
      </c>
      <c r="BC87" s="106" t="str">
        <f>IF($B87&lt;&gt;"",IF(BL87="Yes",IF($BI87="Mr.",IF($AX87&lt;=7500,0,IF(AND($AX87&lt;10000,$AX87&gt;7501),175,IF(AND($AX87&gt;10000,'Setting '!$G$28&lt;&gt;11),200,300))),IF(AND($AX87&lt;=10000,$BI87="Ms."),0,IF(AND($AX87&gt;10000,'Setting '!$G$28&lt;&gt;11),200,300))),0),"")</f>
        <v/>
      </c>
      <c r="BD87" s="42"/>
      <c r="BE87" s="212" t="str">
        <f>IF($B87&lt;&gt;"",IF('Advance Sheet'!AF84&gt;=0,INDEX('Advance Sheet'!$Q$3:$AD$100,MATCH(AttendanceSheet!$B87,'Advance Sheet'!$Q$3:$Q$100,0),MATCH(AttendanceSheet!$T$1,'Advance Sheet'!$Q$3:$AD$3,)),0),"")</f>
        <v/>
      </c>
      <c r="BF87" s="137" t="str">
        <f t="shared" si="41"/>
        <v/>
      </c>
      <c r="BG87" s="97" t="str">
        <f>IF(B87&lt;&gt;"",VLOOKUP(B87,'Employee Details'!A86:S169,17,0),"")</f>
        <v/>
      </c>
      <c r="BH87" s="97" t="str">
        <f>IF(B87&lt;&gt;"",VLOOKUP(B87,'Employee Details'!A86:S169,18,0),"")</f>
        <v/>
      </c>
      <c r="BI87" s="40" t="str">
        <f>IF(B87&lt;&gt;"",VLOOKUP(B87,'Employee Details'!A85:S168,19,0),"")</f>
        <v/>
      </c>
      <c r="BJ87" s="38" t="str">
        <f>IF(B87&lt;&gt;"",VLOOKUP(B87,'Employee Details'!A86:D114,4,0),"")</f>
        <v/>
      </c>
      <c r="BK87" s="38" t="str">
        <f>IF(B87&lt;&gt;"",VLOOKUP(B87,'Employee Details'!A86:E169,5,0),"")</f>
        <v/>
      </c>
      <c r="BL87" s="210" t="str">
        <f>IF(B87&lt;&gt;"",VLOOKUP(B87,'Employee Details'!A86:U169,21,0),"")</f>
        <v/>
      </c>
    </row>
    <row r="88" spans="2:64" ht="16.5" thickTop="1" thickBot="1" x14ac:dyDescent="0.3">
      <c r="B88" s="37" t="str">
        <f>_xlfn.IFNA(INDEX('Employee Details'!$A$7:$A91,MATCH(AttendanceSheet!$C88,'Employee Details'!$B$7:$B97,0)),"")</f>
        <v/>
      </c>
      <c r="C88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'!$J$1:J82))),"")</f>
        <v/>
      </c>
      <c r="D88" s="39" t="str">
        <f>IFERROR(VLOOKUP($B88&amp;D$5,'Mark Leave'!$A$1:$E$1841,5,0),"")</f>
        <v/>
      </c>
      <c r="E88" s="39" t="str">
        <f>IFERROR(VLOOKUP($B88&amp;E$5,'Mark Leave'!$A$1:$E$1841,5,0),"")</f>
        <v/>
      </c>
      <c r="F88" s="39" t="str">
        <f>IFERROR(VLOOKUP($B88&amp;F$5,'Mark Leave'!$A$1:$E$1841,5,0),"")</f>
        <v/>
      </c>
      <c r="G88" s="39" t="str">
        <f>IFERROR(VLOOKUP($B88&amp;G$5,'Mark Leave'!$A$1:$E$1841,5,0),"")</f>
        <v/>
      </c>
      <c r="H88" s="39" t="str">
        <f>IFERROR(VLOOKUP($B88&amp;H$5,'Mark Leave'!$A$1:$E$1841,5,0),"")</f>
        <v/>
      </c>
      <c r="I88" s="39" t="str">
        <f>IFERROR(VLOOKUP($B88&amp;I$5,'Mark Leave'!$A$1:$E$1841,5,0),"")</f>
        <v/>
      </c>
      <c r="J88" s="39" t="str">
        <f>IFERROR(VLOOKUP($B88&amp;J$5,'Mark Leave'!$A$1:$E$1841,5,0),"")</f>
        <v/>
      </c>
      <c r="K88" s="39" t="str">
        <f>IFERROR(VLOOKUP($B88&amp;K$5,'Mark Leave'!$A$1:$E$1841,5,0),"")</f>
        <v/>
      </c>
      <c r="L88" s="39" t="str">
        <f>IFERROR(VLOOKUP($B88&amp;L$5,'Mark Leave'!$A$1:$E$1841,5,0),"")</f>
        <v/>
      </c>
      <c r="M88" s="39" t="str">
        <f>IFERROR(VLOOKUP($B88&amp;M$5,'Mark Leave'!$A$1:$E$1841,5,0),"")</f>
        <v/>
      </c>
      <c r="N88" s="39" t="str">
        <f>IFERROR(VLOOKUP($B88&amp;N$5,'Mark Leave'!$A$1:$E$1841,5,0),"")</f>
        <v/>
      </c>
      <c r="O88" s="39" t="str">
        <f>IFERROR(VLOOKUP($B88&amp;O$5,'Mark Leave'!$A$1:$E$1841,5,0),"")</f>
        <v/>
      </c>
      <c r="P88" s="39" t="str">
        <f>IFERROR(VLOOKUP($B88&amp;P$5,'Mark Leave'!$A$1:$E$1841,5,0),"")</f>
        <v/>
      </c>
      <c r="Q88" s="39" t="str">
        <f>IFERROR(VLOOKUP($B88&amp;Q$5,'Mark Leave'!$A$1:$E$1841,5,0),"")</f>
        <v/>
      </c>
      <c r="R88" s="39" t="str">
        <f>IFERROR(VLOOKUP($B88&amp;R$5,'Mark Leave'!$A$1:$E$1841,5,0),"")</f>
        <v/>
      </c>
      <c r="S88" s="39" t="str">
        <f>IFERROR(VLOOKUP($B88&amp;S$5,'Mark Leave'!$A$1:$E$1841,5,0),"")</f>
        <v/>
      </c>
      <c r="T88" s="39" t="str">
        <f>IFERROR(VLOOKUP($B88&amp;T$5,'Mark Leave'!$A$1:$E$1841,5,0),"")</f>
        <v/>
      </c>
      <c r="U88" s="39" t="str">
        <f>IFERROR(VLOOKUP($B88&amp;U$5,'Mark Leave'!$A$1:$E$1841,5,0),"")</f>
        <v/>
      </c>
      <c r="V88" s="39" t="str">
        <f>IFERROR(VLOOKUP($B88&amp;V$5,'Mark Leave'!$A$1:$E$1841,5,0),"")</f>
        <v/>
      </c>
      <c r="W88" s="39" t="str">
        <f>IFERROR(VLOOKUP($B88&amp;W$5,'Mark Leave'!$A$1:$E$1841,5,0),"")</f>
        <v/>
      </c>
      <c r="X88" s="39" t="str">
        <f>IFERROR(VLOOKUP($B88&amp;X$5,'Mark Leave'!$A$1:$E$1841,5,0),"")</f>
        <v/>
      </c>
      <c r="Y88" s="39" t="str">
        <f>IFERROR(VLOOKUP($B88&amp;Y$5,'Mark Leave'!$A$1:$E$1841,5,0),"")</f>
        <v/>
      </c>
      <c r="Z88" s="39" t="str">
        <f>IFERROR(VLOOKUP($B88&amp;Z$5,'Mark Leave'!$A$1:$E$1841,5,0),"")</f>
        <v/>
      </c>
      <c r="AA88" s="39" t="str">
        <f>IFERROR(VLOOKUP($B88&amp;AA$5,'Mark Leave'!$A$1:$E$1841,5,0),"")</f>
        <v/>
      </c>
      <c r="AB88" s="39" t="str">
        <f>IFERROR(VLOOKUP($B88&amp;AB$5,'Mark Leave'!$A$1:$E$1841,5,0),"")</f>
        <v/>
      </c>
      <c r="AC88" s="39" t="str">
        <f>IFERROR(VLOOKUP($B88&amp;AC$5,'Mark Leave'!$A$1:$E$1841,5,0),"")</f>
        <v/>
      </c>
      <c r="AD88" s="39" t="str">
        <f>IFERROR(VLOOKUP($B88&amp;AD$5,'Mark Leave'!$A$1:$E$1841,5,0),"")</f>
        <v/>
      </c>
      <c r="AE88" s="39" t="str">
        <f>IFERROR(VLOOKUP($B88&amp;AE$5,'Mark Leave'!$A$1:$E$1841,5,0),"")</f>
        <v/>
      </c>
      <c r="AF88" s="39" t="str">
        <f>IFERROR(VLOOKUP($B88&amp;AF$5,'Mark Leave'!$A$1:$E$1841,5,0),"")</f>
        <v/>
      </c>
      <c r="AG88" s="39" t="str">
        <f>IFERROR(VLOOKUP($B88&amp;AG$5,'Mark Leave'!$A$1:$E$1841,5,0),"")</f>
        <v/>
      </c>
      <c r="AH88" s="39">
        <f>IFERROR(VLOOKUP($B88&amp;AH$5,'Mark Leave'!$A$1:$E$1841,5,0),"")</f>
        <v>0</v>
      </c>
      <c r="AI88" s="98" t="str">
        <f>IF($B88&lt;&gt;"",COUNTIF($D88:$AH88,'Setting '!$H$2),"")</f>
        <v/>
      </c>
      <c r="AJ88" s="98" t="str">
        <f>IF($B88&lt;&gt;"",COUNTIF($D88:$AH88,'Setting '!$H$3)/2,"")</f>
        <v/>
      </c>
      <c r="AK88" s="98" t="str">
        <f>IF($B88&lt;&gt;"",COUNTIF($D88:$AH88,'Setting '!$H$4),"")</f>
        <v/>
      </c>
      <c r="AL88" s="98" t="str">
        <f t="shared" si="39"/>
        <v/>
      </c>
      <c r="AM88" s="117" t="str">
        <f>IF(B88&lt;&gt;"",_xlfn.IFNA(VLOOKUP(B88,'Leave Credit Sheet'!B88:K181,10,0),""),"")</f>
        <v/>
      </c>
      <c r="AN88" s="98" t="str">
        <f t="shared" si="28"/>
        <v/>
      </c>
      <c r="AO88" s="106" t="str">
        <f>IF(B88&lt;&gt;"",_xlfn.IFNA(INDEX('CTC Sheet'!$C$6:$N$101,MATCH(AttendanceSheet!$B88,'CTC Sheet'!$A$6:$A$101,0),MATCH(AttendanceSheet!$T$1,'CTC Sheet'!$C$5:$N$5,0)),0),"")</f>
        <v/>
      </c>
      <c r="AP88" s="106" t="str">
        <f>IF(B88&lt;&gt;"",_xlfn.IFNA(INDEX('CTC Sheet'!$R$6:$AC$100,MATCH(AttendanceSheet!$B88,'CTC Sheet'!$P$6:$P$100,0),MATCH(AttendanceSheet!$T$1,'CTC Sheet'!$R$5:$AC$5,0)),0),"")</f>
        <v/>
      </c>
      <c r="AQ88" s="106" t="str">
        <f t="shared" si="29"/>
        <v/>
      </c>
      <c r="AR88" s="106" t="str">
        <f t="shared" si="30"/>
        <v/>
      </c>
      <c r="AS88" s="106" t="str">
        <f t="shared" si="31"/>
        <v/>
      </c>
      <c r="AT88" s="106" t="str">
        <f t="shared" si="32"/>
        <v/>
      </c>
      <c r="AU88" s="106" t="str">
        <f t="shared" si="33"/>
        <v/>
      </c>
      <c r="AV88" s="106" t="str">
        <f t="shared" si="34"/>
        <v/>
      </c>
      <c r="AW88" s="106" t="str">
        <f>IF(B88&lt;&gt;"",_xlfn.IFNA(INDEX('OtherArrear payment'!$A$1:$N$95,MATCH(AttendanceSheet!$B88,'OtherArrear payment'!$A$1:$A$95,0),MATCH(AttendanceSheet!$T$1,'OtherArrear payment'!$A$1:$N$1,0)),0),"")</f>
        <v/>
      </c>
      <c r="AX88" s="106" t="str">
        <f t="shared" si="40"/>
        <v/>
      </c>
      <c r="AY88" s="106">
        <f t="shared" si="35"/>
        <v>0</v>
      </c>
      <c r="AZ88" s="106">
        <f t="shared" si="36"/>
        <v>0</v>
      </c>
      <c r="BA88" s="106">
        <f t="shared" si="37"/>
        <v>0</v>
      </c>
      <c r="BB88" s="106">
        <f t="shared" si="38"/>
        <v>0</v>
      </c>
      <c r="BC88" s="106" t="str">
        <f>IF($B88&lt;&gt;"",IF(BL88="Yes",IF($BI88="Mr.",IF($AX88&lt;=7500,0,IF(AND($AX88&lt;10000,$AX88&gt;7501),175,IF(AND($AX88&gt;10000,'Setting '!$G$28&lt;&gt;11),200,300))),IF(AND($AX88&lt;=10000,$BI88="Ms."),0,IF(AND($AX88&gt;10000,'Setting '!$G$28&lt;&gt;11),200,300))),0),"")</f>
        <v/>
      </c>
      <c r="BD88" s="42"/>
      <c r="BE88" s="212" t="str">
        <f>IF($B88&lt;&gt;"",IF('Advance Sheet'!AF85&gt;=0,INDEX('Advance Sheet'!$Q$3:$AD$100,MATCH(AttendanceSheet!$B88,'Advance Sheet'!$Q$3:$Q$100,0),MATCH(AttendanceSheet!$T$1,'Advance Sheet'!$Q$3:$AD$3,)),0),"")</f>
        <v/>
      </c>
      <c r="BF88" s="137" t="str">
        <f t="shared" si="41"/>
        <v/>
      </c>
      <c r="BG88" s="97" t="str">
        <f>IF(B88&lt;&gt;"",VLOOKUP(B88,'Employee Details'!A87:S170,17,0),"")</f>
        <v/>
      </c>
      <c r="BH88" s="97" t="str">
        <f>IF(B88&lt;&gt;"",VLOOKUP(B88,'Employee Details'!A87:S170,18,0),"")</f>
        <v/>
      </c>
      <c r="BI88" s="40" t="str">
        <f>IF(B88&lt;&gt;"",VLOOKUP(B88,'Employee Details'!A86:S169,19,0),"")</f>
        <v/>
      </c>
      <c r="BJ88" s="38" t="str">
        <f>IF(B88&lt;&gt;"",VLOOKUP(B88,'Employee Details'!A87:D115,4,0),"")</f>
        <v/>
      </c>
      <c r="BK88" s="38" t="str">
        <f>IF(B88&lt;&gt;"",VLOOKUP(B88,'Employee Details'!A87:E170,5,0),"")</f>
        <v/>
      </c>
      <c r="BL88" s="210" t="str">
        <f>IF(B88&lt;&gt;"",VLOOKUP(B88,'Employee Details'!A87:U170,21,0),"")</f>
        <v/>
      </c>
    </row>
    <row r="89" spans="2:64" ht="16.5" thickTop="1" thickBot="1" x14ac:dyDescent="0.3">
      <c r="B89" s="37" t="str">
        <f>_xlfn.IFNA(INDEX('Employee Details'!$A$7:$A92,MATCH(AttendanceSheet!$C89,'Employee Details'!$B$7:$B98,0)),"")</f>
        <v/>
      </c>
      <c r="C89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'!$J$1:J83))),"")</f>
        <v/>
      </c>
      <c r="D89" s="39" t="str">
        <f>IFERROR(VLOOKUP($B89&amp;D$5,'Mark Leave'!$A$1:$E$1841,5,0),"")</f>
        <v/>
      </c>
      <c r="E89" s="39" t="str">
        <f>IFERROR(VLOOKUP($B89&amp;E$5,'Mark Leave'!$A$1:$E$1841,5,0),"")</f>
        <v/>
      </c>
      <c r="F89" s="39" t="str">
        <f>IFERROR(VLOOKUP($B89&amp;F$5,'Mark Leave'!$A$1:$E$1841,5,0),"")</f>
        <v/>
      </c>
      <c r="G89" s="39" t="str">
        <f>IFERROR(VLOOKUP($B89&amp;G$5,'Mark Leave'!$A$1:$E$1841,5,0),"")</f>
        <v/>
      </c>
      <c r="H89" s="39" t="str">
        <f>IFERROR(VLOOKUP($B89&amp;H$5,'Mark Leave'!$A$1:$E$1841,5,0),"")</f>
        <v/>
      </c>
      <c r="I89" s="39" t="str">
        <f>IFERROR(VLOOKUP($B89&amp;I$5,'Mark Leave'!$A$1:$E$1841,5,0),"")</f>
        <v/>
      </c>
      <c r="J89" s="39" t="str">
        <f>IFERROR(VLOOKUP($B89&amp;J$5,'Mark Leave'!$A$1:$E$1841,5,0),"")</f>
        <v/>
      </c>
      <c r="K89" s="39" t="str">
        <f>IFERROR(VLOOKUP($B89&amp;K$5,'Mark Leave'!$A$1:$E$1841,5,0),"")</f>
        <v/>
      </c>
      <c r="L89" s="39" t="str">
        <f>IFERROR(VLOOKUP($B89&amp;L$5,'Mark Leave'!$A$1:$E$1841,5,0),"")</f>
        <v/>
      </c>
      <c r="M89" s="39" t="str">
        <f>IFERROR(VLOOKUP($B89&amp;M$5,'Mark Leave'!$A$1:$E$1841,5,0),"")</f>
        <v/>
      </c>
      <c r="N89" s="39" t="str">
        <f>IFERROR(VLOOKUP($B89&amp;N$5,'Mark Leave'!$A$1:$E$1841,5,0),"")</f>
        <v/>
      </c>
      <c r="O89" s="39" t="str">
        <f>IFERROR(VLOOKUP($B89&amp;O$5,'Mark Leave'!$A$1:$E$1841,5,0),"")</f>
        <v/>
      </c>
      <c r="P89" s="39" t="str">
        <f>IFERROR(VLOOKUP($B89&amp;P$5,'Mark Leave'!$A$1:$E$1841,5,0),"")</f>
        <v/>
      </c>
      <c r="Q89" s="39" t="str">
        <f>IFERROR(VLOOKUP($B89&amp;Q$5,'Mark Leave'!$A$1:$E$1841,5,0),"")</f>
        <v/>
      </c>
      <c r="R89" s="39" t="str">
        <f>IFERROR(VLOOKUP($B89&amp;R$5,'Mark Leave'!$A$1:$E$1841,5,0),"")</f>
        <v/>
      </c>
      <c r="S89" s="39" t="str">
        <f>IFERROR(VLOOKUP($B89&amp;S$5,'Mark Leave'!$A$1:$E$1841,5,0),"")</f>
        <v/>
      </c>
      <c r="T89" s="39" t="str">
        <f>IFERROR(VLOOKUP($B89&amp;T$5,'Mark Leave'!$A$1:$E$1841,5,0),"")</f>
        <v/>
      </c>
      <c r="U89" s="39" t="str">
        <f>IFERROR(VLOOKUP($B89&amp;U$5,'Mark Leave'!$A$1:$E$1841,5,0),"")</f>
        <v/>
      </c>
      <c r="V89" s="39" t="str">
        <f>IFERROR(VLOOKUP($B89&amp;V$5,'Mark Leave'!$A$1:$E$1841,5,0),"")</f>
        <v/>
      </c>
      <c r="W89" s="39" t="str">
        <f>IFERROR(VLOOKUP($B89&amp;W$5,'Mark Leave'!$A$1:$E$1841,5,0),"")</f>
        <v/>
      </c>
      <c r="X89" s="39" t="str">
        <f>IFERROR(VLOOKUP($B89&amp;X$5,'Mark Leave'!$A$1:$E$1841,5,0),"")</f>
        <v/>
      </c>
      <c r="Y89" s="39" t="str">
        <f>IFERROR(VLOOKUP($B89&amp;Y$5,'Mark Leave'!$A$1:$E$1841,5,0),"")</f>
        <v/>
      </c>
      <c r="Z89" s="39" t="str">
        <f>IFERROR(VLOOKUP($B89&amp;Z$5,'Mark Leave'!$A$1:$E$1841,5,0),"")</f>
        <v/>
      </c>
      <c r="AA89" s="39" t="str">
        <f>IFERROR(VLOOKUP($B89&amp;AA$5,'Mark Leave'!$A$1:$E$1841,5,0),"")</f>
        <v/>
      </c>
      <c r="AB89" s="39" t="str">
        <f>IFERROR(VLOOKUP($B89&amp;AB$5,'Mark Leave'!$A$1:$E$1841,5,0),"")</f>
        <v/>
      </c>
      <c r="AC89" s="39" t="str">
        <f>IFERROR(VLOOKUP($B89&amp;AC$5,'Mark Leave'!$A$1:$E$1841,5,0),"")</f>
        <v/>
      </c>
      <c r="AD89" s="39" t="str">
        <f>IFERROR(VLOOKUP($B89&amp;AD$5,'Mark Leave'!$A$1:$E$1841,5,0),"")</f>
        <v/>
      </c>
      <c r="AE89" s="39" t="str">
        <f>IFERROR(VLOOKUP($B89&amp;AE$5,'Mark Leave'!$A$1:$E$1841,5,0),"")</f>
        <v/>
      </c>
      <c r="AF89" s="39" t="str">
        <f>IFERROR(VLOOKUP($B89&amp;AF$5,'Mark Leave'!$A$1:$E$1841,5,0),"")</f>
        <v/>
      </c>
      <c r="AG89" s="39" t="str">
        <f>IFERROR(VLOOKUP($B89&amp;AG$5,'Mark Leave'!$A$1:$E$1841,5,0),"")</f>
        <v/>
      </c>
      <c r="AH89" s="39">
        <f>IFERROR(VLOOKUP($B89&amp;AH$5,'Mark Leave'!$A$1:$E$1841,5,0),"")</f>
        <v>0</v>
      </c>
      <c r="AI89" s="98" t="str">
        <f>IF($B89&lt;&gt;"",COUNTIF($D89:$AH89,'Setting '!$H$2),"")</f>
        <v/>
      </c>
      <c r="AJ89" s="98" t="str">
        <f>IF($B89&lt;&gt;"",COUNTIF($D89:$AH89,'Setting '!$H$3)/2,"")</f>
        <v/>
      </c>
      <c r="AK89" s="98" t="str">
        <f>IF($B89&lt;&gt;"",COUNTIF($D89:$AH89,'Setting '!$H$4),"")</f>
        <v/>
      </c>
      <c r="AL89" s="98" t="str">
        <f t="shared" si="39"/>
        <v/>
      </c>
      <c r="AM89" s="117" t="str">
        <f>IF(B89&lt;&gt;"",_xlfn.IFNA(VLOOKUP(B89,'Leave Credit Sheet'!B89:K182,10,0),""),"")</f>
        <v/>
      </c>
      <c r="AN89" s="98" t="str">
        <f t="shared" si="28"/>
        <v/>
      </c>
      <c r="AO89" s="106" t="str">
        <f>IF(B89&lt;&gt;"",_xlfn.IFNA(INDEX('CTC Sheet'!$C$6:$N$101,MATCH(AttendanceSheet!$B89,'CTC Sheet'!$A$6:$A$101,0),MATCH(AttendanceSheet!$T$1,'CTC Sheet'!$C$5:$N$5,0)),0),"")</f>
        <v/>
      </c>
      <c r="AP89" s="106" t="str">
        <f>IF(B89&lt;&gt;"",_xlfn.IFNA(INDEX('CTC Sheet'!$R$6:$AC$100,MATCH(AttendanceSheet!$B89,'CTC Sheet'!$P$6:$P$100,0),MATCH(AttendanceSheet!$T$1,'CTC Sheet'!$R$5:$AC$5,0)),0),"")</f>
        <v/>
      </c>
      <c r="AQ89" s="106" t="str">
        <f t="shared" si="29"/>
        <v/>
      </c>
      <c r="AR89" s="106" t="str">
        <f t="shared" si="30"/>
        <v/>
      </c>
      <c r="AS89" s="106" t="str">
        <f t="shared" si="31"/>
        <v/>
      </c>
      <c r="AT89" s="106" t="str">
        <f t="shared" si="32"/>
        <v/>
      </c>
      <c r="AU89" s="106" t="str">
        <f t="shared" si="33"/>
        <v/>
      </c>
      <c r="AV89" s="106" t="str">
        <f t="shared" si="34"/>
        <v/>
      </c>
      <c r="AW89" s="106" t="str">
        <f>IF(B89&lt;&gt;"",_xlfn.IFNA(INDEX('OtherArrear payment'!$A$1:$N$95,MATCH(AttendanceSheet!$B89,'OtherArrear payment'!$A$1:$A$95,0),MATCH(AttendanceSheet!$T$1,'OtherArrear payment'!$A$1:$N$1,0)),0),"")</f>
        <v/>
      </c>
      <c r="AX89" s="106" t="str">
        <f t="shared" si="40"/>
        <v/>
      </c>
      <c r="AY89" s="106">
        <f t="shared" si="35"/>
        <v>0</v>
      </c>
      <c r="AZ89" s="106">
        <f t="shared" si="36"/>
        <v>0</v>
      </c>
      <c r="BA89" s="106">
        <f t="shared" si="37"/>
        <v>0</v>
      </c>
      <c r="BB89" s="106">
        <f t="shared" si="38"/>
        <v>0</v>
      </c>
      <c r="BC89" s="106" t="str">
        <f>IF($B89&lt;&gt;"",IF(BL89="Yes",IF($BI89="Mr.",IF($AX89&lt;=7500,0,IF(AND($AX89&lt;10000,$AX89&gt;7501),175,IF(AND($AX89&gt;10000,'Setting '!$G$28&lt;&gt;11),200,300))),IF(AND($AX89&lt;=10000,$BI89="Ms."),0,IF(AND($AX89&gt;10000,'Setting '!$G$28&lt;&gt;11),200,300))),0),"")</f>
        <v/>
      </c>
      <c r="BD89" s="42"/>
      <c r="BE89" s="212" t="str">
        <f>IF($B89&lt;&gt;"",IF('Advance Sheet'!AF86&gt;=0,INDEX('Advance Sheet'!$Q$3:$AD$100,MATCH(AttendanceSheet!$B89,'Advance Sheet'!$Q$3:$Q$100,0),MATCH(AttendanceSheet!$T$1,'Advance Sheet'!$Q$3:$AD$3,)),0),"")</f>
        <v/>
      </c>
      <c r="BF89" s="137" t="str">
        <f t="shared" si="41"/>
        <v/>
      </c>
      <c r="BG89" s="97" t="str">
        <f>IF(B89&lt;&gt;"",VLOOKUP(B89,'Employee Details'!A88:S171,17,0),"")</f>
        <v/>
      </c>
      <c r="BH89" s="97" t="str">
        <f>IF(B89&lt;&gt;"",VLOOKUP(B89,'Employee Details'!A88:S171,18,0),"")</f>
        <v/>
      </c>
      <c r="BI89" s="40" t="str">
        <f>IF(B89&lt;&gt;"",VLOOKUP(B89,'Employee Details'!A87:S170,19,0),"")</f>
        <v/>
      </c>
      <c r="BJ89" s="38" t="str">
        <f>IF(B89&lt;&gt;"",VLOOKUP(B89,'Employee Details'!A88:D116,4,0),"")</f>
        <v/>
      </c>
      <c r="BK89" s="38" t="str">
        <f>IF(B89&lt;&gt;"",VLOOKUP(B89,'Employee Details'!A88:E171,5,0),"")</f>
        <v/>
      </c>
      <c r="BL89" s="210" t="str">
        <f>IF(B89&lt;&gt;"",VLOOKUP(B89,'Employee Details'!A88:U171,21,0),"")</f>
        <v/>
      </c>
    </row>
    <row r="90" spans="2:64" ht="16.5" thickTop="1" thickBot="1" x14ac:dyDescent="0.3">
      <c r="B90" s="37" t="str">
        <f>_xlfn.IFNA(INDEX('Employee Details'!$A$7:$A93,MATCH(AttendanceSheet!$C90,'Employee Details'!$B$7:$B99,0)),"")</f>
        <v/>
      </c>
      <c r="C90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'!$J$1:J84))),"")</f>
        <v/>
      </c>
      <c r="D90" s="39" t="str">
        <f>IFERROR(VLOOKUP($B90&amp;D$5,'Mark Leave'!$A$1:$E$1841,5,0),"")</f>
        <v/>
      </c>
      <c r="E90" s="39" t="str">
        <f>IFERROR(VLOOKUP($B90&amp;E$5,'Mark Leave'!$A$1:$E$1841,5,0),"")</f>
        <v/>
      </c>
      <c r="F90" s="39" t="str">
        <f>IFERROR(VLOOKUP($B90&amp;F$5,'Mark Leave'!$A$1:$E$1841,5,0),"")</f>
        <v/>
      </c>
      <c r="G90" s="39" t="str">
        <f>IFERROR(VLOOKUP($B90&amp;G$5,'Mark Leave'!$A$1:$E$1841,5,0),"")</f>
        <v/>
      </c>
      <c r="H90" s="39" t="str">
        <f>IFERROR(VLOOKUP($B90&amp;H$5,'Mark Leave'!$A$1:$E$1841,5,0),"")</f>
        <v/>
      </c>
      <c r="I90" s="39" t="str">
        <f>IFERROR(VLOOKUP($B90&amp;I$5,'Mark Leave'!$A$1:$E$1841,5,0),"")</f>
        <v/>
      </c>
      <c r="J90" s="39" t="str">
        <f>IFERROR(VLOOKUP($B90&amp;J$5,'Mark Leave'!$A$1:$E$1841,5,0),"")</f>
        <v/>
      </c>
      <c r="K90" s="39" t="str">
        <f>IFERROR(VLOOKUP($B90&amp;K$5,'Mark Leave'!$A$1:$E$1841,5,0),"")</f>
        <v/>
      </c>
      <c r="L90" s="39" t="str">
        <f>IFERROR(VLOOKUP($B90&amp;L$5,'Mark Leave'!$A$1:$E$1841,5,0),"")</f>
        <v/>
      </c>
      <c r="M90" s="39" t="str">
        <f>IFERROR(VLOOKUP($B90&amp;M$5,'Mark Leave'!$A$1:$E$1841,5,0),"")</f>
        <v/>
      </c>
      <c r="N90" s="39" t="str">
        <f>IFERROR(VLOOKUP($B90&amp;N$5,'Mark Leave'!$A$1:$E$1841,5,0),"")</f>
        <v/>
      </c>
      <c r="O90" s="39" t="str">
        <f>IFERROR(VLOOKUP($B90&amp;O$5,'Mark Leave'!$A$1:$E$1841,5,0),"")</f>
        <v/>
      </c>
      <c r="P90" s="39" t="str">
        <f>IFERROR(VLOOKUP($B90&amp;P$5,'Mark Leave'!$A$1:$E$1841,5,0),"")</f>
        <v/>
      </c>
      <c r="Q90" s="39" t="str">
        <f>IFERROR(VLOOKUP($B90&amp;Q$5,'Mark Leave'!$A$1:$E$1841,5,0),"")</f>
        <v/>
      </c>
      <c r="R90" s="39" t="str">
        <f>IFERROR(VLOOKUP($B90&amp;R$5,'Mark Leave'!$A$1:$E$1841,5,0),"")</f>
        <v/>
      </c>
      <c r="S90" s="39" t="str">
        <f>IFERROR(VLOOKUP($B90&amp;S$5,'Mark Leave'!$A$1:$E$1841,5,0),"")</f>
        <v/>
      </c>
      <c r="T90" s="39" t="str">
        <f>IFERROR(VLOOKUP($B90&amp;T$5,'Mark Leave'!$A$1:$E$1841,5,0),"")</f>
        <v/>
      </c>
      <c r="U90" s="39" t="str">
        <f>IFERROR(VLOOKUP($B90&amp;U$5,'Mark Leave'!$A$1:$E$1841,5,0),"")</f>
        <v/>
      </c>
      <c r="V90" s="39" t="str">
        <f>IFERROR(VLOOKUP($B90&amp;V$5,'Mark Leave'!$A$1:$E$1841,5,0),"")</f>
        <v/>
      </c>
      <c r="W90" s="39" t="str">
        <f>IFERROR(VLOOKUP($B90&amp;W$5,'Mark Leave'!$A$1:$E$1841,5,0),"")</f>
        <v/>
      </c>
      <c r="X90" s="39" t="str">
        <f>IFERROR(VLOOKUP($B90&amp;X$5,'Mark Leave'!$A$1:$E$1841,5,0),"")</f>
        <v/>
      </c>
      <c r="Y90" s="39" t="str">
        <f>IFERROR(VLOOKUP($B90&amp;Y$5,'Mark Leave'!$A$1:$E$1841,5,0),"")</f>
        <v/>
      </c>
      <c r="Z90" s="39" t="str">
        <f>IFERROR(VLOOKUP($B90&amp;Z$5,'Mark Leave'!$A$1:$E$1841,5,0),"")</f>
        <v/>
      </c>
      <c r="AA90" s="39" t="str">
        <f>IFERROR(VLOOKUP($B90&amp;AA$5,'Mark Leave'!$A$1:$E$1841,5,0),"")</f>
        <v/>
      </c>
      <c r="AB90" s="39" t="str">
        <f>IFERROR(VLOOKUP($B90&amp;AB$5,'Mark Leave'!$A$1:$E$1841,5,0),"")</f>
        <v/>
      </c>
      <c r="AC90" s="39" t="str">
        <f>IFERROR(VLOOKUP($B90&amp;AC$5,'Mark Leave'!$A$1:$E$1841,5,0),"")</f>
        <v/>
      </c>
      <c r="AD90" s="39" t="str">
        <f>IFERROR(VLOOKUP($B90&amp;AD$5,'Mark Leave'!$A$1:$E$1841,5,0),"")</f>
        <v/>
      </c>
      <c r="AE90" s="39" t="str">
        <f>IFERROR(VLOOKUP($B90&amp;AE$5,'Mark Leave'!$A$1:$E$1841,5,0),"")</f>
        <v/>
      </c>
      <c r="AF90" s="39" t="str">
        <f>IFERROR(VLOOKUP($B90&amp;AF$5,'Mark Leave'!$A$1:$E$1841,5,0),"")</f>
        <v/>
      </c>
      <c r="AG90" s="39" t="str">
        <f>IFERROR(VLOOKUP($B90&amp;AG$5,'Mark Leave'!$A$1:$E$1841,5,0),"")</f>
        <v/>
      </c>
      <c r="AH90" s="39">
        <f>IFERROR(VLOOKUP($B90&amp;AH$5,'Mark Leave'!$A$1:$E$1841,5,0),"")</f>
        <v>0</v>
      </c>
      <c r="AI90" s="98" t="str">
        <f>IF($B90&lt;&gt;"",COUNTIF($D90:$AH90,'Setting '!$H$2),"")</f>
        <v/>
      </c>
      <c r="AJ90" s="98" t="str">
        <f>IF($B90&lt;&gt;"",COUNTIF($D90:$AH90,'Setting '!$H$3)/2,"")</f>
        <v/>
      </c>
      <c r="AK90" s="98" t="str">
        <f>IF($B90&lt;&gt;"",COUNTIF($D90:$AH90,'Setting '!$H$4),"")</f>
        <v/>
      </c>
      <c r="AL90" s="98" t="str">
        <f t="shared" si="39"/>
        <v/>
      </c>
      <c r="AM90" s="117" t="str">
        <f>IF(B90&lt;&gt;"",_xlfn.IFNA(VLOOKUP(B90,'Leave Credit Sheet'!B90:K183,10,0),""),"")</f>
        <v/>
      </c>
      <c r="AN90" s="98" t="str">
        <f t="shared" si="28"/>
        <v/>
      </c>
      <c r="AO90" s="106" t="str">
        <f>IF(B90&lt;&gt;"",_xlfn.IFNA(INDEX('CTC Sheet'!$C$6:$N$101,MATCH(AttendanceSheet!$B90,'CTC Sheet'!$A$6:$A$101,0),MATCH(AttendanceSheet!$T$1,'CTC Sheet'!$C$5:$N$5,0)),0),"")</f>
        <v/>
      </c>
      <c r="AP90" s="106" t="str">
        <f>IF(B90&lt;&gt;"",_xlfn.IFNA(INDEX('CTC Sheet'!$R$6:$AC$100,MATCH(AttendanceSheet!$B90,'CTC Sheet'!$P$6:$P$100,0),MATCH(AttendanceSheet!$T$1,'CTC Sheet'!$R$5:$AC$5,0)),0),"")</f>
        <v/>
      </c>
      <c r="AQ90" s="106" t="str">
        <f t="shared" si="29"/>
        <v/>
      </c>
      <c r="AR90" s="106" t="str">
        <f t="shared" si="30"/>
        <v/>
      </c>
      <c r="AS90" s="106" t="str">
        <f t="shared" si="31"/>
        <v/>
      </c>
      <c r="AT90" s="106" t="str">
        <f t="shared" si="32"/>
        <v/>
      </c>
      <c r="AU90" s="106" t="str">
        <f t="shared" si="33"/>
        <v/>
      </c>
      <c r="AV90" s="106" t="str">
        <f t="shared" si="34"/>
        <v/>
      </c>
      <c r="AW90" s="106" t="str">
        <f>IF(B90&lt;&gt;"",_xlfn.IFNA(INDEX('OtherArrear payment'!$A$1:$N$95,MATCH(AttendanceSheet!$B90,'OtherArrear payment'!$A$1:$A$95,0),MATCH(AttendanceSheet!$T$1,'OtherArrear payment'!$A$1:$N$1,0)),0),"")</f>
        <v/>
      </c>
      <c r="AX90" s="106" t="str">
        <f t="shared" si="40"/>
        <v/>
      </c>
      <c r="AY90" s="106">
        <f t="shared" si="35"/>
        <v>0</v>
      </c>
      <c r="AZ90" s="106">
        <f t="shared" si="36"/>
        <v>0</v>
      </c>
      <c r="BA90" s="106">
        <f t="shared" si="37"/>
        <v>0</v>
      </c>
      <c r="BB90" s="106">
        <f t="shared" si="38"/>
        <v>0</v>
      </c>
      <c r="BC90" s="106" t="str">
        <f>IF($B90&lt;&gt;"",IF(BL90="Yes",IF($BI90="Mr.",IF($AX90&lt;=7500,0,IF(AND($AX90&lt;10000,$AX90&gt;7501),175,IF(AND($AX90&gt;10000,'Setting '!$G$28&lt;&gt;11),200,300))),IF(AND($AX90&lt;=10000,$BI90="Ms."),0,IF(AND($AX90&gt;10000,'Setting '!$G$28&lt;&gt;11),200,300))),0),"")</f>
        <v/>
      </c>
      <c r="BD90" s="42"/>
      <c r="BE90" s="212" t="str">
        <f>IF($B90&lt;&gt;"",IF('Advance Sheet'!AF87&gt;=0,INDEX('Advance Sheet'!$Q$3:$AD$100,MATCH(AttendanceSheet!$B90,'Advance Sheet'!$Q$3:$Q$100,0),MATCH(AttendanceSheet!$T$1,'Advance Sheet'!$Q$3:$AD$3,)),0),"")</f>
        <v/>
      </c>
      <c r="BF90" s="137" t="str">
        <f t="shared" si="41"/>
        <v/>
      </c>
      <c r="BG90" s="97" t="str">
        <f>IF(B90&lt;&gt;"",VLOOKUP(B90,'Employee Details'!A89:S172,17,0),"")</f>
        <v/>
      </c>
      <c r="BH90" s="97" t="str">
        <f>IF(B90&lt;&gt;"",VLOOKUP(B90,'Employee Details'!A89:S172,18,0),"")</f>
        <v/>
      </c>
      <c r="BI90" s="40" t="str">
        <f>IF(B90&lt;&gt;"",VLOOKUP(B90,'Employee Details'!A88:S171,19,0),"")</f>
        <v/>
      </c>
      <c r="BJ90" s="38" t="str">
        <f>IF(B90&lt;&gt;"",VLOOKUP(B90,'Employee Details'!A89:D117,4,0),"")</f>
        <v/>
      </c>
      <c r="BK90" s="38" t="str">
        <f>IF(B90&lt;&gt;"",VLOOKUP(B90,'Employee Details'!A89:E172,5,0),"")</f>
        <v/>
      </c>
      <c r="BL90" s="210" t="str">
        <f>IF(B90&lt;&gt;"",VLOOKUP(B90,'Employee Details'!A89:U172,21,0),"")</f>
        <v/>
      </c>
    </row>
    <row r="91" spans="2:64" ht="16.5" thickTop="1" thickBot="1" x14ac:dyDescent="0.3">
      <c r="B91" s="37" t="str">
        <f>_xlfn.IFNA(INDEX('Employee Details'!$A$7:$A94,MATCH(AttendanceSheet!$C91,'Employee Details'!$B$7:$B100,0)),"")</f>
        <v/>
      </c>
      <c r="C91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'!$J$1:J85))),"")</f>
        <v/>
      </c>
      <c r="D91" s="39" t="str">
        <f>IFERROR(VLOOKUP($B91&amp;D$5,'Mark Leave'!$A$1:$E$1841,5,0),"")</f>
        <v/>
      </c>
      <c r="E91" s="39" t="str">
        <f>IFERROR(VLOOKUP($B91&amp;E$5,'Mark Leave'!$A$1:$E$1841,5,0),"")</f>
        <v/>
      </c>
      <c r="F91" s="39" t="str">
        <f>IFERROR(VLOOKUP($B91&amp;F$5,'Mark Leave'!$A$1:$E$1841,5,0),"")</f>
        <v/>
      </c>
      <c r="G91" s="39" t="str">
        <f>IFERROR(VLOOKUP($B91&amp;G$5,'Mark Leave'!$A$1:$E$1841,5,0),"")</f>
        <v/>
      </c>
      <c r="H91" s="39" t="str">
        <f>IFERROR(VLOOKUP($B91&amp;H$5,'Mark Leave'!$A$1:$E$1841,5,0),"")</f>
        <v/>
      </c>
      <c r="I91" s="39" t="str">
        <f>IFERROR(VLOOKUP($B91&amp;I$5,'Mark Leave'!$A$1:$E$1841,5,0),"")</f>
        <v/>
      </c>
      <c r="J91" s="39" t="str">
        <f>IFERROR(VLOOKUP($B91&amp;J$5,'Mark Leave'!$A$1:$E$1841,5,0),"")</f>
        <v/>
      </c>
      <c r="K91" s="39" t="str">
        <f>IFERROR(VLOOKUP($B91&amp;K$5,'Mark Leave'!$A$1:$E$1841,5,0),"")</f>
        <v/>
      </c>
      <c r="L91" s="39" t="str">
        <f>IFERROR(VLOOKUP($B91&amp;L$5,'Mark Leave'!$A$1:$E$1841,5,0),"")</f>
        <v/>
      </c>
      <c r="M91" s="39" t="str">
        <f>IFERROR(VLOOKUP($B91&amp;M$5,'Mark Leave'!$A$1:$E$1841,5,0),"")</f>
        <v/>
      </c>
      <c r="N91" s="39" t="str">
        <f>IFERROR(VLOOKUP($B91&amp;N$5,'Mark Leave'!$A$1:$E$1841,5,0),"")</f>
        <v/>
      </c>
      <c r="O91" s="39" t="str">
        <f>IFERROR(VLOOKUP($B91&amp;O$5,'Mark Leave'!$A$1:$E$1841,5,0),"")</f>
        <v/>
      </c>
      <c r="P91" s="39" t="str">
        <f>IFERROR(VLOOKUP($B91&amp;P$5,'Mark Leave'!$A$1:$E$1841,5,0),"")</f>
        <v/>
      </c>
      <c r="Q91" s="39" t="str">
        <f>IFERROR(VLOOKUP($B91&amp;Q$5,'Mark Leave'!$A$1:$E$1841,5,0),"")</f>
        <v/>
      </c>
      <c r="R91" s="39" t="str">
        <f>IFERROR(VLOOKUP($B91&amp;R$5,'Mark Leave'!$A$1:$E$1841,5,0),"")</f>
        <v/>
      </c>
      <c r="S91" s="39" t="str">
        <f>IFERROR(VLOOKUP($B91&amp;S$5,'Mark Leave'!$A$1:$E$1841,5,0),"")</f>
        <v/>
      </c>
      <c r="T91" s="39" t="str">
        <f>IFERROR(VLOOKUP($B91&amp;T$5,'Mark Leave'!$A$1:$E$1841,5,0),"")</f>
        <v/>
      </c>
      <c r="U91" s="39" t="str">
        <f>IFERROR(VLOOKUP($B91&amp;U$5,'Mark Leave'!$A$1:$E$1841,5,0),"")</f>
        <v/>
      </c>
      <c r="V91" s="39" t="str">
        <f>IFERROR(VLOOKUP($B91&amp;V$5,'Mark Leave'!$A$1:$E$1841,5,0),"")</f>
        <v/>
      </c>
      <c r="W91" s="39" t="str">
        <f>IFERROR(VLOOKUP($B91&amp;W$5,'Mark Leave'!$A$1:$E$1841,5,0),"")</f>
        <v/>
      </c>
      <c r="X91" s="39" t="str">
        <f>IFERROR(VLOOKUP($B91&amp;X$5,'Mark Leave'!$A$1:$E$1841,5,0),"")</f>
        <v/>
      </c>
      <c r="Y91" s="39" t="str">
        <f>IFERROR(VLOOKUP($B91&amp;Y$5,'Mark Leave'!$A$1:$E$1841,5,0),"")</f>
        <v/>
      </c>
      <c r="Z91" s="39" t="str">
        <f>IFERROR(VLOOKUP($B91&amp;Z$5,'Mark Leave'!$A$1:$E$1841,5,0),"")</f>
        <v/>
      </c>
      <c r="AA91" s="39" t="str">
        <f>IFERROR(VLOOKUP($B91&amp;AA$5,'Mark Leave'!$A$1:$E$1841,5,0),"")</f>
        <v/>
      </c>
      <c r="AB91" s="39" t="str">
        <f>IFERROR(VLOOKUP($B91&amp;AB$5,'Mark Leave'!$A$1:$E$1841,5,0),"")</f>
        <v/>
      </c>
      <c r="AC91" s="39" t="str">
        <f>IFERROR(VLOOKUP($B91&amp;AC$5,'Mark Leave'!$A$1:$E$1841,5,0),"")</f>
        <v/>
      </c>
      <c r="AD91" s="39" t="str">
        <f>IFERROR(VLOOKUP($B91&amp;AD$5,'Mark Leave'!$A$1:$E$1841,5,0),"")</f>
        <v/>
      </c>
      <c r="AE91" s="39" t="str">
        <f>IFERROR(VLOOKUP($B91&amp;AE$5,'Mark Leave'!$A$1:$E$1841,5,0),"")</f>
        <v/>
      </c>
      <c r="AF91" s="39" t="str">
        <f>IFERROR(VLOOKUP($B91&amp;AF$5,'Mark Leave'!$A$1:$E$1841,5,0),"")</f>
        <v/>
      </c>
      <c r="AG91" s="39" t="str">
        <f>IFERROR(VLOOKUP($B91&amp;AG$5,'Mark Leave'!$A$1:$E$1841,5,0),"")</f>
        <v/>
      </c>
      <c r="AH91" s="39">
        <f>IFERROR(VLOOKUP($B91&amp;AH$5,'Mark Leave'!$A$1:$E$1841,5,0),"")</f>
        <v>0</v>
      </c>
      <c r="AI91" s="98" t="str">
        <f>IF($B91&lt;&gt;"",COUNTIF($D91:$AH91,'Setting '!$H$2),"")</f>
        <v/>
      </c>
      <c r="AJ91" s="98" t="str">
        <f>IF($B91&lt;&gt;"",COUNTIF($D91:$AH91,'Setting '!$H$3)/2,"")</f>
        <v/>
      </c>
      <c r="AK91" s="98" t="str">
        <f>IF($B91&lt;&gt;"",COUNTIF($D91:$AH91,'Setting '!$H$4),"")</f>
        <v/>
      </c>
      <c r="AL91" s="98" t="str">
        <f t="shared" si="39"/>
        <v/>
      </c>
      <c r="AM91" s="117" t="str">
        <f>IF(B91&lt;&gt;"",_xlfn.IFNA(VLOOKUP(B91,'Leave Credit Sheet'!B91:K184,10,0),""),"")</f>
        <v/>
      </c>
      <c r="AN91" s="98" t="str">
        <f t="shared" si="28"/>
        <v/>
      </c>
      <c r="AO91" s="106" t="str">
        <f>IF(B91&lt;&gt;"",_xlfn.IFNA(INDEX('CTC Sheet'!$C$6:$N$101,MATCH(AttendanceSheet!$B91,'CTC Sheet'!$A$6:$A$101,0),MATCH(AttendanceSheet!$T$1,'CTC Sheet'!$C$5:$N$5,0)),0),"")</f>
        <v/>
      </c>
      <c r="AP91" s="106" t="str">
        <f>IF(B91&lt;&gt;"",_xlfn.IFNA(INDEX('CTC Sheet'!$R$6:$AC$100,MATCH(AttendanceSheet!$B91,'CTC Sheet'!$P$6:$P$100,0),MATCH(AttendanceSheet!$T$1,'CTC Sheet'!$R$5:$AC$5,0)),0),"")</f>
        <v/>
      </c>
      <c r="AQ91" s="106" t="str">
        <f t="shared" si="29"/>
        <v/>
      </c>
      <c r="AR91" s="106" t="str">
        <f t="shared" si="30"/>
        <v/>
      </c>
      <c r="AS91" s="106" t="str">
        <f t="shared" si="31"/>
        <v/>
      </c>
      <c r="AT91" s="106" t="str">
        <f t="shared" si="32"/>
        <v/>
      </c>
      <c r="AU91" s="106" t="str">
        <f t="shared" si="33"/>
        <v/>
      </c>
      <c r="AV91" s="106" t="str">
        <f t="shared" si="34"/>
        <v/>
      </c>
      <c r="AW91" s="106" t="str">
        <f>IF(B91&lt;&gt;"",_xlfn.IFNA(INDEX('OtherArrear payment'!$A$1:$N$95,MATCH(AttendanceSheet!$B91,'OtherArrear payment'!$A$1:$A$95,0),MATCH(AttendanceSheet!$T$1,'OtherArrear payment'!$A$1:$N$1,0)),0),"")</f>
        <v/>
      </c>
      <c r="AX91" s="106" t="str">
        <f t="shared" si="40"/>
        <v/>
      </c>
      <c r="AY91" s="106">
        <f t="shared" si="35"/>
        <v>0</v>
      </c>
      <c r="AZ91" s="106">
        <f t="shared" si="36"/>
        <v>0</v>
      </c>
      <c r="BA91" s="106">
        <f t="shared" si="37"/>
        <v>0</v>
      </c>
      <c r="BB91" s="106">
        <f t="shared" si="38"/>
        <v>0</v>
      </c>
      <c r="BC91" s="106" t="str">
        <f>IF($B91&lt;&gt;"",IF(BL91="Yes",IF($BI91="Mr.",IF($AX91&lt;=7500,0,IF(AND($AX91&lt;10000,$AX91&gt;7501),175,IF(AND($AX91&gt;10000,'Setting '!$G$28&lt;&gt;11),200,300))),IF(AND($AX91&lt;=10000,$BI91="Ms."),0,IF(AND($AX91&gt;10000,'Setting '!$G$28&lt;&gt;11),200,300))),0),"")</f>
        <v/>
      </c>
      <c r="BD91" s="42"/>
      <c r="BE91" s="212" t="str">
        <f>IF($B91&lt;&gt;"",IF('Advance Sheet'!AF88&gt;=0,INDEX('Advance Sheet'!$Q$3:$AD$100,MATCH(AttendanceSheet!$B91,'Advance Sheet'!$Q$3:$Q$100,0),MATCH(AttendanceSheet!$T$1,'Advance Sheet'!$Q$3:$AD$3,)),0),"")</f>
        <v/>
      </c>
      <c r="BF91" s="137" t="str">
        <f t="shared" si="41"/>
        <v/>
      </c>
      <c r="BG91" s="97" t="str">
        <f>IF(B91&lt;&gt;"",VLOOKUP(B91,'Employee Details'!A90:S173,17,0),"")</f>
        <v/>
      </c>
      <c r="BH91" s="97" t="str">
        <f>IF(B91&lt;&gt;"",VLOOKUP(B91,'Employee Details'!A90:S173,18,0),"")</f>
        <v/>
      </c>
      <c r="BI91" s="40" t="str">
        <f>IF(B91&lt;&gt;"",VLOOKUP(B91,'Employee Details'!A89:S172,19,0),"")</f>
        <v/>
      </c>
      <c r="BJ91" s="38" t="str">
        <f>IF(B91&lt;&gt;"",VLOOKUP(B91,'Employee Details'!A90:D118,4,0),"")</f>
        <v/>
      </c>
      <c r="BK91" s="38" t="str">
        <f>IF(B91&lt;&gt;"",VLOOKUP(B91,'Employee Details'!A90:E173,5,0),"")</f>
        <v/>
      </c>
      <c r="BL91" s="210" t="str">
        <f>IF(B91&lt;&gt;"",VLOOKUP(B91,'Employee Details'!A90:U173,21,0),"")</f>
        <v/>
      </c>
    </row>
    <row r="92" spans="2:64" ht="16.5" thickTop="1" thickBot="1" x14ac:dyDescent="0.3">
      <c r="B92" s="37" t="str">
        <f>_xlfn.IFNA(INDEX('Employee Details'!$A$7:$A95,MATCH(AttendanceSheet!$C92,'Employee Details'!$B$7:$B100,0)),"")</f>
        <v/>
      </c>
      <c r="C92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'!$J$1:J86))),"")</f>
        <v/>
      </c>
      <c r="D92" s="39" t="str">
        <f>IFERROR(VLOOKUP($B92&amp;D$5,'Mark Leave'!$A$1:$E$1841,5,0),"")</f>
        <v/>
      </c>
      <c r="E92" s="39" t="str">
        <f>IFERROR(VLOOKUP($B92&amp;E$5,'Mark Leave'!$A$1:$E$1841,5,0),"")</f>
        <v/>
      </c>
      <c r="F92" s="39" t="str">
        <f>IFERROR(VLOOKUP($B92&amp;F$5,'Mark Leave'!$A$1:$E$1841,5,0),"")</f>
        <v/>
      </c>
      <c r="G92" s="39" t="str">
        <f>IFERROR(VLOOKUP($B92&amp;G$5,'Mark Leave'!$A$1:$E$1841,5,0),"")</f>
        <v/>
      </c>
      <c r="H92" s="39" t="str">
        <f>IFERROR(VLOOKUP($B92&amp;H$5,'Mark Leave'!$A$1:$E$1841,5,0),"")</f>
        <v/>
      </c>
      <c r="I92" s="39" t="str">
        <f>IFERROR(VLOOKUP($B92&amp;I$5,'Mark Leave'!$A$1:$E$1841,5,0),"")</f>
        <v/>
      </c>
      <c r="J92" s="39" t="str">
        <f>IFERROR(VLOOKUP($B92&amp;J$5,'Mark Leave'!$A$1:$E$1841,5,0),"")</f>
        <v/>
      </c>
      <c r="K92" s="39" t="str">
        <f>IFERROR(VLOOKUP($B92&amp;K$5,'Mark Leave'!$A$1:$E$1841,5,0),"")</f>
        <v/>
      </c>
      <c r="L92" s="39" t="str">
        <f>IFERROR(VLOOKUP($B92&amp;L$5,'Mark Leave'!$A$1:$E$1841,5,0),"")</f>
        <v/>
      </c>
      <c r="M92" s="39" t="str">
        <f>IFERROR(VLOOKUP($B92&amp;M$5,'Mark Leave'!$A$1:$E$1841,5,0),"")</f>
        <v/>
      </c>
      <c r="N92" s="39" t="str">
        <f>IFERROR(VLOOKUP($B92&amp;N$5,'Mark Leave'!$A$1:$E$1841,5,0),"")</f>
        <v/>
      </c>
      <c r="O92" s="39" t="str">
        <f>IFERROR(VLOOKUP($B92&amp;O$5,'Mark Leave'!$A$1:$E$1841,5,0),"")</f>
        <v/>
      </c>
      <c r="P92" s="39" t="str">
        <f>IFERROR(VLOOKUP($B92&amp;P$5,'Mark Leave'!$A$1:$E$1841,5,0),"")</f>
        <v/>
      </c>
      <c r="Q92" s="39" t="str">
        <f>IFERROR(VLOOKUP($B92&amp;Q$5,'Mark Leave'!$A$1:$E$1841,5,0),"")</f>
        <v/>
      </c>
      <c r="R92" s="39" t="str">
        <f>IFERROR(VLOOKUP($B92&amp;R$5,'Mark Leave'!$A$1:$E$1841,5,0),"")</f>
        <v/>
      </c>
      <c r="S92" s="39" t="str">
        <f>IFERROR(VLOOKUP($B92&amp;S$5,'Mark Leave'!$A$1:$E$1841,5,0),"")</f>
        <v/>
      </c>
      <c r="T92" s="39" t="str">
        <f>IFERROR(VLOOKUP($B92&amp;T$5,'Mark Leave'!$A$1:$E$1841,5,0),"")</f>
        <v/>
      </c>
      <c r="U92" s="39" t="str">
        <f>IFERROR(VLOOKUP($B92&amp;U$5,'Mark Leave'!$A$1:$E$1841,5,0),"")</f>
        <v/>
      </c>
      <c r="V92" s="39" t="str">
        <f>IFERROR(VLOOKUP($B92&amp;V$5,'Mark Leave'!$A$1:$E$1841,5,0),"")</f>
        <v/>
      </c>
      <c r="W92" s="39" t="str">
        <f>IFERROR(VLOOKUP($B92&amp;W$5,'Mark Leave'!$A$1:$E$1841,5,0),"")</f>
        <v/>
      </c>
      <c r="X92" s="39" t="str">
        <f>IFERROR(VLOOKUP($B92&amp;X$5,'Mark Leave'!$A$1:$E$1841,5,0),"")</f>
        <v/>
      </c>
      <c r="Y92" s="39" t="str">
        <f>IFERROR(VLOOKUP($B92&amp;Y$5,'Mark Leave'!$A$1:$E$1841,5,0),"")</f>
        <v/>
      </c>
      <c r="Z92" s="39" t="str">
        <f>IFERROR(VLOOKUP($B92&amp;Z$5,'Mark Leave'!$A$1:$E$1841,5,0),"")</f>
        <v/>
      </c>
      <c r="AA92" s="39" t="str">
        <f>IFERROR(VLOOKUP($B92&amp;AA$5,'Mark Leave'!$A$1:$E$1841,5,0),"")</f>
        <v/>
      </c>
      <c r="AB92" s="39" t="str">
        <f>IFERROR(VLOOKUP($B92&amp;AB$5,'Mark Leave'!$A$1:$E$1841,5,0),"")</f>
        <v/>
      </c>
      <c r="AC92" s="39" t="str">
        <f>IFERROR(VLOOKUP($B92&amp;AC$5,'Mark Leave'!$A$1:$E$1841,5,0),"")</f>
        <v/>
      </c>
      <c r="AD92" s="39" t="str">
        <f>IFERROR(VLOOKUP($B92&amp;AD$5,'Mark Leave'!$A$1:$E$1841,5,0),"")</f>
        <v/>
      </c>
      <c r="AE92" s="39" t="str">
        <f>IFERROR(VLOOKUP($B92&amp;AE$5,'Mark Leave'!$A$1:$E$1841,5,0),"")</f>
        <v/>
      </c>
      <c r="AF92" s="39" t="str">
        <f>IFERROR(VLOOKUP($B92&amp;AF$5,'Mark Leave'!$A$1:$E$1841,5,0),"")</f>
        <v/>
      </c>
      <c r="AG92" s="39" t="str">
        <f>IFERROR(VLOOKUP($B92&amp;AG$5,'Mark Leave'!$A$1:$E$1841,5,0),"")</f>
        <v/>
      </c>
      <c r="AH92" s="39">
        <f>IFERROR(VLOOKUP($B92&amp;AH$5,'Mark Leave'!$A$1:$E$1841,5,0),"")</f>
        <v>0</v>
      </c>
      <c r="AI92" s="98" t="str">
        <f>IF($B92&lt;&gt;"",COUNTIF($D92:$AH92,'Setting '!$H$2),"")</f>
        <v/>
      </c>
      <c r="AJ92" s="98" t="str">
        <f>IF($B92&lt;&gt;"",COUNTIF($D92:$AH92,'Setting '!$H$3)/2,"")</f>
        <v/>
      </c>
      <c r="AK92" s="98" t="str">
        <f>IF($B92&lt;&gt;"",COUNTIF($D92:$AH92,'Setting '!$H$4),"")</f>
        <v/>
      </c>
      <c r="AL92" s="98" t="str">
        <f t="shared" si="39"/>
        <v/>
      </c>
      <c r="AM92" s="117" t="str">
        <f>IF(B92&lt;&gt;"",_xlfn.IFNA(VLOOKUP(B92,'Leave Credit Sheet'!B92:K185,10,0),""),"")</f>
        <v/>
      </c>
      <c r="AN92" s="98" t="str">
        <f t="shared" si="28"/>
        <v/>
      </c>
      <c r="AO92" s="106" t="str">
        <f>IF(B92&lt;&gt;"",_xlfn.IFNA(INDEX('CTC Sheet'!$C$6:$N$101,MATCH(AttendanceSheet!$B92,'CTC Sheet'!$A$6:$A$101,0),MATCH(AttendanceSheet!$T$1,'CTC Sheet'!$C$5:$N$5,0)),0),"")</f>
        <v/>
      </c>
      <c r="AP92" s="106" t="str">
        <f>IF(B92&lt;&gt;"",_xlfn.IFNA(INDEX('CTC Sheet'!$R$6:$AC$100,MATCH(AttendanceSheet!$B92,'CTC Sheet'!$P$6:$P$100,0),MATCH(AttendanceSheet!$T$1,'CTC Sheet'!$R$5:$AC$5,0)),0),"")</f>
        <v/>
      </c>
      <c r="AQ92" s="106" t="str">
        <f t="shared" si="29"/>
        <v/>
      </c>
      <c r="AR92" s="106" t="str">
        <f t="shared" si="30"/>
        <v/>
      </c>
      <c r="AS92" s="106" t="str">
        <f t="shared" si="31"/>
        <v/>
      </c>
      <c r="AT92" s="106" t="str">
        <f t="shared" si="32"/>
        <v/>
      </c>
      <c r="AU92" s="106" t="str">
        <f t="shared" si="33"/>
        <v/>
      </c>
      <c r="AV92" s="106" t="str">
        <f t="shared" si="34"/>
        <v/>
      </c>
      <c r="AW92" s="106" t="str">
        <f>IF(B92&lt;&gt;"",_xlfn.IFNA(INDEX('OtherArrear payment'!$A$1:$N$95,MATCH(AttendanceSheet!$B92,'OtherArrear payment'!$A$1:$A$95,0),MATCH(AttendanceSheet!$T$1,'OtherArrear payment'!$A$1:$N$1,0)),0),"")</f>
        <v/>
      </c>
      <c r="AX92" s="106" t="str">
        <f t="shared" si="40"/>
        <v/>
      </c>
      <c r="AY92" s="106">
        <f t="shared" si="35"/>
        <v>0</v>
      </c>
      <c r="AZ92" s="106">
        <f t="shared" si="36"/>
        <v>0</v>
      </c>
      <c r="BA92" s="106">
        <f t="shared" si="37"/>
        <v>0</v>
      </c>
      <c r="BB92" s="106">
        <f t="shared" si="38"/>
        <v>0</v>
      </c>
      <c r="BC92" s="106" t="str">
        <f>IF($B92&lt;&gt;"",IF(BL92="Yes",IF($BI92="Mr.",IF($AX92&lt;=7500,0,IF(AND($AX92&lt;10000,$AX92&gt;7501),175,IF(AND($AX92&gt;10000,'Setting '!$G$28&lt;&gt;11),200,300))),IF(AND($AX92&lt;=10000,$BI92="Ms."),0,IF(AND($AX92&gt;10000,'Setting '!$G$28&lt;&gt;11),200,300))),0),"")</f>
        <v/>
      </c>
      <c r="BD92" s="42"/>
      <c r="BE92" s="212" t="str">
        <f>IF($B92&lt;&gt;"",IF('Advance Sheet'!AF89&gt;=0,INDEX('Advance Sheet'!$Q$3:$AD$100,MATCH(AttendanceSheet!$B92,'Advance Sheet'!$Q$3:$Q$100,0),MATCH(AttendanceSheet!$T$1,'Advance Sheet'!$Q$3:$AD$3,)),0),"")</f>
        <v/>
      </c>
      <c r="BF92" s="137" t="str">
        <f t="shared" si="41"/>
        <v/>
      </c>
      <c r="BG92" s="97" t="str">
        <f>IF(B92&lt;&gt;"",VLOOKUP(B92,'Employee Details'!A91:S174,17,0),"")</f>
        <v/>
      </c>
      <c r="BH92" s="97" t="str">
        <f>IF(B92&lt;&gt;"",VLOOKUP(B92,'Employee Details'!A91:S174,18,0),"")</f>
        <v/>
      </c>
      <c r="BI92" s="40" t="str">
        <f>IF(B92&lt;&gt;"",VLOOKUP(B92,'Employee Details'!A90:S173,19,0),"")</f>
        <v/>
      </c>
      <c r="BJ92" s="38" t="str">
        <f>IF(B92&lt;&gt;"",VLOOKUP(B92,'Employee Details'!A91:D119,4,0),"")</f>
        <v/>
      </c>
      <c r="BK92" s="38" t="str">
        <f>IF(B92&lt;&gt;"",VLOOKUP(B92,'Employee Details'!A91:E174,5,0),"")</f>
        <v/>
      </c>
      <c r="BL92" s="210" t="str">
        <f>IF(B92&lt;&gt;"",VLOOKUP(B92,'Employee Details'!A91:U174,21,0),"")</f>
        <v/>
      </c>
    </row>
    <row r="93" spans="2:64" ht="16.5" thickTop="1" thickBot="1" x14ac:dyDescent="0.3">
      <c r="B93" s="37" t="str">
        <f>_xlfn.IFNA(INDEX('Employee Details'!$A$7:$A96,MATCH(AttendanceSheet!$C93,'Employee Details'!$B$7:$B100,0)),"")</f>
        <v/>
      </c>
      <c r="C93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'!$J$1:J87))),"")</f>
        <v/>
      </c>
      <c r="D93" s="39" t="str">
        <f>IFERROR(VLOOKUP($B93&amp;D$5,'Mark Leave'!$A$1:$E$1841,5,0),"")</f>
        <v/>
      </c>
      <c r="E93" s="39" t="str">
        <f>IFERROR(VLOOKUP($B93&amp;E$5,'Mark Leave'!$A$1:$E$1841,5,0),"")</f>
        <v/>
      </c>
      <c r="F93" s="39" t="str">
        <f>IFERROR(VLOOKUP($B93&amp;F$5,'Mark Leave'!$A$1:$E$1841,5,0),"")</f>
        <v/>
      </c>
      <c r="G93" s="39" t="str">
        <f>IFERROR(VLOOKUP($B93&amp;G$5,'Mark Leave'!$A$1:$E$1841,5,0),"")</f>
        <v/>
      </c>
      <c r="H93" s="39" t="str">
        <f>IFERROR(VLOOKUP($B93&amp;H$5,'Mark Leave'!$A$1:$E$1841,5,0),"")</f>
        <v/>
      </c>
      <c r="I93" s="39" t="str">
        <f>IFERROR(VLOOKUP($B93&amp;I$5,'Mark Leave'!$A$1:$E$1841,5,0),"")</f>
        <v/>
      </c>
      <c r="J93" s="39" t="str">
        <f>IFERROR(VLOOKUP($B93&amp;J$5,'Mark Leave'!$A$1:$E$1841,5,0),"")</f>
        <v/>
      </c>
      <c r="K93" s="39" t="str">
        <f>IFERROR(VLOOKUP($B93&amp;K$5,'Mark Leave'!$A$1:$E$1841,5,0),"")</f>
        <v/>
      </c>
      <c r="L93" s="39" t="str">
        <f>IFERROR(VLOOKUP($B93&amp;L$5,'Mark Leave'!$A$1:$E$1841,5,0),"")</f>
        <v/>
      </c>
      <c r="M93" s="39" t="str">
        <f>IFERROR(VLOOKUP($B93&amp;M$5,'Mark Leave'!$A$1:$E$1841,5,0),"")</f>
        <v/>
      </c>
      <c r="N93" s="39" t="str">
        <f>IFERROR(VLOOKUP($B93&amp;N$5,'Mark Leave'!$A$1:$E$1841,5,0),"")</f>
        <v/>
      </c>
      <c r="O93" s="39" t="str">
        <f>IFERROR(VLOOKUP($B93&amp;O$5,'Mark Leave'!$A$1:$E$1841,5,0),"")</f>
        <v/>
      </c>
      <c r="P93" s="39" t="str">
        <f>IFERROR(VLOOKUP($B93&amp;P$5,'Mark Leave'!$A$1:$E$1841,5,0),"")</f>
        <v/>
      </c>
      <c r="Q93" s="39" t="str">
        <f>IFERROR(VLOOKUP($B93&amp;Q$5,'Mark Leave'!$A$1:$E$1841,5,0),"")</f>
        <v/>
      </c>
      <c r="R93" s="39" t="str">
        <f>IFERROR(VLOOKUP($B93&amp;R$5,'Mark Leave'!$A$1:$E$1841,5,0),"")</f>
        <v/>
      </c>
      <c r="S93" s="39" t="str">
        <f>IFERROR(VLOOKUP($B93&amp;S$5,'Mark Leave'!$A$1:$E$1841,5,0),"")</f>
        <v/>
      </c>
      <c r="T93" s="39" t="str">
        <f>IFERROR(VLOOKUP($B93&amp;T$5,'Mark Leave'!$A$1:$E$1841,5,0),"")</f>
        <v/>
      </c>
      <c r="U93" s="39" t="str">
        <f>IFERROR(VLOOKUP($B93&amp;U$5,'Mark Leave'!$A$1:$E$1841,5,0),"")</f>
        <v/>
      </c>
      <c r="V93" s="39" t="str">
        <f>IFERROR(VLOOKUP($B93&amp;V$5,'Mark Leave'!$A$1:$E$1841,5,0),"")</f>
        <v/>
      </c>
      <c r="W93" s="39" t="str">
        <f>IFERROR(VLOOKUP($B93&amp;W$5,'Mark Leave'!$A$1:$E$1841,5,0),"")</f>
        <v/>
      </c>
      <c r="X93" s="39" t="str">
        <f>IFERROR(VLOOKUP($B93&amp;X$5,'Mark Leave'!$A$1:$E$1841,5,0),"")</f>
        <v/>
      </c>
      <c r="Y93" s="39" t="str">
        <f>IFERROR(VLOOKUP($B93&amp;Y$5,'Mark Leave'!$A$1:$E$1841,5,0),"")</f>
        <v/>
      </c>
      <c r="Z93" s="39" t="str">
        <f>IFERROR(VLOOKUP($B93&amp;Z$5,'Mark Leave'!$A$1:$E$1841,5,0),"")</f>
        <v/>
      </c>
      <c r="AA93" s="39" t="str">
        <f>IFERROR(VLOOKUP($B93&amp;AA$5,'Mark Leave'!$A$1:$E$1841,5,0),"")</f>
        <v/>
      </c>
      <c r="AB93" s="39" t="str">
        <f>IFERROR(VLOOKUP($B93&amp;AB$5,'Mark Leave'!$A$1:$E$1841,5,0),"")</f>
        <v/>
      </c>
      <c r="AC93" s="39" t="str">
        <f>IFERROR(VLOOKUP($B93&amp;AC$5,'Mark Leave'!$A$1:$E$1841,5,0),"")</f>
        <v/>
      </c>
      <c r="AD93" s="39" t="str">
        <f>IFERROR(VLOOKUP($B93&amp;AD$5,'Mark Leave'!$A$1:$E$1841,5,0),"")</f>
        <v/>
      </c>
      <c r="AE93" s="39" t="str">
        <f>IFERROR(VLOOKUP($B93&amp;AE$5,'Mark Leave'!$A$1:$E$1841,5,0),"")</f>
        <v/>
      </c>
      <c r="AF93" s="39" t="str">
        <f>IFERROR(VLOOKUP($B93&amp;AF$5,'Mark Leave'!$A$1:$E$1841,5,0),"")</f>
        <v/>
      </c>
      <c r="AG93" s="39" t="str">
        <f>IFERROR(VLOOKUP($B93&amp;AG$5,'Mark Leave'!$A$1:$E$1841,5,0),"")</f>
        <v/>
      </c>
      <c r="AH93" s="39">
        <f>IFERROR(VLOOKUP($B93&amp;AH$5,'Mark Leave'!$A$1:$E$1841,5,0),"")</f>
        <v>0</v>
      </c>
      <c r="AI93" s="98" t="str">
        <f>IF($B93&lt;&gt;"",COUNTIF($D93:$AH93,'Setting '!$H$2),"")</f>
        <v/>
      </c>
      <c r="AJ93" s="98" t="str">
        <f>IF($B93&lt;&gt;"",COUNTIF($D93:$AH93,'Setting '!$H$3)/2,"")</f>
        <v/>
      </c>
      <c r="AK93" s="98" t="str">
        <f>IF($B93&lt;&gt;"",COUNTIF($D93:$AH93,'Setting '!$H$4),"")</f>
        <v/>
      </c>
      <c r="AL93" s="98" t="str">
        <f t="shared" si="39"/>
        <v/>
      </c>
      <c r="AM93" s="117" t="str">
        <f>IF(B93&lt;&gt;"",_xlfn.IFNA(VLOOKUP(B93,'Leave Credit Sheet'!B93:K186,10,0),""),"")</f>
        <v/>
      </c>
      <c r="AN93" s="98" t="str">
        <f t="shared" si="28"/>
        <v/>
      </c>
      <c r="AO93" s="106" t="str">
        <f>IF(B93&lt;&gt;"",_xlfn.IFNA(INDEX('CTC Sheet'!$C$6:$N$101,MATCH(AttendanceSheet!$B93,'CTC Sheet'!$A$6:$A$101,0),MATCH(AttendanceSheet!$T$1,'CTC Sheet'!$C$5:$N$5,0)),0),"")</f>
        <v/>
      </c>
      <c r="AP93" s="106" t="str">
        <f>IF(B93&lt;&gt;"",_xlfn.IFNA(INDEX('CTC Sheet'!$R$6:$AC$100,MATCH(AttendanceSheet!$B93,'CTC Sheet'!$P$6:$P$100,0),MATCH(AttendanceSheet!$T$1,'CTC Sheet'!$R$5:$AC$5,0)),0),"")</f>
        <v/>
      </c>
      <c r="AQ93" s="106" t="str">
        <f t="shared" si="29"/>
        <v/>
      </c>
      <c r="AR93" s="106" t="str">
        <f t="shared" si="30"/>
        <v/>
      </c>
      <c r="AS93" s="106" t="str">
        <f t="shared" si="31"/>
        <v/>
      </c>
      <c r="AT93" s="106" t="str">
        <f t="shared" si="32"/>
        <v/>
      </c>
      <c r="AU93" s="106" t="str">
        <f t="shared" si="33"/>
        <v/>
      </c>
      <c r="AV93" s="106" t="str">
        <f t="shared" si="34"/>
        <v/>
      </c>
      <c r="AW93" s="106" t="str">
        <f>IF(B93&lt;&gt;"",_xlfn.IFNA(INDEX('OtherArrear payment'!$A$1:$N$95,MATCH(AttendanceSheet!$B93,'OtherArrear payment'!$A$1:$A$95,0),MATCH(AttendanceSheet!$T$1,'OtherArrear payment'!$A$1:$N$1,0)),0),"")</f>
        <v/>
      </c>
      <c r="AX93" s="106" t="str">
        <f t="shared" si="40"/>
        <v/>
      </c>
      <c r="AY93" s="106">
        <f t="shared" si="35"/>
        <v>0</v>
      </c>
      <c r="AZ93" s="106">
        <f t="shared" si="36"/>
        <v>0</v>
      </c>
      <c r="BA93" s="106">
        <f t="shared" si="37"/>
        <v>0</v>
      </c>
      <c r="BB93" s="106">
        <f t="shared" si="38"/>
        <v>0</v>
      </c>
      <c r="BC93" s="106" t="str">
        <f>IF($B93&lt;&gt;"",IF(BL93="Yes",IF($BI93="Mr.",IF($AX93&lt;=7500,0,IF(AND($AX93&lt;10000,$AX93&gt;7501),175,IF(AND($AX93&gt;10000,'Setting '!$G$28&lt;&gt;11),200,300))),IF(AND($AX93&lt;=10000,$BI93="Ms."),0,IF(AND($AX93&gt;10000,'Setting '!$G$28&lt;&gt;11),200,300))),0),"")</f>
        <v/>
      </c>
      <c r="BD93" s="42"/>
      <c r="BE93" s="212" t="str">
        <f>IF($B93&lt;&gt;"",IF('Advance Sheet'!AF90&gt;=0,INDEX('Advance Sheet'!$Q$3:$AD$100,MATCH(AttendanceSheet!$B93,'Advance Sheet'!$Q$3:$Q$100,0),MATCH(AttendanceSheet!$T$1,'Advance Sheet'!$Q$3:$AD$3,)),0),"")</f>
        <v/>
      </c>
      <c r="BF93" s="137" t="str">
        <f t="shared" si="41"/>
        <v/>
      </c>
      <c r="BG93" s="97" t="str">
        <f>IF(B93&lt;&gt;"",VLOOKUP(B93,'Employee Details'!A92:S175,17,0),"")</f>
        <v/>
      </c>
      <c r="BH93" s="97" t="str">
        <f>IF(B93&lt;&gt;"",VLOOKUP(B93,'Employee Details'!A92:S175,18,0),"")</f>
        <v/>
      </c>
      <c r="BI93" s="40" t="str">
        <f>IF(B93&lt;&gt;"",VLOOKUP(B93,'Employee Details'!A91:S174,19,0),"")</f>
        <v/>
      </c>
      <c r="BJ93" s="38" t="str">
        <f>IF(B93&lt;&gt;"",VLOOKUP(B93,'Employee Details'!A92:D120,4,0),"")</f>
        <v/>
      </c>
      <c r="BK93" s="38" t="str">
        <f>IF(B93&lt;&gt;"",VLOOKUP(B93,'Employee Details'!A92:E175,5,0),"")</f>
        <v/>
      </c>
      <c r="BL93" s="210" t="str">
        <f>IF(B93&lt;&gt;"",VLOOKUP(B93,'Employee Details'!A92:U175,21,0),"")</f>
        <v/>
      </c>
    </row>
    <row r="94" spans="2:64" ht="16.5" thickTop="1" thickBot="1" x14ac:dyDescent="0.3">
      <c r="B94" s="37" t="str">
        <f>_xlfn.IFNA(INDEX('Employee Details'!$A$7:$A97,MATCH(AttendanceSheet!$C94,'Employee Details'!$B$7:$B100,0)),"")</f>
        <v/>
      </c>
      <c r="C94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'!$J$1:J88))),"")</f>
        <v/>
      </c>
      <c r="D94" s="39" t="str">
        <f>IFERROR(VLOOKUP($B94&amp;D$5,'Mark Leave'!$A$1:$E$1841,5,0),"")</f>
        <v/>
      </c>
      <c r="E94" s="39" t="str">
        <f>IFERROR(VLOOKUP($B94&amp;E$5,'Mark Leave'!$A$1:$E$1841,5,0),"")</f>
        <v/>
      </c>
      <c r="F94" s="39" t="str">
        <f>IFERROR(VLOOKUP($B94&amp;F$5,'Mark Leave'!$A$1:$E$1841,5,0),"")</f>
        <v/>
      </c>
      <c r="G94" s="39" t="str">
        <f>IFERROR(VLOOKUP($B94&amp;G$5,'Mark Leave'!$A$1:$E$1841,5,0),"")</f>
        <v/>
      </c>
      <c r="H94" s="39" t="str">
        <f>IFERROR(VLOOKUP($B94&amp;H$5,'Mark Leave'!$A$1:$E$1841,5,0),"")</f>
        <v/>
      </c>
      <c r="I94" s="39" t="str">
        <f>IFERROR(VLOOKUP($B94&amp;I$5,'Mark Leave'!$A$1:$E$1841,5,0),"")</f>
        <v/>
      </c>
      <c r="J94" s="39" t="str">
        <f>IFERROR(VLOOKUP($B94&amp;J$5,'Mark Leave'!$A$1:$E$1841,5,0),"")</f>
        <v/>
      </c>
      <c r="K94" s="39" t="str">
        <f>IFERROR(VLOOKUP($B94&amp;K$5,'Mark Leave'!$A$1:$E$1841,5,0),"")</f>
        <v/>
      </c>
      <c r="L94" s="39" t="str">
        <f>IFERROR(VLOOKUP($B94&amp;L$5,'Mark Leave'!$A$1:$E$1841,5,0),"")</f>
        <v/>
      </c>
      <c r="M94" s="39" t="str">
        <f>IFERROR(VLOOKUP($B94&amp;M$5,'Mark Leave'!$A$1:$E$1841,5,0),"")</f>
        <v/>
      </c>
      <c r="N94" s="39" t="str">
        <f>IFERROR(VLOOKUP($B94&amp;N$5,'Mark Leave'!$A$1:$E$1841,5,0),"")</f>
        <v/>
      </c>
      <c r="O94" s="39" t="str">
        <f>IFERROR(VLOOKUP($B94&amp;O$5,'Mark Leave'!$A$1:$E$1841,5,0),"")</f>
        <v/>
      </c>
      <c r="P94" s="39" t="str">
        <f>IFERROR(VLOOKUP($B94&amp;P$5,'Mark Leave'!$A$1:$E$1841,5,0),"")</f>
        <v/>
      </c>
      <c r="Q94" s="39" t="str">
        <f>IFERROR(VLOOKUP($B94&amp;Q$5,'Mark Leave'!$A$1:$E$1841,5,0),"")</f>
        <v/>
      </c>
      <c r="R94" s="39" t="str">
        <f>IFERROR(VLOOKUP($B94&amp;R$5,'Mark Leave'!$A$1:$E$1841,5,0),"")</f>
        <v/>
      </c>
      <c r="S94" s="39" t="str">
        <f>IFERROR(VLOOKUP($B94&amp;S$5,'Mark Leave'!$A$1:$E$1841,5,0),"")</f>
        <v/>
      </c>
      <c r="T94" s="39" t="str">
        <f>IFERROR(VLOOKUP($B94&amp;T$5,'Mark Leave'!$A$1:$E$1841,5,0),"")</f>
        <v/>
      </c>
      <c r="U94" s="39" t="str">
        <f>IFERROR(VLOOKUP($B94&amp;U$5,'Mark Leave'!$A$1:$E$1841,5,0),"")</f>
        <v/>
      </c>
      <c r="V94" s="39" t="str">
        <f>IFERROR(VLOOKUP($B94&amp;V$5,'Mark Leave'!$A$1:$E$1841,5,0),"")</f>
        <v/>
      </c>
      <c r="W94" s="39" t="str">
        <f>IFERROR(VLOOKUP($B94&amp;W$5,'Mark Leave'!$A$1:$E$1841,5,0),"")</f>
        <v/>
      </c>
      <c r="X94" s="39" t="str">
        <f>IFERROR(VLOOKUP($B94&amp;X$5,'Mark Leave'!$A$1:$E$1841,5,0),"")</f>
        <v/>
      </c>
      <c r="Y94" s="39" t="str">
        <f>IFERROR(VLOOKUP($B94&amp;Y$5,'Mark Leave'!$A$1:$E$1841,5,0),"")</f>
        <v/>
      </c>
      <c r="Z94" s="39" t="str">
        <f>IFERROR(VLOOKUP($B94&amp;Z$5,'Mark Leave'!$A$1:$E$1841,5,0),"")</f>
        <v/>
      </c>
      <c r="AA94" s="39" t="str">
        <f>IFERROR(VLOOKUP($B94&amp;AA$5,'Mark Leave'!$A$1:$E$1841,5,0),"")</f>
        <v/>
      </c>
      <c r="AB94" s="39" t="str">
        <f>IFERROR(VLOOKUP($B94&amp;AB$5,'Mark Leave'!$A$1:$E$1841,5,0),"")</f>
        <v/>
      </c>
      <c r="AC94" s="39" t="str">
        <f>IFERROR(VLOOKUP($B94&amp;AC$5,'Mark Leave'!$A$1:$E$1841,5,0),"")</f>
        <v/>
      </c>
      <c r="AD94" s="39" t="str">
        <f>IFERROR(VLOOKUP($B94&amp;AD$5,'Mark Leave'!$A$1:$E$1841,5,0),"")</f>
        <v/>
      </c>
      <c r="AE94" s="39" t="str">
        <f>IFERROR(VLOOKUP($B94&amp;AE$5,'Mark Leave'!$A$1:$E$1841,5,0),"")</f>
        <v/>
      </c>
      <c r="AF94" s="39" t="str">
        <f>IFERROR(VLOOKUP($B94&amp;AF$5,'Mark Leave'!$A$1:$E$1841,5,0),"")</f>
        <v/>
      </c>
      <c r="AG94" s="39" t="str">
        <f>IFERROR(VLOOKUP($B94&amp;AG$5,'Mark Leave'!$A$1:$E$1841,5,0),"")</f>
        <v/>
      </c>
      <c r="AH94" s="39">
        <f>IFERROR(VLOOKUP($B94&amp;AH$5,'Mark Leave'!$A$1:$E$1841,5,0),"")</f>
        <v>0</v>
      </c>
      <c r="AI94" s="98" t="str">
        <f>IF($B94&lt;&gt;"",COUNTIF($D94:$AH94,'Setting '!$H$2),"")</f>
        <v/>
      </c>
      <c r="AJ94" s="98" t="str">
        <f>IF($B94&lt;&gt;"",COUNTIF($D94:$AH94,'Setting '!$H$3)/2,"")</f>
        <v/>
      </c>
      <c r="AK94" s="98" t="str">
        <f>IF($B94&lt;&gt;"",COUNTIF($D94:$AH94,'Setting '!$H$4),"")</f>
        <v/>
      </c>
      <c r="AL94" s="98" t="str">
        <f t="shared" si="39"/>
        <v/>
      </c>
      <c r="AM94" s="117" t="str">
        <f>IF(B94&lt;&gt;"",_xlfn.IFNA(VLOOKUP(B94,'Leave Credit Sheet'!B94:K187,10,0),""),"")</f>
        <v/>
      </c>
      <c r="AN94" s="98" t="str">
        <f t="shared" si="28"/>
        <v/>
      </c>
      <c r="AO94" s="106" t="str">
        <f>IF(B94&lt;&gt;"",_xlfn.IFNA(INDEX('CTC Sheet'!$C$6:$N$101,MATCH(AttendanceSheet!$B94,'CTC Sheet'!$A$6:$A$101,0),MATCH(AttendanceSheet!$T$1,'CTC Sheet'!$C$5:$N$5,0)),0),"")</f>
        <v/>
      </c>
      <c r="AP94" s="106" t="str">
        <f>IF(B94&lt;&gt;"",_xlfn.IFNA(INDEX('CTC Sheet'!$R$6:$AC$100,MATCH(AttendanceSheet!$B94,'CTC Sheet'!$P$6:$P$100,0),MATCH(AttendanceSheet!$T$1,'CTC Sheet'!$R$5:$AC$5,0)),0),"")</f>
        <v/>
      </c>
      <c r="AQ94" s="106" t="str">
        <f t="shared" si="29"/>
        <v/>
      </c>
      <c r="AR94" s="106" t="str">
        <f t="shared" si="30"/>
        <v/>
      </c>
      <c r="AS94" s="106" t="str">
        <f t="shared" si="31"/>
        <v/>
      </c>
      <c r="AT94" s="106" t="str">
        <f t="shared" si="32"/>
        <v/>
      </c>
      <c r="AU94" s="106" t="str">
        <f t="shared" si="33"/>
        <v/>
      </c>
      <c r="AV94" s="106" t="str">
        <f t="shared" si="34"/>
        <v/>
      </c>
      <c r="AW94" s="106" t="str">
        <f>IF(B94&lt;&gt;"",_xlfn.IFNA(INDEX('OtherArrear payment'!$A$1:$N$95,MATCH(AttendanceSheet!$B94,'OtherArrear payment'!$A$1:$A$95,0),MATCH(AttendanceSheet!$T$1,'OtherArrear payment'!$A$1:$N$1,0)),0),"")</f>
        <v/>
      </c>
      <c r="AX94" s="106" t="str">
        <f t="shared" si="40"/>
        <v/>
      </c>
      <c r="AY94" s="106">
        <f t="shared" si="35"/>
        <v>0</v>
      </c>
      <c r="AZ94" s="106">
        <f t="shared" si="36"/>
        <v>0</v>
      </c>
      <c r="BA94" s="106">
        <f t="shared" si="37"/>
        <v>0</v>
      </c>
      <c r="BB94" s="106">
        <f t="shared" si="38"/>
        <v>0</v>
      </c>
      <c r="BC94" s="106" t="str">
        <f>IF($B94&lt;&gt;"",IF(BL94="Yes",IF($BI94="Mr.",IF($AX94&lt;=7500,0,IF(AND($AX94&lt;10000,$AX94&gt;7501),175,IF(AND($AX94&gt;10000,'Setting '!$G$28&lt;&gt;11),200,300))),IF(AND($AX94&lt;=10000,$BI94="Ms."),0,IF(AND($AX94&gt;10000,'Setting '!$G$28&lt;&gt;11),200,300))),0),"")</f>
        <v/>
      </c>
      <c r="BD94" s="42"/>
      <c r="BE94" s="212" t="str">
        <f>IF($B94&lt;&gt;"",IF('Advance Sheet'!AF91&gt;=0,INDEX('Advance Sheet'!$Q$3:$AD$100,MATCH(AttendanceSheet!$B94,'Advance Sheet'!$Q$3:$Q$100,0),MATCH(AttendanceSheet!$T$1,'Advance Sheet'!$Q$3:$AD$3,)),0),"")</f>
        <v/>
      </c>
      <c r="BF94" s="137" t="str">
        <f t="shared" si="41"/>
        <v/>
      </c>
      <c r="BG94" s="97" t="str">
        <f>IF(B94&lt;&gt;"",VLOOKUP(B94,'Employee Details'!A93:S176,17,0),"")</f>
        <v/>
      </c>
      <c r="BH94" s="97" t="str">
        <f>IF(B94&lt;&gt;"",VLOOKUP(B94,'Employee Details'!A93:S176,18,0),"")</f>
        <v/>
      </c>
      <c r="BI94" s="40" t="str">
        <f>IF(B94&lt;&gt;"",VLOOKUP(B94,'Employee Details'!A92:S175,19,0),"")</f>
        <v/>
      </c>
      <c r="BJ94" s="38" t="str">
        <f>IF(B94&lt;&gt;"",VLOOKUP(B94,'Employee Details'!A93:D121,4,0),"")</f>
        <v/>
      </c>
      <c r="BK94" s="38" t="str">
        <f>IF(B94&lt;&gt;"",VLOOKUP(B94,'Employee Details'!A93:E176,5,0),"")</f>
        <v/>
      </c>
      <c r="BL94" s="210" t="str">
        <f>IF(B94&lt;&gt;"",VLOOKUP(B94,'Employee Details'!A93:U176,21,0),"")</f>
        <v/>
      </c>
    </row>
    <row r="95" spans="2:64" ht="16.5" thickTop="1" thickBot="1" x14ac:dyDescent="0.3">
      <c r="B95" s="37" t="str">
        <f>_xlfn.IFNA(INDEX('Employee Details'!$A$7:$A98,MATCH(AttendanceSheet!$C95,'Employee Details'!$B$7:$B100,0)),"")</f>
        <v/>
      </c>
      <c r="C95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'!$J$1:J89))),"")</f>
        <v/>
      </c>
      <c r="D95" s="39" t="str">
        <f>IFERROR(VLOOKUP($B95&amp;D$5,'Mark Leave'!$A$1:$E$1841,5,0),"")</f>
        <v/>
      </c>
      <c r="E95" s="39" t="str">
        <f>IFERROR(VLOOKUP($B95&amp;E$5,'Mark Leave'!$A$1:$E$1841,5,0),"")</f>
        <v/>
      </c>
      <c r="F95" s="39" t="str">
        <f>IFERROR(VLOOKUP($B95&amp;F$5,'Mark Leave'!$A$1:$E$1841,5,0),"")</f>
        <v/>
      </c>
      <c r="G95" s="39" t="str">
        <f>IFERROR(VLOOKUP($B95&amp;G$5,'Mark Leave'!$A$1:$E$1841,5,0),"")</f>
        <v/>
      </c>
      <c r="H95" s="39" t="str">
        <f>IFERROR(VLOOKUP($B95&amp;H$5,'Mark Leave'!$A$1:$E$1841,5,0),"")</f>
        <v/>
      </c>
      <c r="I95" s="39" t="str">
        <f>IFERROR(VLOOKUP($B95&amp;I$5,'Mark Leave'!$A$1:$E$1841,5,0),"")</f>
        <v/>
      </c>
      <c r="J95" s="39" t="str">
        <f>IFERROR(VLOOKUP($B95&amp;J$5,'Mark Leave'!$A$1:$E$1841,5,0),"")</f>
        <v/>
      </c>
      <c r="K95" s="39" t="str">
        <f>IFERROR(VLOOKUP($B95&amp;K$5,'Mark Leave'!$A$1:$E$1841,5,0),"")</f>
        <v/>
      </c>
      <c r="L95" s="39" t="str">
        <f>IFERROR(VLOOKUP($B95&amp;L$5,'Mark Leave'!$A$1:$E$1841,5,0),"")</f>
        <v/>
      </c>
      <c r="M95" s="39" t="str">
        <f>IFERROR(VLOOKUP($B95&amp;M$5,'Mark Leave'!$A$1:$E$1841,5,0),"")</f>
        <v/>
      </c>
      <c r="N95" s="39" t="str">
        <f>IFERROR(VLOOKUP($B95&amp;N$5,'Mark Leave'!$A$1:$E$1841,5,0),"")</f>
        <v/>
      </c>
      <c r="O95" s="39" t="str">
        <f>IFERROR(VLOOKUP($B95&amp;O$5,'Mark Leave'!$A$1:$E$1841,5,0),"")</f>
        <v/>
      </c>
      <c r="P95" s="39" t="str">
        <f>IFERROR(VLOOKUP($B95&amp;P$5,'Mark Leave'!$A$1:$E$1841,5,0),"")</f>
        <v/>
      </c>
      <c r="Q95" s="39" t="str">
        <f>IFERROR(VLOOKUP($B95&amp;Q$5,'Mark Leave'!$A$1:$E$1841,5,0),"")</f>
        <v/>
      </c>
      <c r="R95" s="39" t="str">
        <f>IFERROR(VLOOKUP($B95&amp;R$5,'Mark Leave'!$A$1:$E$1841,5,0),"")</f>
        <v/>
      </c>
      <c r="S95" s="39" t="str">
        <f>IFERROR(VLOOKUP($B95&amp;S$5,'Mark Leave'!$A$1:$E$1841,5,0),"")</f>
        <v/>
      </c>
      <c r="T95" s="39" t="str">
        <f>IFERROR(VLOOKUP($B95&amp;T$5,'Mark Leave'!$A$1:$E$1841,5,0),"")</f>
        <v/>
      </c>
      <c r="U95" s="39" t="str">
        <f>IFERROR(VLOOKUP($B95&amp;U$5,'Mark Leave'!$A$1:$E$1841,5,0),"")</f>
        <v/>
      </c>
      <c r="V95" s="39" t="str">
        <f>IFERROR(VLOOKUP($B95&amp;V$5,'Mark Leave'!$A$1:$E$1841,5,0),"")</f>
        <v/>
      </c>
      <c r="W95" s="39" t="str">
        <f>IFERROR(VLOOKUP($B95&amp;W$5,'Mark Leave'!$A$1:$E$1841,5,0),"")</f>
        <v/>
      </c>
      <c r="X95" s="39" t="str">
        <f>IFERROR(VLOOKUP($B95&amp;X$5,'Mark Leave'!$A$1:$E$1841,5,0),"")</f>
        <v/>
      </c>
      <c r="Y95" s="39" t="str">
        <f>IFERROR(VLOOKUP($B95&amp;Y$5,'Mark Leave'!$A$1:$E$1841,5,0),"")</f>
        <v/>
      </c>
      <c r="Z95" s="39" t="str">
        <f>IFERROR(VLOOKUP($B95&amp;Z$5,'Mark Leave'!$A$1:$E$1841,5,0),"")</f>
        <v/>
      </c>
      <c r="AA95" s="39" t="str">
        <f>IFERROR(VLOOKUP($B95&amp;AA$5,'Mark Leave'!$A$1:$E$1841,5,0),"")</f>
        <v/>
      </c>
      <c r="AB95" s="39" t="str">
        <f>IFERROR(VLOOKUP($B95&amp;AB$5,'Mark Leave'!$A$1:$E$1841,5,0),"")</f>
        <v/>
      </c>
      <c r="AC95" s="39" t="str">
        <f>IFERROR(VLOOKUP($B95&amp;AC$5,'Mark Leave'!$A$1:$E$1841,5,0),"")</f>
        <v/>
      </c>
      <c r="AD95" s="39" t="str">
        <f>IFERROR(VLOOKUP($B95&amp;AD$5,'Mark Leave'!$A$1:$E$1841,5,0),"")</f>
        <v/>
      </c>
      <c r="AE95" s="39" t="str">
        <f>IFERROR(VLOOKUP($B95&amp;AE$5,'Mark Leave'!$A$1:$E$1841,5,0),"")</f>
        <v/>
      </c>
      <c r="AF95" s="39" t="str">
        <f>IFERROR(VLOOKUP($B95&amp;AF$5,'Mark Leave'!$A$1:$E$1841,5,0),"")</f>
        <v/>
      </c>
      <c r="AG95" s="39" t="str">
        <f>IFERROR(VLOOKUP($B95&amp;AG$5,'Mark Leave'!$A$1:$E$1841,5,0),"")</f>
        <v/>
      </c>
      <c r="AH95" s="39">
        <f>IFERROR(VLOOKUP($B95&amp;AH$5,'Mark Leave'!$A$1:$E$1841,5,0),"")</f>
        <v>0</v>
      </c>
      <c r="AI95" s="98" t="str">
        <f>IF($B95&lt;&gt;"",COUNTIF($D95:$AH95,'Setting '!$H$2),"")</f>
        <v/>
      </c>
      <c r="AJ95" s="98" t="str">
        <f>IF($B95&lt;&gt;"",COUNTIF($D95:$AH95,'Setting '!$H$3)/2,"")</f>
        <v/>
      </c>
      <c r="AK95" s="98" t="str">
        <f>IF($B95&lt;&gt;"",COUNTIF($D95:$AH95,'Setting '!$H$4),"")</f>
        <v/>
      </c>
      <c r="AL95" s="98" t="str">
        <f t="shared" si="39"/>
        <v/>
      </c>
      <c r="AM95" s="117" t="str">
        <f>IF(B95&lt;&gt;"",_xlfn.IFNA(VLOOKUP(B95,'Leave Credit Sheet'!B95:K188,10,0),""),"")</f>
        <v/>
      </c>
      <c r="AN95" s="98" t="str">
        <f t="shared" si="28"/>
        <v/>
      </c>
      <c r="AO95" s="106" t="str">
        <f>IF(B95&lt;&gt;"",_xlfn.IFNA(INDEX('CTC Sheet'!$C$6:$N$101,MATCH(AttendanceSheet!$B95,'CTC Sheet'!$A$6:$A$101,0),MATCH(AttendanceSheet!$T$1,'CTC Sheet'!$C$5:$N$5,0)),0),"")</f>
        <v/>
      </c>
      <c r="AP95" s="106" t="str">
        <f>IF(B95&lt;&gt;"",_xlfn.IFNA(INDEX('CTC Sheet'!$R$6:$AC$100,MATCH(AttendanceSheet!$B95,'CTC Sheet'!$P$6:$P$100,0),MATCH(AttendanceSheet!$T$1,'CTC Sheet'!$R$5:$AC$5,0)),0),"")</f>
        <v/>
      </c>
      <c r="AQ95" s="106" t="str">
        <f t="shared" si="29"/>
        <v/>
      </c>
      <c r="AR95" s="106" t="str">
        <f t="shared" si="30"/>
        <v/>
      </c>
      <c r="AS95" s="106" t="str">
        <f t="shared" si="31"/>
        <v/>
      </c>
      <c r="AT95" s="106" t="str">
        <f t="shared" si="32"/>
        <v/>
      </c>
      <c r="AU95" s="106" t="str">
        <f t="shared" si="33"/>
        <v/>
      </c>
      <c r="AV95" s="106" t="str">
        <f t="shared" si="34"/>
        <v/>
      </c>
      <c r="AW95" s="106" t="str">
        <f>IF(B95&lt;&gt;"",_xlfn.IFNA(INDEX('OtherArrear payment'!$A$1:$N$95,MATCH(AttendanceSheet!$B95,'OtherArrear payment'!$A$1:$A$95,0),MATCH(AttendanceSheet!$T$1,'OtherArrear payment'!$A$1:$N$1,0)),0),"")</f>
        <v/>
      </c>
      <c r="AX95" s="106" t="str">
        <f t="shared" si="40"/>
        <v/>
      </c>
      <c r="AY95" s="106">
        <f t="shared" si="35"/>
        <v>0</v>
      </c>
      <c r="AZ95" s="106">
        <f t="shared" si="36"/>
        <v>0</v>
      </c>
      <c r="BA95" s="106">
        <f t="shared" si="37"/>
        <v>0</v>
      </c>
      <c r="BB95" s="106">
        <f t="shared" si="38"/>
        <v>0</v>
      </c>
      <c r="BC95" s="106" t="str">
        <f>IF($B95&lt;&gt;"",IF(BL95="Yes",IF($BI95="Mr.",IF($AX95&lt;=7500,0,IF(AND($AX95&lt;10000,$AX95&gt;7501),175,IF(AND($AX95&gt;10000,'Setting '!$G$28&lt;&gt;11),200,300))),IF(AND($AX95&lt;=10000,$BI95="Ms."),0,IF(AND($AX95&gt;10000,'Setting '!$G$28&lt;&gt;11),200,300))),0),"")</f>
        <v/>
      </c>
      <c r="BD95" s="42"/>
      <c r="BE95" s="212" t="str">
        <f>IF($B95&lt;&gt;"",IF('Advance Sheet'!AF92&gt;=0,INDEX('Advance Sheet'!$Q$3:$AD$100,MATCH(AttendanceSheet!$B95,'Advance Sheet'!$Q$3:$Q$100,0),MATCH(AttendanceSheet!$T$1,'Advance Sheet'!$Q$3:$AD$3,)),0),"")</f>
        <v/>
      </c>
      <c r="BF95" s="137" t="str">
        <f t="shared" si="41"/>
        <v/>
      </c>
      <c r="BG95" s="97" t="str">
        <f>IF(B95&lt;&gt;"",VLOOKUP(B95,'Employee Details'!A94:S177,17,0),"")</f>
        <v/>
      </c>
      <c r="BH95" s="97" t="str">
        <f>IF(B95&lt;&gt;"",VLOOKUP(B95,'Employee Details'!A94:S177,18,0),"")</f>
        <v/>
      </c>
      <c r="BI95" s="40" t="str">
        <f>IF(B95&lt;&gt;"",VLOOKUP(B95,'Employee Details'!A93:S176,19,0),"")</f>
        <v/>
      </c>
      <c r="BJ95" s="38" t="str">
        <f>IF(B95&lt;&gt;"",VLOOKUP(B95,'Employee Details'!A94:D122,4,0),"")</f>
        <v/>
      </c>
      <c r="BK95" s="38" t="str">
        <f>IF(B95&lt;&gt;"",VLOOKUP(B95,'Employee Details'!A94:E177,5,0),"")</f>
        <v/>
      </c>
      <c r="BL95" s="210" t="str">
        <f>IF(B95&lt;&gt;"",VLOOKUP(B95,'Employee Details'!A94:U177,21,0),"")</f>
        <v/>
      </c>
    </row>
    <row r="96" spans="2:64" ht="16.5" thickTop="1" thickBot="1" x14ac:dyDescent="0.3">
      <c r="B96" s="37" t="str">
        <f>_xlfn.IFNA(INDEX('Employee Details'!$A$7:$A99,MATCH(AttendanceSheet!$C96,'Employee Details'!$B$7:$B100,0)),"")</f>
        <v/>
      </c>
      <c r="C96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'!$J$1:J90))),"")</f>
        <v/>
      </c>
      <c r="D96" s="39" t="str">
        <f>IFERROR(VLOOKUP($B96&amp;D$5,'Mark Leave'!$A$1:$E$1841,5,0),"")</f>
        <v/>
      </c>
      <c r="E96" s="39" t="str">
        <f>IFERROR(VLOOKUP($B96&amp;E$5,'Mark Leave'!$A$1:$E$1841,5,0),"")</f>
        <v/>
      </c>
      <c r="F96" s="39" t="str">
        <f>IFERROR(VLOOKUP($B96&amp;F$5,'Mark Leave'!$A$1:$E$1841,5,0),"")</f>
        <v/>
      </c>
      <c r="G96" s="39" t="str">
        <f>IFERROR(VLOOKUP($B96&amp;G$5,'Mark Leave'!$A$1:$E$1841,5,0),"")</f>
        <v/>
      </c>
      <c r="H96" s="39" t="str">
        <f>IFERROR(VLOOKUP($B96&amp;H$5,'Mark Leave'!$A$1:$E$1841,5,0),"")</f>
        <v/>
      </c>
      <c r="I96" s="39" t="str">
        <f>IFERROR(VLOOKUP($B96&amp;I$5,'Mark Leave'!$A$1:$E$1841,5,0),"")</f>
        <v/>
      </c>
      <c r="J96" s="39" t="str">
        <f>IFERROR(VLOOKUP($B96&amp;J$5,'Mark Leave'!$A$1:$E$1841,5,0),"")</f>
        <v/>
      </c>
      <c r="K96" s="39" t="str">
        <f>IFERROR(VLOOKUP($B96&amp;K$5,'Mark Leave'!$A$1:$E$1841,5,0),"")</f>
        <v/>
      </c>
      <c r="L96" s="39" t="str">
        <f>IFERROR(VLOOKUP($B96&amp;L$5,'Mark Leave'!$A$1:$E$1841,5,0),"")</f>
        <v/>
      </c>
      <c r="M96" s="39" t="str">
        <f>IFERROR(VLOOKUP($B96&amp;M$5,'Mark Leave'!$A$1:$E$1841,5,0),"")</f>
        <v/>
      </c>
      <c r="N96" s="39" t="str">
        <f>IFERROR(VLOOKUP($B96&amp;N$5,'Mark Leave'!$A$1:$E$1841,5,0),"")</f>
        <v/>
      </c>
      <c r="O96" s="39" t="str">
        <f>IFERROR(VLOOKUP($B96&amp;O$5,'Mark Leave'!$A$1:$E$1841,5,0),"")</f>
        <v/>
      </c>
      <c r="P96" s="39" t="str">
        <f>IFERROR(VLOOKUP($B96&amp;P$5,'Mark Leave'!$A$1:$E$1841,5,0),"")</f>
        <v/>
      </c>
      <c r="Q96" s="39" t="str">
        <f>IFERROR(VLOOKUP($B96&amp;Q$5,'Mark Leave'!$A$1:$E$1841,5,0),"")</f>
        <v/>
      </c>
      <c r="R96" s="39" t="str">
        <f>IFERROR(VLOOKUP($B96&amp;R$5,'Mark Leave'!$A$1:$E$1841,5,0),"")</f>
        <v/>
      </c>
      <c r="S96" s="39" t="str">
        <f>IFERROR(VLOOKUP($B96&amp;S$5,'Mark Leave'!$A$1:$E$1841,5,0),"")</f>
        <v/>
      </c>
      <c r="T96" s="39" t="str">
        <f>IFERROR(VLOOKUP($B96&amp;T$5,'Mark Leave'!$A$1:$E$1841,5,0),"")</f>
        <v/>
      </c>
      <c r="U96" s="39" t="str">
        <f>IFERROR(VLOOKUP($B96&amp;U$5,'Mark Leave'!$A$1:$E$1841,5,0),"")</f>
        <v/>
      </c>
      <c r="V96" s="39" t="str">
        <f>IFERROR(VLOOKUP($B96&amp;V$5,'Mark Leave'!$A$1:$E$1841,5,0),"")</f>
        <v/>
      </c>
      <c r="W96" s="39" t="str">
        <f>IFERROR(VLOOKUP($B96&amp;W$5,'Mark Leave'!$A$1:$E$1841,5,0),"")</f>
        <v/>
      </c>
      <c r="X96" s="39" t="str">
        <f>IFERROR(VLOOKUP($B96&amp;X$5,'Mark Leave'!$A$1:$E$1841,5,0),"")</f>
        <v/>
      </c>
      <c r="Y96" s="39" t="str">
        <f>IFERROR(VLOOKUP($B96&amp;Y$5,'Mark Leave'!$A$1:$E$1841,5,0),"")</f>
        <v/>
      </c>
      <c r="Z96" s="39" t="str">
        <f>IFERROR(VLOOKUP($B96&amp;Z$5,'Mark Leave'!$A$1:$E$1841,5,0),"")</f>
        <v/>
      </c>
      <c r="AA96" s="39" t="str">
        <f>IFERROR(VLOOKUP($B96&amp;AA$5,'Mark Leave'!$A$1:$E$1841,5,0),"")</f>
        <v/>
      </c>
      <c r="AB96" s="39" t="str">
        <f>IFERROR(VLOOKUP($B96&amp;AB$5,'Mark Leave'!$A$1:$E$1841,5,0),"")</f>
        <v/>
      </c>
      <c r="AC96" s="39" t="str">
        <f>IFERROR(VLOOKUP($B96&amp;AC$5,'Mark Leave'!$A$1:$E$1841,5,0),"")</f>
        <v/>
      </c>
      <c r="AD96" s="39" t="str">
        <f>IFERROR(VLOOKUP($B96&amp;AD$5,'Mark Leave'!$A$1:$E$1841,5,0),"")</f>
        <v/>
      </c>
      <c r="AE96" s="39" t="str">
        <f>IFERROR(VLOOKUP($B96&amp;AE$5,'Mark Leave'!$A$1:$E$1841,5,0),"")</f>
        <v/>
      </c>
      <c r="AF96" s="39" t="str">
        <f>IFERROR(VLOOKUP($B96&amp;AF$5,'Mark Leave'!$A$1:$E$1841,5,0),"")</f>
        <v/>
      </c>
      <c r="AG96" s="39" t="str">
        <f>IFERROR(VLOOKUP($B96&amp;AG$5,'Mark Leave'!$A$1:$E$1841,5,0),"")</f>
        <v/>
      </c>
      <c r="AH96" s="39">
        <f>IFERROR(VLOOKUP($B96&amp;AH$5,'Mark Leave'!$A$1:$E$1841,5,0),"")</f>
        <v>0</v>
      </c>
      <c r="AI96" s="98" t="str">
        <f>IF($B96&lt;&gt;"",COUNTIF($D96:$AH96,'Setting '!$H$2),"")</f>
        <v/>
      </c>
      <c r="AJ96" s="98" t="str">
        <f>IF($B96&lt;&gt;"",COUNTIF($D96:$AH96,'Setting '!$H$3)/2,"")</f>
        <v/>
      </c>
      <c r="AK96" s="98" t="str">
        <f>IF($B96&lt;&gt;"",COUNTIF($D96:$AH96,'Setting '!$H$4),"")</f>
        <v/>
      </c>
      <c r="AL96" s="98" t="str">
        <f t="shared" si="39"/>
        <v/>
      </c>
      <c r="AM96" s="117" t="str">
        <f>IF(B96&lt;&gt;"",_xlfn.IFNA(VLOOKUP(B96,'Leave Credit Sheet'!B96:K189,10,0),""),"")</f>
        <v/>
      </c>
      <c r="AN96" s="98" t="str">
        <f t="shared" si="28"/>
        <v/>
      </c>
      <c r="AO96" s="106" t="str">
        <f>IF(B96&lt;&gt;"",_xlfn.IFNA(INDEX('CTC Sheet'!$C$6:$N$101,MATCH(AttendanceSheet!$B96,'CTC Sheet'!$A$6:$A$101,0),MATCH(AttendanceSheet!$T$1,'CTC Sheet'!$C$5:$N$5,0)),0),"")</f>
        <v/>
      </c>
      <c r="AP96" s="106" t="str">
        <f>IF(B96&lt;&gt;"",_xlfn.IFNA(INDEX('CTC Sheet'!$R$6:$AC$100,MATCH(AttendanceSheet!$B96,'CTC Sheet'!$P$6:$P$100,0),MATCH(AttendanceSheet!$T$1,'CTC Sheet'!$R$5:$AC$5,0)),0),"")</f>
        <v/>
      </c>
      <c r="AQ96" s="106" t="str">
        <f t="shared" si="29"/>
        <v/>
      </c>
      <c r="AR96" s="106" t="str">
        <f t="shared" si="30"/>
        <v/>
      </c>
      <c r="AS96" s="106" t="str">
        <f t="shared" si="31"/>
        <v/>
      </c>
      <c r="AT96" s="106" t="str">
        <f t="shared" si="32"/>
        <v/>
      </c>
      <c r="AU96" s="106" t="str">
        <f t="shared" si="33"/>
        <v/>
      </c>
      <c r="AV96" s="106" t="str">
        <f t="shared" si="34"/>
        <v/>
      </c>
      <c r="AW96" s="106" t="str">
        <f>IF(B96&lt;&gt;"",_xlfn.IFNA(INDEX('OtherArrear payment'!$A$1:$N$95,MATCH(AttendanceSheet!$B96,'OtherArrear payment'!$A$1:$A$95,0),MATCH(AttendanceSheet!$T$1,'OtherArrear payment'!$A$1:$N$1,0)),0),"")</f>
        <v/>
      </c>
      <c r="AX96" s="106" t="str">
        <f t="shared" si="40"/>
        <v/>
      </c>
      <c r="AY96" s="106">
        <f t="shared" si="35"/>
        <v>0</v>
      </c>
      <c r="AZ96" s="106">
        <f t="shared" si="36"/>
        <v>0</v>
      </c>
      <c r="BA96" s="106">
        <f t="shared" si="37"/>
        <v>0</v>
      </c>
      <c r="BB96" s="106">
        <f t="shared" si="38"/>
        <v>0</v>
      </c>
      <c r="BC96" s="106" t="str">
        <f>IF($B96&lt;&gt;"",IF(BL96="Yes",IF($BI96="Mr.",IF($AX96&lt;=7500,0,IF(AND($AX96&lt;10000,$AX96&gt;7501),175,IF(AND($AX96&gt;10000,'Setting '!$G$28&lt;&gt;11),200,300))),IF(AND($AX96&lt;=10000,$BI96="Ms."),0,IF(AND($AX96&gt;10000,'Setting '!$G$28&lt;&gt;11),200,300))),0),"")</f>
        <v/>
      </c>
      <c r="BD96" s="42"/>
      <c r="BE96" s="212" t="str">
        <f>IF($B96&lt;&gt;"",IF('Advance Sheet'!AF93&gt;=0,INDEX('Advance Sheet'!$Q$3:$AD$100,MATCH(AttendanceSheet!$B96,'Advance Sheet'!$Q$3:$Q$100,0),MATCH(AttendanceSheet!$T$1,'Advance Sheet'!$Q$3:$AD$3,)),0),"")</f>
        <v/>
      </c>
      <c r="BF96" s="137" t="str">
        <f t="shared" si="41"/>
        <v/>
      </c>
      <c r="BG96" s="97" t="str">
        <f>IF(B96&lt;&gt;"",VLOOKUP(B96,'Employee Details'!A95:S178,17,0),"")</f>
        <v/>
      </c>
      <c r="BH96" s="97" t="str">
        <f>IF(B96&lt;&gt;"",VLOOKUP(B96,'Employee Details'!A95:S178,18,0),"")</f>
        <v/>
      </c>
      <c r="BI96" s="40" t="str">
        <f>IF(B96&lt;&gt;"",VLOOKUP(B96,'Employee Details'!A94:S177,19,0),"")</f>
        <v/>
      </c>
      <c r="BJ96" s="38" t="str">
        <f>IF(B96&lt;&gt;"",VLOOKUP(B96,'Employee Details'!A95:D123,4,0),"")</f>
        <v/>
      </c>
      <c r="BK96" s="38" t="str">
        <f>IF(B96&lt;&gt;"",VLOOKUP(B96,'Employee Details'!A95:E178,5,0),"")</f>
        <v/>
      </c>
      <c r="BL96" s="210" t="str">
        <f>IF(B96&lt;&gt;"",VLOOKUP(B96,'Employee Details'!A95:U178,21,0),"")</f>
        <v/>
      </c>
    </row>
    <row r="97" spans="2:64" ht="16.5" thickTop="1" thickBot="1" x14ac:dyDescent="0.3">
      <c r="B97" s="37" t="str">
        <f>_xlfn.IFNA(INDEX('Employee Details'!$A$7:$A100,MATCH(AttendanceSheet!$C97,'Employee Details'!$B$7:$B100,0)),"")</f>
        <v/>
      </c>
      <c r="C97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'!$J$1:J91))),"")</f>
        <v/>
      </c>
      <c r="D97" s="39" t="str">
        <f>IFERROR(VLOOKUP($B97&amp;D$5,'Mark Leave'!$A$1:$E$1841,5,0),"")</f>
        <v/>
      </c>
      <c r="E97" s="39" t="str">
        <f>IFERROR(VLOOKUP($B97&amp;E$5,'Mark Leave'!$A$1:$E$1841,5,0),"")</f>
        <v/>
      </c>
      <c r="F97" s="39" t="str">
        <f>IFERROR(VLOOKUP($B97&amp;F$5,'Mark Leave'!$A$1:$E$1841,5,0),"")</f>
        <v/>
      </c>
      <c r="G97" s="39" t="str">
        <f>IFERROR(VLOOKUP($B97&amp;G$5,'Mark Leave'!$A$1:$E$1841,5,0),"")</f>
        <v/>
      </c>
      <c r="H97" s="39" t="str">
        <f>IFERROR(VLOOKUP($B97&amp;H$5,'Mark Leave'!$A$1:$E$1841,5,0),"")</f>
        <v/>
      </c>
      <c r="I97" s="39" t="str">
        <f>IFERROR(VLOOKUP($B97&amp;I$5,'Mark Leave'!$A$1:$E$1841,5,0),"")</f>
        <v/>
      </c>
      <c r="J97" s="39" t="str">
        <f>IFERROR(VLOOKUP($B97&amp;J$5,'Mark Leave'!$A$1:$E$1841,5,0),"")</f>
        <v/>
      </c>
      <c r="K97" s="39" t="str">
        <f>IFERROR(VLOOKUP($B97&amp;K$5,'Mark Leave'!$A$1:$E$1841,5,0),"")</f>
        <v/>
      </c>
      <c r="L97" s="39" t="str">
        <f>IFERROR(VLOOKUP($B97&amp;L$5,'Mark Leave'!$A$1:$E$1841,5,0),"")</f>
        <v/>
      </c>
      <c r="M97" s="39" t="str">
        <f>IFERROR(VLOOKUP($B97&amp;M$5,'Mark Leave'!$A$1:$E$1841,5,0),"")</f>
        <v/>
      </c>
      <c r="N97" s="39" t="str">
        <f>IFERROR(VLOOKUP($B97&amp;N$5,'Mark Leave'!$A$1:$E$1841,5,0),"")</f>
        <v/>
      </c>
      <c r="O97" s="39" t="str">
        <f>IFERROR(VLOOKUP($B97&amp;O$5,'Mark Leave'!$A$1:$E$1841,5,0),"")</f>
        <v/>
      </c>
      <c r="P97" s="39" t="str">
        <f>IFERROR(VLOOKUP($B97&amp;P$5,'Mark Leave'!$A$1:$E$1841,5,0),"")</f>
        <v/>
      </c>
      <c r="Q97" s="39" t="str">
        <f>IFERROR(VLOOKUP($B97&amp;Q$5,'Mark Leave'!$A$1:$E$1841,5,0),"")</f>
        <v/>
      </c>
      <c r="R97" s="39" t="str">
        <f>IFERROR(VLOOKUP($B97&amp;R$5,'Mark Leave'!$A$1:$E$1841,5,0),"")</f>
        <v/>
      </c>
      <c r="S97" s="39" t="str">
        <f>IFERROR(VLOOKUP($B97&amp;S$5,'Mark Leave'!$A$1:$E$1841,5,0),"")</f>
        <v/>
      </c>
      <c r="T97" s="39" t="str">
        <f>IFERROR(VLOOKUP($B97&amp;T$5,'Mark Leave'!$A$1:$E$1841,5,0),"")</f>
        <v/>
      </c>
      <c r="U97" s="39" t="str">
        <f>IFERROR(VLOOKUP($B97&amp;U$5,'Mark Leave'!$A$1:$E$1841,5,0),"")</f>
        <v/>
      </c>
      <c r="V97" s="39" t="str">
        <f>IFERROR(VLOOKUP($B97&amp;V$5,'Mark Leave'!$A$1:$E$1841,5,0),"")</f>
        <v/>
      </c>
      <c r="W97" s="39" t="str">
        <f>IFERROR(VLOOKUP($B97&amp;W$5,'Mark Leave'!$A$1:$E$1841,5,0),"")</f>
        <v/>
      </c>
      <c r="X97" s="39" t="str">
        <f>IFERROR(VLOOKUP($B97&amp;X$5,'Mark Leave'!$A$1:$E$1841,5,0),"")</f>
        <v/>
      </c>
      <c r="Y97" s="39" t="str">
        <f>IFERROR(VLOOKUP($B97&amp;Y$5,'Mark Leave'!$A$1:$E$1841,5,0),"")</f>
        <v/>
      </c>
      <c r="Z97" s="39" t="str">
        <f>IFERROR(VLOOKUP($B97&amp;Z$5,'Mark Leave'!$A$1:$E$1841,5,0),"")</f>
        <v/>
      </c>
      <c r="AA97" s="39" t="str">
        <f>IFERROR(VLOOKUP($B97&amp;AA$5,'Mark Leave'!$A$1:$E$1841,5,0),"")</f>
        <v/>
      </c>
      <c r="AB97" s="39" t="str">
        <f>IFERROR(VLOOKUP($B97&amp;AB$5,'Mark Leave'!$A$1:$E$1841,5,0),"")</f>
        <v/>
      </c>
      <c r="AC97" s="39" t="str">
        <f>IFERROR(VLOOKUP($B97&amp;AC$5,'Mark Leave'!$A$1:$E$1841,5,0),"")</f>
        <v/>
      </c>
      <c r="AD97" s="39" t="str">
        <f>IFERROR(VLOOKUP($B97&amp;AD$5,'Mark Leave'!$A$1:$E$1841,5,0),"")</f>
        <v/>
      </c>
      <c r="AE97" s="39" t="str">
        <f>IFERROR(VLOOKUP($B97&amp;AE$5,'Mark Leave'!$A$1:$E$1841,5,0),"")</f>
        <v/>
      </c>
      <c r="AF97" s="39" t="str">
        <f>IFERROR(VLOOKUP($B97&amp;AF$5,'Mark Leave'!$A$1:$E$1841,5,0),"")</f>
        <v/>
      </c>
      <c r="AG97" s="39" t="str">
        <f>IFERROR(VLOOKUP($B97&amp;AG$5,'Mark Leave'!$A$1:$E$1841,5,0),"")</f>
        <v/>
      </c>
      <c r="AH97" s="39">
        <f>IFERROR(VLOOKUP($B97&amp;AH$5,'Mark Leave'!$A$1:$E$1841,5,0),"")</f>
        <v>0</v>
      </c>
      <c r="AI97" s="98" t="str">
        <f>IF($B97&lt;&gt;"",COUNTIF($D97:$AH97,'Setting '!$H$2),"")</f>
        <v/>
      </c>
      <c r="AJ97" s="98" t="str">
        <f>IF($B97&lt;&gt;"",COUNTIF($D97:$AH97,'Setting '!$H$3)/2,"")</f>
        <v/>
      </c>
      <c r="AK97" s="98" t="str">
        <f>IF($B97&lt;&gt;"",COUNTIF($D97:$AH97,'Setting '!$H$4),"")</f>
        <v/>
      </c>
      <c r="AL97" s="98" t="str">
        <f t="shared" si="39"/>
        <v/>
      </c>
      <c r="AM97" s="117" t="str">
        <f>IF(B97&lt;&gt;"",_xlfn.IFNA(VLOOKUP(B97,'Leave Credit Sheet'!B97:K190,10,0),""),"")</f>
        <v/>
      </c>
      <c r="AN97" s="98" t="str">
        <f t="shared" si="28"/>
        <v/>
      </c>
      <c r="AO97" s="106" t="str">
        <f>IF(B97&lt;&gt;"",_xlfn.IFNA(INDEX('CTC Sheet'!$C$6:$N$101,MATCH(AttendanceSheet!$B97,'CTC Sheet'!$A$6:$A$101,0),MATCH(AttendanceSheet!$T$1,'CTC Sheet'!$C$5:$N$5,0)),0),"")</f>
        <v/>
      </c>
      <c r="AP97" s="106" t="str">
        <f>IF(B97&lt;&gt;"",_xlfn.IFNA(INDEX('CTC Sheet'!$R$6:$AC$100,MATCH(AttendanceSheet!$B97,'CTC Sheet'!$P$6:$P$100,0),MATCH(AttendanceSheet!$T$1,'CTC Sheet'!$R$5:$AC$5,0)),0),"")</f>
        <v/>
      </c>
      <c r="AQ97" s="106" t="str">
        <f t="shared" si="29"/>
        <v/>
      </c>
      <c r="AR97" s="106" t="str">
        <f t="shared" si="30"/>
        <v/>
      </c>
      <c r="AS97" s="106" t="str">
        <f t="shared" si="31"/>
        <v/>
      </c>
      <c r="AT97" s="106" t="str">
        <f t="shared" si="32"/>
        <v/>
      </c>
      <c r="AU97" s="106" t="str">
        <f t="shared" si="33"/>
        <v/>
      </c>
      <c r="AV97" s="106" t="str">
        <f t="shared" si="34"/>
        <v/>
      </c>
      <c r="AW97" s="106" t="str">
        <f>IF(B97&lt;&gt;"",_xlfn.IFNA(INDEX('OtherArrear payment'!$A$1:$N$95,MATCH(AttendanceSheet!$B97,'OtherArrear payment'!$A$1:$A$95,0),MATCH(AttendanceSheet!$T$1,'OtherArrear payment'!$A$1:$N$1,0)),0),"")</f>
        <v/>
      </c>
      <c r="AX97" s="106" t="str">
        <f t="shared" si="40"/>
        <v/>
      </c>
      <c r="AY97" s="106">
        <f t="shared" si="35"/>
        <v>0</v>
      </c>
      <c r="AZ97" s="106">
        <f t="shared" si="36"/>
        <v>0</v>
      </c>
      <c r="BA97" s="106">
        <f t="shared" si="37"/>
        <v>0</v>
      </c>
      <c r="BB97" s="106">
        <f t="shared" si="38"/>
        <v>0</v>
      </c>
      <c r="BC97" s="106" t="str">
        <f>IF($B97&lt;&gt;"",IF(BL97="Yes",IF($BI97="Mr.",IF($AX97&lt;=7500,0,IF(AND($AX97&lt;10000,$AX97&gt;7501),175,IF(AND($AX97&gt;10000,'Setting '!$G$28&lt;&gt;11),200,300))),IF(AND($AX97&lt;=10000,$BI97="Ms."),0,IF(AND($AX97&gt;10000,'Setting '!$G$28&lt;&gt;11),200,300))),0),"")</f>
        <v/>
      </c>
      <c r="BD97" s="42"/>
      <c r="BE97" s="212" t="str">
        <f>IF($B97&lt;&gt;"",IF('Advance Sheet'!AF94&gt;=0,INDEX('Advance Sheet'!$Q$3:$AD$100,MATCH(AttendanceSheet!$B97,'Advance Sheet'!$Q$3:$Q$100,0),MATCH(AttendanceSheet!$T$1,'Advance Sheet'!$Q$3:$AD$3,)),0),"")</f>
        <v/>
      </c>
      <c r="BF97" s="137" t="str">
        <f t="shared" si="41"/>
        <v/>
      </c>
      <c r="BG97" s="97" t="str">
        <f>IF(B97&lt;&gt;"",VLOOKUP(B97,'Employee Details'!A96:S179,17,0),"")</f>
        <v/>
      </c>
      <c r="BH97" s="97" t="str">
        <f>IF(B97&lt;&gt;"",VLOOKUP(B97,'Employee Details'!A96:S179,18,0),"")</f>
        <v/>
      </c>
      <c r="BI97" s="40" t="str">
        <f>IF(B97&lt;&gt;"",VLOOKUP(B97,'Employee Details'!A95:S178,19,0),"")</f>
        <v/>
      </c>
      <c r="BJ97" s="38" t="str">
        <f>IF(B97&lt;&gt;"",VLOOKUP(B97,'Employee Details'!A96:D124,4,0),"")</f>
        <v/>
      </c>
      <c r="BK97" s="38" t="str">
        <f>IF(B97&lt;&gt;"",VLOOKUP(B97,'Employee Details'!A96:E179,5,0),"")</f>
        <v/>
      </c>
      <c r="BL97" s="210" t="str">
        <f>IF(B97&lt;&gt;"",VLOOKUP(B97,'Employee Details'!A96:U179,21,0),"")</f>
        <v/>
      </c>
    </row>
    <row r="98" spans="2:64" ht="16.5" thickTop="1" thickBot="1" x14ac:dyDescent="0.3">
      <c r="B98" s="37" t="str">
        <f>_xlfn.IFNA(INDEX('Employee Details'!$A$7:$A100,MATCH(AttendanceSheet!$C98,'Employee Details'!$B$7:$B100,0)),"")</f>
        <v/>
      </c>
      <c r="C98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'!$J$1:J92))),"")</f>
        <v/>
      </c>
      <c r="D98" s="39" t="str">
        <f>IFERROR(VLOOKUP($B98&amp;D$5,'Mark Leave'!$A$1:$E$1841,5,0),"")</f>
        <v/>
      </c>
      <c r="E98" s="39" t="str">
        <f>IFERROR(VLOOKUP($B98&amp;E$5,'Mark Leave'!$A$1:$E$1841,5,0),"")</f>
        <v/>
      </c>
      <c r="F98" s="39" t="str">
        <f>IFERROR(VLOOKUP($B98&amp;F$5,'Mark Leave'!$A$1:$E$1841,5,0),"")</f>
        <v/>
      </c>
      <c r="G98" s="39" t="str">
        <f>IFERROR(VLOOKUP($B98&amp;G$5,'Mark Leave'!$A$1:$E$1841,5,0),"")</f>
        <v/>
      </c>
      <c r="H98" s="39" t="str">
        <f>IFERROR(VLOOKUP($B98&amp;H$5,'Mark Leave'!$A$1:$E$1841,5,0),"")</f>
        <v/>
      </c>
      <c r="I98" s="39" t="str">
        <f>IFERROR(VLOOKUP($B98&amp;I$5,'Mark Leave'!$A$1:$E$1841,5,0),"")</f>
        <v/>
      </c>
      <c r="J98" s="39" t="str">
        <f>IFERROR(VLOOKUP($B98&amp;J$5,'Mark Leave'!$A$1:$E$1841,5,0),"")</f>
        <v/>
      </c>
      <c r="K98" s="39" t="str">
        <f>IFERROR(VLOOKUP($B98&amp;K$5,'Mark Leave'!$A$1:$E$1841,5,0),"")</f>
        <v/>
      </c>
      <c r="L98" s="39" t="str">
        <f>IFERROR(VLOOKUP($B98&amp;L$5,'Mark Leave'!$A$1:$E$1841,5,0),"")</f>
        <v/>
      </c>
      <c r="M98" s="39" t="str">
        <f>IFERROR(VLOOKUP($B98&amp;M$5,'Mark Leave'!$A$1:$E$1841,5,0),"")</f>
        <v/>
      </c>
      <c r="N98" s="39" t="str">
        <f>IFERROR(VLOOKUP($B98&amp;N$5,'Mark Leave'!$A$1:$E$1841,5,0),"")</f>
        <v/>
      </c>
      <c r="O98" s="39" t="str">
        <f>IFERROR(VLOOKUP($B98&amp;O$5,'Mark Leave'!$A$1:$E$1841,5,0),"")</f>
        <v/>
      </c>
      <c r="P98" s="39" t="str">
        <f>IFERROR(VLOOKUP($B98&amp;P$5,'Mark Leave'!$A$1:$E$1841,5,0),"")</f>
        <v/>
      </c>
      <c r="Q98" s="39" t="str">
        <f>IFERROR(VLOOKUP($B98&amp;Q$5,'Mark Leave'!$A$1:$E$1841,5,0),"")</f>
        <v/>
      </c>
      <c r="R98" s="39" t="str">
        <f>IFERROR(VLOOKUP($B98&amp;R$5,'Mark Leave'!$A$1:$E$1841,5,0),"")</f>
        <v/>
      </c>
      <c r="S98" s="39" t="str">
        <f>IFERROR(VLOOKUP($B98&amp;S$5,'Mark Leave'!$A$1:$E$1841,5,0),"")</f>
        <v/>
      </c>
      <c r="T98" s="39" t="str">
        <f>IFERROR(VLOOKUP($B98&amp;T$5,'Mark Leave'!$A$1:$E$1841,5,0),"")</f>
        <v/>
      </c>
      <c r="U98" s="39" t="str">
        <f>IFERROR(VLOOKUP($B98&amp;U$5,'Mark Leave'!$A$1:$E$1841,5,0),"")</f>
        <v/>
      </c>
      <c r="V98" s="39" t="str">
        <f>IFERROR(VLOOKUP($B98&amp;V$5,'Mark Leave'!$A$1:$E$1841,5,0),"")</f>
        <v/>
      </c>
      <c r="W98" s="39" t="str">
        <f>IFERROR(VLOOKUP($B98&amp;W$5,'Mark Leave'!$A$1:$E$1841,5,0),"")</f>
        <v/>
      </c>
      <c r="X98" s="39" t="str">
        <f>IFERROR(VLOOKUP($B98&amp;X$5,'Mark Leave'!$A$1:$E$1841,5,0),"")</f>
        <v/>
      </c>
      <c r="Y98" s="39" t="str">
        <f>IFERROR(VLOOKUP($B98&amp;Y$5,'Mark Leave'!$A$1:$E$1841,5,0),"")</f>
        <v/>
      </c>
      <c r="Z98" s="39" t="str">
        <f>IFERROR(VLOOKUP($B98&amp;Z$5,'Mark Leave'!$A$1:$E$1841,5,0),"")</f>
        <v/>
      </c>
      <c r="AA98" s="39" t="str">
        <f>IFERROR(VLOOKUP($B98&amp;AA$5,'Mark Leave'!$A$1:$E$1841,5,0),"")</f>
        <v/>
      </c>
      <c r="AB98" s="39" t="str">
        <f>IFERROR(VLOOKUP($B98&amp;AB$5,'Mark Leave'!$A$1:$E$1841,5,0),"")</f>
        <v/>
      </c>
      <c r="AC98" s="39" t="str">
        <f>IFERROR(VLOOKUP($B98&amp;AC$5,'Mark Leave'!$A$1:$E$1841,5,0),"")</f>
        <v/>
      </c>
      <c r="AD98" s="39" t="str">
        <f>IFERROR(VLOOKUP($B98&amp;AD$5,'Mark Leave'!$A$1:$E$1841,5,0),"")</f>
        <v/>
      </c>
      <c r="AE98" s="39" t="str">
        <f>IFERROR(VLOOKUP($B98&amp;AE$5,'Mark Leave'!$A$1:$E$1841,5,0),"")</f>
        <v/>
      </c>
      <c r="AF98" s="39" t="str">
        <f>IFERROR(VLOOKUP($B98&amp;AF$5,'Mark Leave'!$A$1:$E$1841,5,0),"")</f>
        <v/>
      </c>
      <c r="AG98" s="39" t="str">
        <f>IFERROR(VLOOKUP($B98&amp;AG$5,'Mark Leave'!$A$1:$E$1841,5,0),"")</f>
        <v/>
      </c>
      <c r="AH98" s="39">
        <f>IFERROR(VLOOKUP($B98&amp;AH$5,'Mark Leave'!$A$1:$E$1841,5,0),"")</f>
        <v>0</v>
      </c>
      <c r="AI98" s="98" t="str">
        <f>IF($B98&lt;&gt;"",COUNTIF($D98:$AH98,'Setting '!$H$2),"")</f>
        <v/>
      </c>
      <c r="AJ98" s="98" t="str">
        <f>IF($B98&lt;&gt;"",COUNTIF($D98:$AH98,'Setting '!$H$3)/2,"")</f>
        <v/>
      </c>
      <c r="AK98" s="98" t="str">
        <f>IF($B98&lt;&gt;"",COUNTIF($D98:$AH98,'Setting '!$H$4),"")</f>
        <v/>
      </c>
      <c r="AL98" s="98" t="str">
        <f t="shared" si="39"/>
        <v/>
      </c>
      <c r="AM98" s="117" t="str">
        <f>IF(B98&lt;&gt;"",_xlfn.IFNA(VLOOKUP(B98,'Leave Credit Sheet'!B98:K191,10,0),""),"")</f>
        <v/>
      </c>
      <c r="AN98" s="98" t="str">
        <f t="shared" si="28"/>
        <v/>
      </c>
      <c r="AO98" s="106" t="str">
        <f>IF(B98&lt;&gt;"",_xlfn.IFNA(INDEX('CTC Sheet'!$C$6:$N$101,MATCH(AttendanceSheet!$B98,'CTC Sheet'!$A$6:$A$101,0),MATCH(AttendanceSheet!$T$1,'CTC Sheet'!$C$5:$N$5,0)),0),"")</f>
        <v/>
      </c>
      <c r="AP98" s="106" t="str">
        <f>IF(B98&lt;&gt;"",_xlfn.IFNA(INDEX('CTC Sheet'!$R$6:$AC$100,MATCH(AttendanceSheet!$B98,'CTC Sheet'!$P$6:$P$100,0),MATCH(AttendanceSheet!$T$1,'CTC Sheet'!$R$5:$AC$5,0)),0),"")</f>
        <v/>
      </c>
      <c r="AQ98" s="106" t="str">
        <f t="shared" si="29"/>
        <v/>
      </c>
      <c r="AR98" s="106" t="str">
        <f t="shared" si="30"/>
        <v/>
      </c>
      <c r="AS98" s="106" t="str">
        <f t="shared" si="31"/>
        <v/>
      </c>
      <c r="AT98" s="106" t="str">
        <f t="shared" si="32"/>
        <v/>
      </c>
      <c r="AU98" s="106" t="str">
        <f t="shared" si="33"/>
        <v/>
      </c>
      <c r="AV98" s="106" t="str">
        <f t="shared" si="34"/>
        <v/>
      </c>
      <c r="AW98" s="106" t="str">
        <f>IF(B98&lt;&gt;"",_xlfn.IFNA(INDEX('OtherArrear payment'!$A$1:$N$95,MATCH(AttendanceSheet!$B98,'OtherArrear payment'!$A$1:$A$95,0),MATCH(AttendanceSheet!$T$1,'OtherArrear payment'!$A$1:$N$1,0)),0),"")</f>
        <v/>
      </c>
      <c r="AX98" s="106" t="str">
        <f t="shared" si="40"/>
        <v/>
      </c>
      <c r="AY98" s="106">
        <f t="shared" si="35"/>
        <v>0</v>
      </c>
      <c r="AZ98" s="106">
        <f t="shared" si="36"/>
        <v>0</v>
      </c>
      <c r="BA98" s="106">
        <f t="shared" si="37"/>
        <v>0</v>
      </c>
      <c r="BB98" s="106">
        <f t="shared" si="38"/>
        <v>0</v>
      </c>
      <c r="BC98" s="106" t="str">
        <f>IF($B98&lt;&gt;"",IF(BL98="Yes",IF($BI98="Mr.",IF($AX98&lt;=7500,0,IF(AND($AX98&lt;10000,$AX98&gt;7501),175,IF(AND($AX98&gt;10000,'Setting '!$G$28&lt;&gt;11),200,300))),IF(AND($AX98&lt;=10000,$BI98="Ms."),0,IF(AND($AX98&gt;10000,'Setting '!$G$28&lt;&gt;11),200,300))),0),"")</f>
        <v/>
      </c>
      <c r="BD98" s="42"/>
      <c r="BE98" s="212" t="str">
        <f>IF($B98&lt;&gt;"",IF('Advance Sheet'!AF95&gt;=0,INDEX('Advance Sheet'!$Q$3:$AD$100,MATCH(AttendanceSheet!$B98,'Advance Sheet'!$Q$3:$Q$100,0),MATCH(AttendanceSheet!$T$1,'Advance Sheet'!$Q$3:$AD$3,)),0),"")</f>
        <v/>
      </c>
      <c r="BF98" s="137" t="str">
        <f t="shared" si="41"/>
        <v/>
      </c>
      <c r="BG98" s="97" t="str">
        <f>IF(B98&lt;&gt;"",VLOOKUP(B98,'Employee Details'!A97:S180,17,0),"")</f>
        <v/>
      </c>
      <c r="BH98" s="97" t="str">
        <f>IF(B98&lt;&gt;"",VLOOKUP(B98,'Employee Details'!A97:S180,18,0),"")</f>
        <v/>
      </c>
      <c r="BI98" s="40" t="str">
        <f>IF(B98&lt;&gt;"",VLOOKUP(B98,'Employee Details'!A96:S179,19,0),"")</f>
        <v/>
      </c>
      <c r="BJ98" s="38" t="str">
        <f>IF(B98&lt;&gt;"",VLOOKUP(B98,'Employee Details'!A97:D125,4,0),"")</f>
        <v/>
      </c>
      <c r="BK98" s="38" t="str">
        <f>IF(B98&lt;&gt;"",VLOOKUP(B98,'Employee Details'!A97:E180,5,0),"")</f>
        <v/>
      </c>
      <c r="BL98" s="210" t="str">
        <f>IF(B98&lt;&gt;"",VLOOKUP(B98,'Employee Details'!A97:U180,21,0),"")</f>
        <v/>
      </c>
    </row>
    <row r="99" spans="2:64" ht="16.5" thickTop="1" thickBot="1" x14ac:dyDescent="0.3">
      <c r="B99" s="37" t="str">
        <f>_xlfn.IFNA(INDEX('Employee Details'!$A$7:$A100,MATCH(AttendanceSheet!$C99,'Employee Details'!$B$7:$B100,0)),"")</f>
        <v/>
      </c>
      <c r="C99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'!$J$1:J93))),"")</f>
        <v/>
      </c>
      <c r="D99" s="39" t="str">
        <f>IFERROR(VLOOKUP($B99&amp;D$5,'Mark Leave'!$A$1:$E$1841,5,0),"")</f>
        <v/>
      </c>
      <c r="E99" s="39" t="str">
        <f>IFERROR(VLOOKUP($B99&amp;E$5,'Mark Leave'!$A$1:$E$1841,5,0),"")</f>
        <v/>
      </c>
      <c r="F99" s="39" t="str">
        <f>IFERROR(VLOOKUP($B99&amp;F$5,'Mark Leave'!$A$1:$E$1841,5,0),"")</f>
        <v/>
      </c>
      <c r="G99" s="39" t="str">
        <f>IFERROR(VLOOKUP($B99&amp;G$5,'Mark Leave'!$A$1:$E$1841,5,0),"")</f>
        <v/>
      </c>
      <c r="H99" s="39" t="str">
        <f>IFERROR(VLOOKUP($B99&amp;H$5,'Mark Leave'!$A$1:$E$1841,5,0),"")</f>
        <v/>
      </c>
      <c r="I99" s="39" t="str">
        <f>IFERROR(VLOOKUP($B99&amp;I$5,'Mark Leave'!$A$1:$E$1841,5,0),"")</f>
        <v/>
      </c>
      <c r="J99" s="39" t="str">
        <f>IFERROR(VLOOKUP($B99&amp;J$5,'Mark Leave'!$A$1:$E$1841,5,0),"")</f>
        <v/>
      </c>
      <c r="K99" s="39" t="str">
        <f>IFERROR(VLOOKUP($B99&amp;K$5,'Mark Leave'!$A$1:$E$1841,5,0),"")</f>
        <v/>
      </c>
      <c r="L99" s="39" t="str">
        <f>IFERROR(VLOOKUP($B99&amp;L$5,'Mark Leave'!$A$1:$E$1841,5,0),"")</f>
        <v/>
      </c>
      <c r="M99" s="39" t="str">
        <f>IFERROR(VLOOKUP($B99&amp;M$5,'Mark Leave'!$A$1:$E$1841,5,0),"")</f>
        <v/>
      </c>
      <c r="N99" s="39" t="str">
        <f>IFERROR(VLOOKUP($B99&amp;N$5,'Mark Leave'!$A$1:$E$1841,5,0),"")</f>
        <v/>
      </c>
      <c r="O99" s="39" t="str">
        <f>IFERROR(VLOOKUP($B99&amp;O$5,'Mark Leave'!$A$1:$E$1841,5,0),"")</f>
        <v/>
      </c>
      <c r="P99" s="39" t="str">
        <f>IFERROR(VLOOKUP($B99&amp;P$5,'Mark Leave'!$A$1:$E$1841,5,0),"")</f>
        <v/>
      </c>
      <c r="Q99" s="39" t="str">
        <f>IFERROR(VLOOKUP($B99&amp;Q$5,'Mark Leave'!$A$1:$E$1841,5,0),"")</f>
        <v/>
      </c>
      <c r="R99" s="39" t="str">
        <f>IFERROR(VLOOKUP($B99&amp;R$5,'Mark Leave'!$A$1:$E$1841,5,0),"")</f>
        <v/>
      </c>
      <c r="S99" s="39" t="str">
        <f>IFERROR(VLOOKUP($B99&amp;S$5,'Mark Leave'!$A$1:$E$1841,5,0),"")</f>
        <v/>
      </c>
      <c r="T99" s="39" t="str">
        <f>IFERROR(VLOOKUP($B99&amp;T$5,'Mark Leave'!$A$1:$E$1841,5,0),"")</f>
        <v/>
      </c>
      <c r="U99" s="39" t="str">
        <f>IFERROR(VLOOKUP($B99&amp;U$5,'Mark Leave'!$A$1:$E$1841,5,0),"")</f>
        <v/>
      </c>
      <c r="V99" s="39" t="str">
        <f>IFERROR(VLOOKUP($B99&amp;V$5,'Mark Leave'!$A$1:$E$1841,5,0),"")</f>
        <v/>
      </c>
      <c r="W99" s="39" t="str">
        <f>IFERROR(VLOOKUP($B99&amp;W$5,'Mark Leave'!$A$1:$E$1841,5,0),"")</f>
        <v/>
      </c>
      <c r="X99" s="39" t="str">
        <f>IFERROR(VLOOKUP($B99&amp;X$5,'Mark Leave'!$A$1:$E$1841,5,0),"")</f>
        <v/>
      </c>
      <c r="Y99" s="39" t="str">
        <f>IFERROR(VLOOKUP($B99&amp;Y$5,'Mark Leave'!$A$1:$E$1841,5,0),"")</f>
        <v/>
      </c>
      <c r="Z99" s="39" t="str">
        <f>IFERROR(VLOOKUP($B99&amp;Z$5,'Mark Leave'!$A$1:$E$1841,5,0),"")</f>
        <v/>
      </c>
      <c r="AA99" s="39" t="str">
        <f>IFERROR(VLOOKUP($B99&amp;AA$5,'Mark Leave'!$A$1:$E$1841,5,0),"")</f>
        <v/>
      </c>
      <c r="AB99" s="39" t="str">
        <f>IFERROR(VLOOKUP($B99&amp;AB$5,'Mark Leave'!$A$1:$E$1841,5,0),"")</f>
        <v/>
      </c>
      <c r="AC99" s="39" t="str">
        <f>IFERROR(VLOOKUP($B99&amp;AC$5,'Mark Leave'!$A$1:$E$1841,5,0),"")</f>
        <v/>
      </c>
      <c r="AD99" s="39" t="str">
        <f>IFERROR(VLOOKUP($B99&amp;AD$5,'Mark Leave'!$A$1:$E$1841,5,0),"")</f>
        <v/>
      </c>
      <c r="AE99" s="39" t="str">
        <f>IFERROR(VLOOKUP($B99&amp;AE$5,'Mark Leave'!$A$1:$E$1841,5,0),"")</f>
        <v/>
      </c>
      <c r="AF99" s="39" t="str">
        <f>IFERROR(VLOOKUP($B99&amp;AF$5,'Mark Leave'!$A$1:$E$1841,5,0),"")</f>
        <v/>
      </c>
      <c r="AG99" s="39" t="str">
        <f>IFERROR(VLOOKUP($B99&amp;AG$5,'Mark Leave'!$A$1:$E$1841,5,0),"")</f>
        <v/>
      </c>
      <c r="AH99" s="39">
        <f>IFERROR(VLOOKUP($B99&amp;AH$5,'Mark Leave'!$A$1:$E$1841,5,0),"")</f>
        <v>0</v>
      </c>
      <c r="AI99" s="98" t="str">
        <f>IF($B99&lt;&gt;"",COUNTIF($D99:$AH99,'Setting '!$H$2),"")</f>
        <v/>
      </c>
      <c r="AJ99" s="98" t="str">
        <f>IF($B99&lt;&gt;"",COUNTIF($D99:$AH99,'Setting '!$H$3)/2,"")</f>
        <v/>
      </c>
      <c r="AK99" s="98" t="str">
        <f>IF($B99&lt;&gt;"",COUNTIF($D99:$AH99,'Setting '!$H$4),"")</f>
        <v/>
      </c>
      <c r="AL99" s="98" t="str">
        <f t="shared" si="39"/>
        <v/>
      </c>
      <c r="AM99" s="117" t="str">
        <f>IF(B99&lt;&gt;"",_xlfn.IFNA(VLOOKUP(B99,'Leave Credit Sheet'!B99:K192,10,0),""),"")</f>
        <v/>
      </c>
      <c r="AN99" s="98" t="str">
        <f t="shared" si="28"/>
        <v/>
      </c>
      <c r="AO99" s="106" t="str">
        <f>IF(B99&lt;&gt;"",_xlfn.IFNA(INDEX('CTC Sheet'!$C$6:$N$101,MATCH(AttendanceSheet!$B99,'CTC Sheet'!$A$6:$A$101,0),MATCH(AttendanceSheet!$T$1,'CTC Sheet'!$C$5:$N$5,0)),0),"")</f>
        <v/>
      </c>
      <c r="AP99" s="106" t="str">
        <f>IF(B99&lt;&gt;"",_xlfn.IFNA(INDEX('CTC Sheet'!$R$6:$AC$100,MATCH(AttendanceSheet!$B99,'CTC Sheet'!$P$6:$P$100,0),MATCH(AttendanceSheet!$T$1,'CTC Sheet'!$R$5:$AC$5,0)),0),"")</f>
        <v/>
      </c>
      <c r="AQ99" s="106" t="str">
        <f t="shared" si="29"/>
        <v/>
      </c>
      <c r="AR99" s="106" t="str">
        <f t="shared" si="30"/>
        <v/>
      </c>
      <c r="AS99" s="106" t="str">
        <f t="shared" si="31"/>
        <v/>
      </c>
      <c r="AT99" s="106" t="str">
        <f t="shared" si="32"/>
        <v/>
      </c>
      <c r="AU99" s="106" t="str">
        <f t="shared" si="33"/>
        <v/>
      </c>
      <c r="AV99" s="106" t="str">
        <f t="shared" si="34"/>
        <v/>
      </c>
      <c r="AW99" s="106" t="str">
        <f>IF(B99&lt;&gt;"",_xlfn.IFNA(INDEX('OtherArrear payment'!$A$1:$N$95,MATCH(AttendanceSheet!$B99,'OtherArrear payment'!$A$1:$A$95,0),MATCH(AttendanceSheet!$T$1,'OtherArrear payment'!$A$1:$N$1,0)),0),"")</f>
        <v/>
      </c>
      <c r="AX99" s="106" t="str">
        <f t="shared" si="40"/>
        <v/>
      </c>
      <c r="AY99" s="106">
        <f t="shared" si="35"/>
        <v>0</v>
      </c>
      <c r="AZ99" s="106">
        <f t="shared" si="36"/>
        <v>0</v>
      </c>
      <c r="BA99" s="106">
        <f t="shared" si="37"/>
        <v>0</v>
      </c>
      <c r="BB99" s="106">
        <f t="shared" si="38"/>
        <v>0</v>
      </c>
      <c r="BC99" s="106" t="str">
        <f>IF($B99&lt;&gt;"",IF(BL99="Yes",IF($BI99="Mr.",IF($AX99&lt;=7500,0,IF(AND($AX99&lt;10000,$AX99&gt;7501),175,IF(AND($AX99&gt;10000,'Setting '!$G$28&lt;&gt;11),200,300))),IF(AND($AX99&lt;=10000,$BI99="Ms."),0,IF(AND($AX99&gt;10000,'Setting '!$G$28&lt;&gt;11),200,300))),0),"")</f>
        <v/>
      </c>
      <c r="BD99" s="42"/>
      <c r="BE99" s="212" t="str">
        <f>IF($B99&lt;&gt;"",IF('Advance Sheet'!AF96&gt;=0,INDEX('Advance Sheet'!$Q$3:$AD$100,MATCH(AttendanceSheet!$B99,'Advance Sheet'!$Q$3:$Q$100,0),MATCH(AttendanceSheet!$T$1,'Advance Sheet'!$Q$3:$AD$3,)),0),"")</f>
        <v/>
      </c>
      <c r="BF99" s="137" t="str">
        <f t="shared" si="41"/>
        <v/>
      </c>
      <c r="BG99" s="97" t="str">
        <f>IF(B99&lt;&gt;"",VLOOKUP(B99,'Employee Details'!A98:S181,17,0),"")</f>
        <v/>
      </c>
      <c r="BH99" s="97" t="str">
        <f>IF(B99&lt;&gt;"",VLOOKUP(B99,'Employee Details'!A98:S181,18,0),"")</f>
        <v/>
      </c>
      <c r="BI99" s="40" t="str">
        <f>IF(B99&lt;&gt;"",VLOOKUP(B99,'Employee Details'!A97:S180,19,0),"")</f>
        <v/>
      </c>
      <c r="BJ99" s="38" t="str">
        <f>IF(B99&lt;&gt;"",VLOOKUP(B99,'Employee Details'!A98:D126,4,0),"")</f>
        <v/>
      </c>
      <c r="BK99" s="38" t="str">
        <f>IF(B99&lt;&gt;"",VLOOKUP(B99,'Employee Details'!A98:E181,5,0),"")</f>
        <v/>
      </c>
      <c r="BL99" s="210" t="str">
        <f>IF(B99&lt;&gt;"",VLOOKUP(B99,'Employee Details'!A98:U181,21,0),"")</f>
        <v/>
      </c>
    </row>
    <row r="100" spans="2:64" ht="16.5" thickTop="1" thickBot="1" x14ac:dyDescent="0.3">
      <c r="B100" s="37" t="str">
        <f>_xlfn.IFNA(INDEX('Employee Details'!$A$7:$A100,MATCH(AttendanceSheet!$C100,'Employee Details'!$B$7:$B100,0)),"")</f>
        <v/>
      </c>
      <c r="C100" s="38" t="str">
        <f>IFERROR(INDEX('Employee Details'!$B$7:$B$100,_xlfn.AGGREGATE(15,3,('Employee Details'!$F$7:$F$100='Setting '!$F$2)/('Employee Details'!$F$7:$F$100='Setting '!$F$2)*ROW('Employee Details'!$F$7:$F$100)-ROW('Employee Details'!$F$6),ROWS('Setting '!$J$1:J94))),"")</f>
        <v/>
      </c>
      <c r="D100" s="39" t="str">
        <f>IFERROR(VLOOKUP($B100&amp;D$5,'Mark Leave'!$A$1:$E$1841,5,0),"")</f>
        <v/>
      </c>
      <c r="E100" s="39" t="str">
        <f>IFERROR(VLOOKUP($B100&amp;E$5,'Mark Leave'!$A$1:$E$1841,5,0),"")</f>
        <v/>
      </c>
      <c r="F100" s="39" t="str">
        <f>IFERROR(VLOOKUP($B100&amp;F$5,'Mark Leave'!$A$1:$E$1841,5,0),"")</f>
        <v/>
      </c>
      <c r="G100" s="39" t="str">
        <f>IFERROR(VLOOKUP($B100&amp;G$5,'Mark Leave'!$A$1:$E$1841,5,0),"")</f>
        <v/>
      </c>
      <c r="H100" s="39" t="str">
        <f>IFERROR(VLOOKUP($B100&amp;H$5,'Mark Leave'!$A$1:$E$1841,5,0),"")</f>
        <v/>
      </c>
      <c r="I100" s="39" t="str">
        <f>IFERROR(VLOOKUP($B100&amp;I$5,'Mark Leave'!$A$1:$E$1841,5,0),"")</f>
        <v/>
      </c>
      <c r="J100" s="39" t="str">
        <f>IFERROR(VLOOKUP($B100&amp;J$5,'Mark Leave'!$A$1:$E$1841,5,0),"")</f>
        <v/>
      </c>
      <c r="K100" s="39" t="str">
        <f>IFERROR(VLOOKUP($B100&amp;K$5,'Mark Leave'!$A$1:$E$1841,5,0),"")</f>
        <v/>
      </c>
      <c r="L100" s="39" t="str">
        <f>IFERROR(VLOOKUP($B100&amp;L$5,'Mark Leave'!$A$1:$E$1841,5,0),"")</f>
        <v/>
      </c>
      <c r="M100" s="39" t="str">
        <f>IFERROR(VLOOKUP($B100&amp;M$5,'Mark Leave'!$A$1:$E$1841,5,0),"")</f>
        <v/>
      </c>
      <c r="N100" s="39" t="str">
        <f>IFERROR(VLOOKUP($B100&amp;N$5,'Mark Leave'!$A$1:$E$1841,5,0),"")</f>
        <v/>
      </c>
      <c r="O100" s="39" t="str">
        <f>IFERROR(VLOOKUP($B100&amp;O$5,'Mark Leave'!$A$1:$E$1841,5,0),"")</f>
        <v/>
      </c>
      <c r="P100" s="39" t="str">
        <f>IFERROR(VLOOKUP($B100&amp;P$5,'Mark Leave'!$A$1:$E$1841,5,0),"")</f>
        <v/>
      </c>
      <c r="Q100" s="39" t="str">
        <f>IFERROR(VLOOKUP($B100&amp;Q$5,'Mark Leave'!$A$1:$E$1841,5,0),"")</f>
        <v/>
      </c>
      <c r="R100" s="39" t="str">
        <f>IFERROR(VLOOKUP($B100&amp;R$5,'Mark Leave'!$A$1:$E$1841,5,0),"")</f>
        <v/>
      </c>
      <c r="S100" s="39" t="str">
        <f>IFERROR(VLOOKUP($B100&amp;S$5,'Mark Leave'!$A$1:$E$1841,5,0),"")</f>
        <v/>
      </c>
      <c r="T100" s="39" t="str">
        <f>IFERROR(VLOOKUP($B100&amp;T$5,'Mark Leave'!$A$1:$E$1841,5,0),"")</f>
        <v/>
      </c>
      <c r="U100" s="39" t="str">
        <f>IFERROR(VLOOKUP($B100&amp;U$5,'Mark Leave'!$A$1:$E$1841,5,0),"")</f>
        <v/>
      </c>
      <c r="V100" s="39" t="str">
        <f>IFERROR(VLOOKUP($B100&amp;V$5,'Mark Leave'!$A$1:$E$1841,5,0),"")</f>
        <v/>
      </c>
      <c r="W100" s="39" t="str">
        <f>IFERROR(VLOOKUP($B100&amp;W$5,'Mark Leave'!$A$1:$E$1841,5,0),"")</f>
        <v/>
      </c>
      <c r="X100" s="39" t="str">
        <f>IFERROR(VLOOKUP($B100&amp;X$5,'Mark Leave'!$A$1:$E$1841,5,0),"")</f>
        <v/>
      </c>
      <c r="Y100" s="39" t="str">
        <f>IFERROR(VLOOKUP($B100&amp;Y$5,'Mark Leave'!$A$1:$E$1841,5,0),"")</f>
        <v/>
      </c>
      <c r="Z100" s="39" t="str">
        <f>IFERROR(VLOOKUP($B100&amp;Z$5,'Mark Leave'!$A$1:$E$1841,5,0),"")</f>
        <v/>
      </c>
      <c r="AA100" s="39" t="str">
        <f>IFERROR(VLOOKUP($B100&amp;AA$5,'Mark Leave'!$A$1:$E$1841,5,0),"")</f>
        <v/>
      </c>
      <c r="AB100" s="39" t="str">
        <f>IFERROR(VLOOKUP($B100&amp;AB$5,'Mark Leave'!$A$1:$E$1841,5,0),"")</f>
        <v/>
      </c>
      <c r="AC100" s="39" t="str">
        <f>IFERROR(VLOOKUP($B100&amp;AC$5,'Mark Leave'!$A$1:$E$1841,5,0),"")</f>
        <v/>
      </c>
      <c r="AD100" s="39" t="str">
        <f>IFERROR(VLOOKUP($B100&amp;AD$5,'Mark Leave'!$A$1:$E$1841,5,0),"")</f>
        <v/>
      </c>
      <c r="AE100" s="39" t="str">
        <f>IFERROR(VLOOKUP($B100&amp;AE$5,'Mark Leave'!$A$1:$E$1841,5,0),"")</f>
        <v/>
      </c>
      <c r="AF100" s="39" t="str">
        <f>IFERROR(VLOOKUP($B100&amp;AF$5,'Mark Leave'!$A$1:$E$1841,5,0),"")</f>
        <v/>
      </c>
      <c r="AG100" s="39" t="str">
        <f>IFERROR(VLOOKUP($B100&amp;AG$5,'Mark Leave'!$A$1:$E$1841,5,0),"")</f>
        <v/>
      </c>
      <c r="AH100" s="39">
        <f>IFERROR(VLOOKUP($B100&amp;AH$5,'Mark Leave'!$A$1:$E$1841,5,0),"")</f>
        <v>0</v>
      </c>
      <c r="AI100" s="98" t="str">
        <f>IF($B100&lt;&gt;"",COUNTIF($D100:$AH100,'Setting '!$H$2),"")</f>
        <v/>
      </c>
      <c r="AJ100" s="98" t="str">
        <f>IF($B100&lt;&gt;"",COUNTIF($D100:$AH100,'Setting '!$H$3)/2,"")</f>
        <v/>
      </c>
      <c r="AK100" s="98" t="str">
        <f>IF($B100&lt;&gt;"",COUNTIF($D100:$AH100,'Setting '!$H$4),"")</f>
        <v/>
      </c>
      <c r="AL100" s="98" t="str">
        <f t="shared" si="39"/>
        <v/>
      </c>
      <c r="AM100" s="117" t="str">
        <f>IF(B100&lt;&gt;"",_xlfn.IFNA(VLOOKUP(B100,'Leave Credit Sheet'!B100:K193,10,0),""),"")</f>
        <v/>
      </c>
      <c r="AN100" s="98" t="str">
        <f t="shared" si="28"/>
        <v/>
      </c>
      <c r="AO100" s="106" t="str">
        <f>IF(B100&lt;&gt;"",_xlfn.IFNA(INDEX('CTC Sheet'!$C$6:$N$101,MATCH(AttendanceSheet!$B100,'CTC Sheet'!$A$6:$A$101,0),MATCH(AttendanceSheet!$T$1,'CTC Sheet'!$C$5:$N$5,0)),0),"")</f>
        <v/>
      </c>
      <c r="AP100" s="106" t="str">
        <f>IF(B100&lt;&gt;"",_xlfn.IFNA(INDEX('CTC Sheet'!$R$6:$AC$100,MATCH(AttendanceSheet!$B100,'CTC Sheet'!$P$6:$P$100,0),MATCH(AttendanceSheet!$T$1,'CTC Sheet'!$R$5:$AC$5,0)),0),"")</f>
        <v/>
      </c>
      <c r="AQ100" s="106" t="str">
        <f t="shared" si="29"/>
        <v/>
      </c>
      <c r="AR100" s="106" t="str">
        <f t="shared" si="30"/>
        <v/>
      </c>
      <c r="AS100" s="106" t="str">
        <f t="shared" si="31"/>
        <v/>
      </c>
      <c r="AT100" s="106" t="str">
        <f t="shared" si="32"/>
        <v/>
      </c>
      <c r="AU100" s="106" t="str">
        <f t="shared" si="33"/>
        <v/>
      </c>
      <c r="AV100" s="106" t="str">
        <f t="shared" si="34"/>
        <v/>
      </c>
      <c r="AW100" s="106" t="str">
        <f>IF(B100&lt;&gt;"",_xlfn.IFNA(INDEX('OtherArrear payment'!$A$1:$N$95,MATCH(AttendanceSheet!$B100,'OtherArrear payment'!$A$1:$A$95,0),MATCH(AttendanceSheet!$T$1,'OtherArrear payment'!$A$1:$N$1,0)),0),"")</f>
        <v/>
      </c>
      <c r="AX100" s="106" t="str">
        <f t="shared" si="40"/>
        <v/>
      </c>
      <c r="AY100" s="106">
        <f t="shared" si="35"/>
        <v>0</v>
      </c>
      <c r="AZ100" s="106">
        <f t="shared" si="36"/>
        <v>0</v>
      </c>
      <c r="BA100" s="106">
        <f t="shared" si="37"/>
        <v>0</v>
      </c>
      <c r="BB100" s="106">
        <f t="shared" si="38"/>
        <v>0</v>
      </c>
      <c r="BC100" s="106" t="str">
        <f>IF($B100&lt;&gt;"",IF(BL100="Yes",IF($BI100="Mr.",IF($AX100&lt;=7500,0,IF(AND($AX100&lt;10000,$AX100&gt;7501),175,IF(AND($AX100&gt;10000,'Setting '!$G$28&lt;&gt;11),200,300))),IF(AND($AX100&lt;=10000,$BI100="Ms."),0,IF(AND($AX100&gt;10000,'Setting '!$G$28&lt;&gt;11),200,300))),0),"")</f>
        <v/>
      </c>
      <c r="BD100" s="42"/>
      <c r="BE100" s="212" t="str">
        <f>IF($B100&lt;&gt;"",IF('Advance Sheet'!AF97&gt;=0,INDEX('Advance Sheet'!$Q$3:$AD$100,MATCH(AttendanceSheet!$B100,'Advance Sheet'!$Q$3:$Q$100,0),MATCH(AttendanceSheet!$T$1,'Advance Sheet'!$Q$3:$AD$3,)),0),"")</f>
        <v/>
      </c>
      <c r="BF100" s="137" t="str">
        <f t="shared" si="41"/>
        <v/>
      </c>
      <c r="BG100" s="97" t="str">
        <f>IF(B100&lt;&gt;"",VLOOKUP(B100,'Employee Details'!A99:S182,17,0),"")</f>
        <v/>
      </c>
      <c r="BH100" s="97" t="str">
        <f>IF(B100&lt;&gt;"",VLOOKUP(B100,'Employee Details'!A99:S182,18,0),"")</f>
        <v/>
      </c>
      <c r="BI100" s="40" t="str">
        <f>IF(B100&lt;&gt;"",VLOOKUP(B100,'Employee Details'!A98:S181,19,0),"")</f>
        <v/>
      </c>
      <c r="BJ100" s="38" t="str">
        <f>IF(B100&lt;&gt;"",VLOOKUP(B100,'Employee Details'!A99:D127,4,0),"")</f>
        <v/>
      </c>
      <c r="BK100" s="38" t="str">
        <f>IF(B100&lt;&gt;"",VLOOKUP(B100,'Employee Details'!A99:E182,5,0),"")</f>
        <v/>
      </c>
      <c r="BL100" s="210" t="str">
        <f>IF(B100&lt;&gt;"",VLOOKUP(B100,'Employee Details'!A99:U182,21,0),"")</f>
        <v/>
      </c>
    </row>
    <row r="101" spans="2:64" ht="15.75" thickTop="1" x14ac:dyDescent="0.25">
      <c r="C101" t="str">
        <f>IFERROR(INDEX('Employee Details'!$B$7:$B$80,_xlfn.AGGREGATE(15,3,('Employee Details'!$F$7:$F$80='Setting '!$F$2)/('Employee Details'!$F$7:$F$80='Setting '!$F$2)*ROW('Employee Details'!$F$7:$F$80)-ROW('Employee Details'!$F$6),ROWS('Setting '!$J$1:J69))),"")</f>
        <v/>
      </c>
    </row>
    <row r="105" spans="2:64" x14ac:dyDescent="0.25">
      <c r="C105" t="str">
        <f>IFERROR(INDEX('Employee Details'!$B$7:$B$25,_xlfn.AGGREGATE(15,3,('Employee Details'!$F$7:$F$25='Setting '!$F$2)/('Employee Details'!$F$7:$F$25='Setting '!$F$2)*ROW('Employee Details'!$F$7:$F$25)-ROW('Employee Details'!$F$6),ROWS('Setting '!$J$1:J20))),"")</f>
        <v/>
      </c>
    </row>
    <row r="106" spans="2:64" x14ac:dyDescent="0.25">
      <c r="C106" t="str">
        <f>IFERROR(INDEX('Employee Details'!$B$7:$B$25,_xlfn.AGGREGATE(15,3,('Employee Details'!$F$7:$F$25='Setting '!$F$2)/('Employee Details'!$F$7:$F$25='Setting '!$F$2)*ROW('Employee Details'!$F$7:$F$25)-ROW('Employee Details'!$F$6),ROWS('Setting '!$J$1:J21))),"")</f>
        <v/>
      </c>
    </row>
    <row r="107" spans="2:64" x14ac:dyDescent="0.25">
      <c r="C107" t="str">
        <f>IFERROR(INDEX('Employee Details'!$B$7:$B$25,_xlfn.AGGREGATE(15,3,('Employee Details'!$F$7:$F$25='Setting '!$F$2)/('Employee Details'!$F$7:$F$25='Setting '!$F$2)*ROW('Employee Details'!$F$7:$F$25)-ROW('Employee Details'!$F$6),ROWS('Setting '!$J$1:J22))),"")</f>
        <v/>
      </c>
    </row>
    <row r="108" spans="2:64" x14ac:dyDescent="0.25">
      <c r="C108" t="str">
        <f>IFERROR(INDEX('Employee Details'!$B$7:$B$25,_xlfn.AGGREGATE(15,3,('Employee Details'!$F$7:$F$25='Setting '!$F$2)/('Employee Details'!$F$7:$F$25='Setting '!$F$2)*ROW('Employee Details'!$F$7:$F$25)-ROW('Employee Details'!$F$6),ROWS('Setting '!$J$1:J23))),"")</f>
        <v/>
      </c>
    </row>
    <row r="109" spans="2:64" x14ac:dyDescent="0.25">
      <c r="C109" t="str">
        <f>IFERROR(INDEX('Employee Details'!$B$7:$B$25,_xlfn.AGGREGATE(15,3,('Employee Details'!$F$7:$F$25='Setting '!$F$2)/('Employee Details'!$F$7:$F$25='Setting '!$F$2)*ROW('Employee Details'!$F$7:$F$25)-ROW('Employee Details'!$F$6),ROWS('Setting '!$J$1:J24))),"")</f>
        <v/>
      </c>
    </row>
    <row r="110" spans="2:64" x14ac:dyDescent="0.25">
      <c r="C110" t="str">
        <f>IFERROR(INDEX('Employee Details'!$B$7:$B$25,_xlfn.AGGREGATE(15,3,('Employee Details'!$F$7:$F$25='Setting '!$F$2)/('Employee Details'!$F$7:$F$25='Setting '!$F$2)*ROW('Employee Details'!$F$7:$F$25)-ROW('Employee Details'!$F$6),ROWS('Setting '!$J$1:J25))),"")</f>
        <v/>
      </c>
    </row>
    <row r="111" spans="2:64" x14ac:dyDescent="0.25">
      <c r="C111" t="str">
        <f>IFERROR(INDEX('Employee Details'!$B$7:$B$25,_xlfn.AGGREGATE(15,3,('Employee Details'!$F$7:$F$25='Setting '!$F$2)/('Employee Details'!$F$7:$F$25='Setting '!$F$2)*ROW('Employee Details'!$F$7:$F$25)-ROW('Employee Details'!$F$6),ROWS('Setting '!$J$1:J26))),"")</f>
        <v/>
      </c>
    </row>
    <row r="112" spans="2:64" x14ac:dyDescent="0.25">
      <c r="C112" t="str">
        <f>IFERROR(INDEX('Employee Details'!$B$7:$B$25,_xlfn.AGGREGATE(15,3,('Employee Details'!$F$7:$F$25='Setting '!$F$2)/('Employee Details'!$F$7:$F$25='Setting '!$F$2)*ROW('Employee Details'!$F$7:$F$25)-ROW('Employee Details'!$F$6),ROWS('Setting '!$J$1:J27))),"")</f>
        <v/>
      </c>
    </row>
    <row r="113" spans="3:3" x14ac:dyDescent="0.25">
      <c r="C113" t="str">
        <f>IFERROR(INDEX('Employee Details'!$B$7:$B$25,_xlfn.AGGREGATE(15,3,('Employee Details'!$F$7:$F$25='Setting '!$F$2)/('Employee Details'!$F$7:$F$25='Setting '!$F$2)*ROW('Employee Details'!$F$7:$F$25)-ROW('Employee Details'!$F$6),ROWS('Setting '!$J$1:J28))),"")</f>
        <v/>
      </c>
    </row>
    <row r="114" spans="3:3" x14ac:dyDescent="0.25">
      <c r="C114" t="str">
        <f>IFERROR(INDEX('Employee Details'!$B$7:$B$25,_xlfn.AGGREGATE(15,3,('Employee Details'!$F$7:$F$25='Setting '!$F$2)/('Employee Details'!$F$7:$F$25='Setting '!$F$2)*ROW('Employee Details'!$F$7:$F$25)-ROW('Employee Details'!$F$6),ROWS('Setting '!$J$1:J29))),"")</f>
        <v/>
      </c>
    </row>
    <row r="115" spans="3:3" x14ac:dyDescent="0.25">
      <c r="C115" t="str">
        <f>IFERROR(INDEX('Employee Details'!$B$7:$B$25,_xlfn.AGGREGATE(15,3,('Employee Details'!$F$7:$F$25='Setting '!$F$2)/('Employee Details'!$F$7:$F$25='Setting '!$F$2)*ROW('Employee Details'!$F$7:$F$25)-ROW('Employee Details'!$F$6),ROWS('Setting '!$J$1:J30))),"")</f>
        <v/>
      </c>
    </row>
    <row r="116" spans="3:3" x14ac:dyDescent="0.25">
      <c r="C116" t="str">
        <f>IFERROR(INDEX('Employee Details'!$B$7:$B$25,_xlfn.AGGREGATE(15,3,('Employee Details'!$F$7:$F$25='Setting '!$F$2)/('Employee Details'!$F$7:$F$25='Setting '!$F$2)*ROW('Employee Details'!$F$7:$F$25)-ROW('Employee Details'!$F$6),ROWS('Setting '!$J$1:J31))),"")</f>
        <v/>
      </c>
    </row>
    <row r="117" spans="3:3" x14ac:dyDescent="0.25">
      <c r="C117" t="str">
        <f>IFERROR(INDEX('Employee Details'!$B$7:$B$25,_xlfn.AGGREGATE(15,3,('Employee Details'!$F$7:$F$25='Setting '!$F$2)/('Employee Details'!$F$7:$F$25='Setting '!$F$2)*ROW('Employee Details'!$F$7:$F$25)-ROW('Employee Details'!$F$6),ROWS('Setting '!$J$1:J32))),"")</f>
        <v/>
      </c>
    </row>
    <row r="118" spans="3:3" x14ac:dyDescent="0.25">
      <c r="C118" t="str">
        <f>IFERROR(INDEX('Employee Details'!$B$7:$B$25,_xlfn.AGGREGATE(15,3,('Employee Details'!$F$7:$F$25='Setting '!$F$2)/('Employee Details'!$F$7:$F$25='Setting '!$F$2)*ROW('Employee Details'!$F$7:$F$25)-ROW('Employee Details'!$F$6),ROWS('Setting '!$J$1:J33))),"")</f>
        <v/>
      </c>
    </row>
    <row r="119" spans="3:3" x14ac:dyDescent="0.25">
      <c r="C119" t="str">
        <f>IFERROR(INDEX('Employee Details'!$B$7:$B$25,_xlfn.AGGREGATE(15,3,('Employee Details'!$F$7:$F$25='Setting '!$F$2)/('Employee Details'!$F$7:$F$25='Setting '!$F$2)*ROW('Employee Details'!$F$7:$F$25)-ROW('Employee Details'!$F$6),ROWS('Setting '!$J$1:J34))),"")</f>
        <v/>
      </c>
    </row>
    <row r="120" spans="3:3" x14ac:dyDescent="0.25">
      <c r="C120" t="str">
        <f>IFERROR(INDEX('Employee Details'!$B$7:$B$25,_xlfn.AGGREGATE(15,3,('Employee Details'!$F$7:$F$25='Setting '!$F$2)/('Employee Details'!$F$7:$F$25='Setting '!$F$2)*ROW('Employee Details'!$F$7:$F$25)-ROW('Employee Details'!$F$6),ROWS('Setting '!$J$1:J35))),"")</f>
        <v/>
      </c>
    </row>
    <row r="121" spans="3:3" x14ac:dyDescent="0.25">
      <c r="C121" t="str">
        <f>IFERROR(INDEX('Employee Details'!$B$7:$B$25,_xlfn.AGGREGATE(15,3,('Employee Details'!$F$7:$F$25='Setting '!$F$2)/('Employee Details'!$F$7:$F$25='Setting '!$F$2)*ROW('Employee Details'!$F$7:$F$25)-ROW('Employee Details'!$F$6),ROWS('Setting '!$J$1:J36))),"")</f>
        <v/>
      </c>
    </row>
    <row r="122" spans="3:3" x14ac:dyDescent="0.25">
      <c r="C122" t="str">
        <f>IFERROR(INDEX('Employee Details'!$B$7:$B$25,_xlfn.AGGREGATE(15,3,('Employee Details'!$F$7:$F$25='Setting '!$F$2)/('Employee Details'!$F$7:$F$25='Setting '!$F$2)*ROW('Employee Details'!$F$7:$F$25)-ROW('Employee Details'!$F$6),ROWS('Setting '!$J$1:J37))),"")</f>
        <v/>
      </c>
    </row>
  </sheetData>
  <mergeCells count="33">
    <mergeCell ref="B1:C3"/>
    <mergeCell ref="BI5:BI6"/>
    <mergeCell ref="T1:AC3"/>
    <mergeCell ref="E1:G3"/>
    <mergeCell ref="BG5:BG6"/>
    <mergeCell ref="BH5:BH6"/>
    <mergeCell ref="AY5:AY6"/>
    <mergeCell ref="AZ5:AZ6"/>
    <mergeCell ref="AO5:AO6"/>
    <mergeCell ref="AL5:AL6"/>
    <mergeCell ref="AN5:AN6"/>
    <mergeCell ref="AM5:AM6"/>
    <mergeCell ref="AV5:AV6"/>
    <mergeCell ref="BF5:BF6"/>
    <mergeCell ref="BG4:BL4"/>
    <mergeCell ref="BL5:BL6"/>
    <mergeCell ref="AO4:AX4"/>
    <mergeCell ref="AR5:AR6"/>
    <mergeCell ref="AS5:AS6"/>
    <mergeCell ref="BA5:BA6"/>
    <mergeCell ref="BB5:BB6"/>
    <mergeCell ref="AY4:BF4"/>
    <mergeCell ref="AP5:AP6"/>
    <mergeCell ref="AU5:AU6"/>
    <mergeCell ref="AX5:AX6"/>
    <mergeCell ref="AT5:AT6"/>
    <mergeCell ref="AQ5:AQ6"/>
    <mergeCell ref="BJ5:BJ6"/>
    <mergeCell ref="BK5:BK6"/>
    <mergeCell ref="AW5:AW6"/>
    <mergeCell ref="BC5:BC6"/>
    <mergeCell ref="BD5:BD6"/>
    <mergeCell ref="BE5:BE6"/>
  </mergeCells>
  <conditionalFormatting sqref="D5:AH100">
    <cfRule type="expression" dxfId="61" priority="15">
      <formula>AND($B5&lt;&gt;"",OR(TEXT(D$5,"ddd")="sun"))</formula>
    </cfRule>
  </conditionalFormatting>
  <conditionalFormatting sqref="D5:AH6">
    <cfRule type="notContainsBlanks" dxfId="60" priority="18">
      <formula>LEN(TRIM(D5))&gt;0</formula>
    </cfRule>
  </conditionalFormatting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operator="containsText" id="{8FC53CF1-F1A5-4E6E-A5B9-937DEE761668}">
            <xm:f>NOT(ISERROR(SEARCH('Setting '!$H$4,D7)))</xm:f>
            <xm:f>'Setting '!$H$4</xm:f>
            <x14:dxf>
              <font>
                <color theme="0"/>
              </font>
              <fill>
                <gradientFill>
                  <stop position="0">
                    <color rgb="FFFF0909"/>
                  </stop>
                  <stop position="1">
                    <color rgb="FFFFFF00"/>
                  </stop>
                </gradientFill>
              </fill>
            </x14:dxf>
          </x14:cfRule>
          <x14:cfRule type="containsText" priority="9" operator="containsText" id="{E7D782FC-7BB1-405B-BDC7-7D5193E5B44D}">
            <xm:f>NOT(ISERROR(SEARCH('Setting '!$H$3,D7)))</xm:f>
            <xm:f>'Setting '!$H$3</xm:f>
            <x14:dxf>
              <font>
                <color theme="0"/>
              </font>
              <fill>
                <gradientFill>
                  <stop position="0">
                    <color rgb="FFF50995"/>
                  </stop>
                  <stop position="1">
                    <color rgb="FFFBD9F5"/>
                  </stop>
                </gradientFill>
              </fill>
            </x14:dxf>
          </x14:cfRule>
          <x14:cfRule type="containsText" priority="12" operator="containsText" id="{9D5CD0A0-EB51-47E7-B9FE-071719945977}">
            <xm:f>NOT(ISERROR(SEARCH('Setting '!$H$2,D7)))</xm:f>
            <xm:f>'Setting '!$H$2</xm:f>
            <x14:dxf>
              <font>
                <color theme="0"/>
              </font>
              <fill>
                <gradientFill>
                  <stop position="0">
                    <color rgb="FF225380"/>
                  </stop>
                  <stop position="1">
                    <color theme="4" tint="0.59999389629810485"/>
                  </stop>
                </gradientFill>
              </fill>
            </x14:dxf>
          </x14:cfRule>
          <xm:sqref>D7:AH100</xm:sqref>
        </x14:conditionalFormatting>
        <x14:conditionalFormatting xmlns:xm="http://schemas.microsoft.com/office/excel/2006/main">
          <x14:cfRule type="containsText" priority="5" operator="containsText" id="{01250A6F-5A56-41BC-BFD8-392D49B02D3D}">
            <xm:f>NOT(ISERROR(SEARCH('\Users\Manish Kadam\Documents\Salary details\[Salary Sheet - Finalised.xlsx]Setting '!#REF!,AI6)))</xm:f>
            <xm:f>'\Users\Manish Kadam\Documents\Salary details\[Salary Sheet - Finalised.xlsx]Setting '!#REF!</xm:f>
            <x14:dxf>
              <font>
                <color theme="0"/>
              </font>
              <fill>
                <gradientFill>
                  <stop position="0">
                    <color rgb="FFF50995"/>
                  </stop>
                  <stop position="1">
                    <color rgb="FFFBD9F5"/>
                  </stop>
                </gradientFill>
              </fill>
            </x14:dxf>
          </x14:cfRule>
          <xm:sqref>AI6</xm:sqref>
        </x14:conditionalFormatting>
        <x14:conditionalFormatting xmlns:xm="http://schemas.microsoft.com/office/excel/2006/main">
          <x14:cfRule type="containsText" priority="6" operator="containsText" id="{1529B1E6-4D34-4D25-B70B-F7CE2AC78C53}">
            <xm:f>NOT(ISERROR(SEARCH('\Users\Manish Kadam\Documents\Salary details\[Salary Sheet - Finalised.xlsx]Setting '!#REF!,AI6)))</xm:f>
            <xm:f>'\Users\Manish Kadam\Documents\Salary details\[Salary Sheet - Finalised.xlsx]Setting '!#REF!</xm:f>
            <x14:dxf>
              <font>
                <color theme="0"/>
              </font>
              <fill>
                <gradientFill>
                  <stop position="0">
                    <color rgb="FF225380"/>
                  </stop>
                  <stop position="1">
                    <color theme="4" tint="0.59999389629810485"/>
                  </stop>
                </gradientFill>
              </fill>
            </x14:dxf>
          </x14:cfRule>
          <xm:sqref>AI6</xm:sqref>
        </x14:conditionalFormatting>
        <x14:conditionalFormatting xmlns:xm="http://schemas.microsoft.com/office/excel/2006/main">
          <x14:cfRule type="containsText" priority="4" operator="containsText" id="{97A9F726-BA3A-4B3E-82C8-09ECBD787CFA}">
            <xm:f>NOT(ISERROR(SEARCH('\Users\Manish Kadam\Documents\Salary details\[Salary Sheet - Finalised.xlsx]Setting '!#REF!,AI6)))</xm:f>
            <xm:f>'\Users\Manish Kadam\Documents\Salary details\[Salary Sheet - Finalised.xlsx]Setting '!#REF!</xm:f>
            <x14:dxf>
              <font>
                <color theme="0"/>
              </font>
              <fill>
                <gradientFill>
                  <stop position="0">
                    <color rgb="FFFF0909"/>
                  </stop>
                  <stop position="1">
                    <color rgb="FFFFFF00"/>
                  </stop>
                </gradientFill>
              </fill>
            </x14:dxf>
          </x14:cfRule>
          <xm:sqref>AI6</xm:sqref>
        </x14:conditionalFormatting>
        <x14:conditionalFormatting xmlns:xm="http://schemas.microsoft.com/office/excel/2006/main">
          <x14:cfRule type="containsText" priority="2" operator="containsText" id="{7EEA0F4D-9232-4A82-BCBD-7C25D56F055F}">
            <xm:f>NOT(ISERROR(SEARCH('\Users\Manish Kadam\Documents\Salary details\[Salary Sheet - Finalised.xlsx]Setting '!#REF!,AJ6)))</xm:f>
            <xm:f>'\Users\Manish Kadam\Documents\Salary details\[Salary Sheet - Finalised.xlsx]Setting '!#REF!</xm:f>
            <x14:dxf>
              <font>
                <color theme="0"/>
              </font>
              <fill>
                <gradientFill>
                  <stop position="0">
                    <color rgb="FFF50995"/>
                  </stop>
                  <stop position="1">
                    <color rgb="FFFBD9F5"/>
                  </stop>
                </gradientFill>
              </fill>
            </x14:dxf>
          </x14:cfRule>
          <xm:sqref>AJ6</xm:sqref>
        </x14:conditionalFormatting>
        <x14:conditionalFormatting xmlns:xm="http://schemas.microsoft.com/office/excel/2006/main">
          <x14:cfRule type="containsText" priority="3" operator="containsText" id="{F6CA1180-A7BA-4569-9B65-4386A8074576}">
            <xm:f>NOT(ISERROR(SEARCH('\Users\Manish Kadam\Documents\Salary details\[Salary Sheet - Finalised.xlsx]Setting '!#REF!,AJ6)))</xm:f>
            <xm:f>'\Users\Manish Kadam\Documents\Salary details\[Salary Sheet - Finalised.xlsx]Setting '!#REF!</xm:f>
            <x14:dxf>
              <font>
                <color theme="0"/>
              </font>
              <fill>
                <gradientFill>
                  <stop position="0">
                    <color rgb="FF225380"/>
                  </stop>
                  <stop position="1">
                    <color theme="4" tint="0.59999389629810485"/>
                  </stop>
                </gradientFill>
              </fill>
            </x14:dxf>
          </x14:cfRule>
          <xm:sqref>AJ6</xm:sqref>
        </x14:conditionalFormatting>
        <x14:conditionalFormatting xmlns:xm="http://schemas.microsoft.com/office/excel/2006/main">
          <x14:cfRule type="containsText" priority="1" operator="containsText" id="{01C60F48-79E2-4854-BA69-E99BB682AA20}">
            <xm:f>NOT(ISERROR(SEARCH('\Users\Manish Kadam\Documents\Salary details\[Salary Sheet - Finalised.xlsx]Setting '!#REF!,AJ6)))</xm:f>
            <xm:f>'\Users\Manish Kadam\Documents\Salary details\[Salary Sheet - Finalised.xlsx]Setting '!#REF!</xm:f>
            <x14:dxf>
              <font>
                <color theme="0"/>
              </font>
              <fill>
                <gradientFill>
                  <stop position="0">
                    <color rgb="FFFF0909"/>
                  </stop>
                  <stop position="1">
                    <color rgb="FFFFFF00"/>
                  </stop>
                </gradientFill>
              </fill>
            </x14:dxf>
          </x14:cfRule>
          <xm:sqref>AJ6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000000"/>
    <pageSetUpPr fitToPage="1"/>
  </sheetPr>
  <dimension ref="B1:I30"/>
  <sheetViews>
    <sheetView zoomScale="85" zoomScaleNormal="85" workbookViewId="0">
      <selection activeCell="B2" sqref="B2:E2"/>
    </sheetView>
  </sheetViews>
  <sheetFormatPr defaultColWidth="21.85546875" defaultRowHeight="15" x14ac:dyDescent="0.25"/>
  <cols>
    <col min="2" max="2" width="29" bestFit="1" customWidth="1"/>
    <col min="3" max="3" width="21.42578125" style="9" bestFit="1" customWidth="1"/>
    <col min="4" max="4" width="45.85546875" customWidth="1"/>
    <col min="5" max="5" width="19.5703125" bestFit="1" customWidth="1"/>
    <col min="6" max="6" width="17.7109375" bestFit="1" customWidth="1"/>
    <col min="7" max="7" width="12.7109375" customWidth="1"/>
  </cols>
  <sheetData>
    <row r="1" spans="2:9" ht="15.75" thickBot="1" x14ac:dyDescent="0.3"/>
    <row r="2" spans="2:9" ht="33" customHeight="1" thickTop="1" x14ac:dyDescent="0.25">
      <c r="B2" s="286" t="s">
        <v>254</v>
      </c>
      <c r="C2" s="287"/>
      <c r="D2" s="287"/>
      <c r="E2" s="288"/>
      <c r="F2" s="190" t="s">
        <v>75</v>
      </c>
      <c r="G2" s="190" t="s">
        <v>163</v>
      </c>
      <c r="I2" s="10"/>
    </row>
    <row r="3" spans="2:9" ht="19.5" customHeight="1" x14ac:dyDescent="0.25">
      <c r="B3" s="289" t="s">
        <v>237</v>
      </c>
      <c r="C3" s="290"/>
      <c r="D3" s="290"/>
      <c r="E3" s="291"/>
      <c r="F3" s="190" t="s">
        <v>174</v>
      </c>
      <c r="G3" s="190" t="str">
        <f>INDEX(AttendanceSheet!$B$7:$B$100,MATCH(SalarySlip!$G$2,Table4[Employee Name],0))</f>
        <v>Emp_0012</v>
      </c>
    </row>
    <row r="4" spans="2:9" ht="49.5" customHeight="1" x14ac:dyDescent="0.25">
      <c r="B4" s="292" t="s">
        <v>59</v>
      </c>
      <c r="C4" s="293"/>
      <c r="D4" s="293"/>
      <c r="E4" s="294"/>
    </row>
    <row r="5" spans="2:9" ht="16.5" thickBot="1" x14ac:dyDescent="0.3">
      <c r="B5" s="147" t="s">
        <v>60</v>
      </c>
      <c r="C5" s="148" t="str">
        <f>+G2</f>
        <v>VIRENDRA ETHAPE</v>
      </c>
      <c r="D5" s="149" t="s">
        <v>61</v>
      </c>
      <c r="E5" s="150">
        <f>+AttendanceSheet!A1</f>
        <v>44501</v>
      </c>
    </row>
    <row r="6" spans="2:9" ht="17.25" thickTop="1" thickBot="1" x14ac:dyDescent="0.3">
      <c r="B6" s="151" t="s">
        <v>62</v>
      </c>
      <c r="C6" s="152" t="str">
        <f>+G3</f>
        <v>Emp_0012</v>
      </c>
      <c r="D6" s="153" t="s">
        <v>63</v>
      </c>
      <c r="E6" s="154">
        <f>VLOOKUP($C$6,'Employee Details'!A6:I100,9,0)</f>
        <v>0</v>
      </c>
    </row>
    <row r="7" spans="2:9" ht="15.75" customHeight="1" thickTop="1" thickBot="1" x14ac:dyDescent="0.3">
      <c r="B7" s="151" t="s">
        <v>12</v>
      </c>
      <c r="C7" s="152" t="str">
        <f>VLOOKUP($C$6,'Employee Details'!A6:C99,3,0)</f>
        <v>OTHER</v>
      </c>
      <c r="D7" s="153" t="s">
        <v>65</v>
      </c>
      <c r="E7" s="177">
        <f>VLOOKUP($C$6,'Employee Details'!$A6:$H45,8,0)</f>
        <v>0</v>
      </c>
    </row>
    <row r="8" spans="2:9" ht="18.75" customHeight="1" thickTop="1" thickBot="1" x14ac:dyDescent="0.3">
      <c r="B8" s="151" t="s">
        <v>64</v>
      </c>
      <c r="C8" s="155">
        <f>VLOOKUP($C$6,'Employee Details'!$A6:G45,7,0)</f>
        <v>0</v>
      </c>
      <c r="D8" s="153"/>
      <c r="E8" s="156"/>
      <c r="G8" s="2"/>
      <c r="H8" s="2"/>
      <c r="I8" s="2"/>
    </row>
    <row r="9" spans="2:9" ht="26.25" customHeight="1" thickTop="1" thickBot="1" x14ac:dyDescent="0.3">
      <c r="B9" s="299" t="s">
        <v>188</v>
      </c>
      <c r="C9" s="300"/>
      <c r="D9" s="300"/>
      <c r="E9" s="301"/>
      <c r="G9" s="2"/>
      <c r="H9" s="2"/>
      <c r="I9" s="2"/>
    </row>
    <row r="10" spans="2:9" ht="15.75" customHeight="1" thickTop="1" thickBot="1" x14ac:dyDescent="0.3">
      <c r="B10" s="157" t="s">
        <v>66</v>
      </c>
      <c r="C10" s="145">
        <f>VLOOKUP($C$6,AttendanceSheet!$B$7:$AN$100,39,0)</f>
        <v>29</v>
      </c>
      <c r="D10" s="141" t="s">
        <v>87</v>
      </c>
      <c r="E10" s="158">
        <f>VLOOKUP($C$6,AttendanceSheet!$B$7:$AL$100,37,0)</f>
        <v>2.5</v>
      </c>
      <c r="G10" s="139"/>
      <c r="H10" s="139"/>
      <c r="I10" s="2"/>
    </row>
    <row r="11" spans="2:9" ht="15.75" customHeight="1" thickTop="1" thickBot="1" x14ac:dyDescent="0.3">
      <c r="B11" s="159" t="s">
        <v>85</v>
      </c>
      <c r="C11" s="145">
        <f>_xlfn.IFNA(VLOOKUP($C$6,AttendanceSheet!B7:AM100,38,0),0)</f>
        <v>1</v>
      </c>
      <c r="D11" s="141" t="s">
        <v>86</v>
      </c>
      <c r="E11" s="158" t="str">
        <f>VLOOKUP($C$6,'Leave Credit Sheet'!B7:L100,11,0)</f>
        <v/>
      </c>
      <c r="G11" s="140"/>
      <c r="H11" s="140"/>
      <c r="I11" s="2"/>
    </row>
    <row r="12" spans="2:9" ht="15.75" customHeight="1" thickTop="1" thickBot="1" x14ac:dyDescent="0.3">
      <c r="B12" s="189"/>
      <c r="C12" s="188"/>
      <c r="D12" s="160"/>
      <c r="E12" s="161"/>
      <c r="G12" s="140"/>
      <c r="H12" s="140"/>
      <c r="I12" s="2"/>
    </row>
    <row r="13" spans="2:9" ht="24.75" customHeight="1" thickBot="1" x14ac:dyDescent="0.3">
      <c r="B13" s="295" t="s">
        <v>67</v>
      </c>
      <c r="C13" s="296"/>
      <c r="D13" s="297" t="s">
        <v>68</v>
      </c>
      <c r="E13" s="298"/>
      <c r="G13" s="140"/>
      <c r="H13" s="140"/>
      <c r="I13" s="2"/>
    </row>
    <row r="14" spans="2:9" ht="15.75" customHeight="1" thickBot="1" x14ac:dyDescent="0.3">
      <c r="B14" s="162" t="s">
        <v>235</v>
      </c>
      <c r="C14" s="184">
        <f>VLOOKUP($C$6,AttendanceSheet!$B$7:$AQ$100,42,0)</f>
        <v>3866.2799999999997</v>
      </c>
      <c r="D14" s="163" t="s">
        <v>236</v>
      </c>
      <c r="E14" s="186">
        <f>VLOOKUP($C$6,AttendanceSheet!$B$7:$AY$100,50,FALSE)</f>
        <v>0</v>
      </c>
      <c r="G14" s="140"/>
      <c r="H14" s="140"/>
      <c r="I14" s="2"/>
    </row>
    <row r="15" spans="2:9" ht="15.75" customHeight="1" thickTop="1" thickBot="1" x14ac:dyDescent="0.3">
      <c r="B15" s="164" t="s">
        <v>44</v>
      </c>
      <c r="C15" s="185">
        <f>VLOOKUP($C$6,AttendanceSheet!$B$7:$AR$100,43,0)</f>
        <v>1933.1399999999999</v>
      </c>
      <c r="D15" s="165" t="s">
        <v>232</v>
      </c>
      <c r="E15" s="187">
        <f>VLOOKUP($C$6,AttendanceSheet!$B$7:$AZ$100,51,0)</f>
        <v>0</v>
      </c>
      <c r="G15" s="140"/>
      <c r="H15" s="140"/>
      <c r="I15" s="2"/>
    </row>
    <row r="16" spans="2:9" ht="15.75" customHeight="1" thickTop="1" thickBot="1" x14ac:dyDescent="0.3">
      <c r="B16" s="164" t="s">
        <v>166</v>
      </c>
      <c r="C16" s="185">
        <f>VLOOKUP($C$6,AttendanceSheet!$B$7:$AS$100,44,0)</f>
        <v>2319.7679999999996</v>
      </c>
      <c r="D16" s="165" t="s">
        <v>233</v>
      </c>
      <c r="E16" s="187">
        <f>VLOOKUP($C$6,AttendanceSheet!$B$7:$BA$100,52,0)</f>
        <v>0</v>
      </c>
      <c r="G16" s="2"/>
      <c r="H16" s="2"/>
      <c r="I16" s="2"/>
    </row>
    <row r="17" spans="2:5" ht="15.75" customHeight="1" thickTop="1" thickBot="1" x14ac:dyDescent="0.3">
      <c r="B17" s="164" t="s">
        <v>45</v>
      </c>
      <c r="C17" s="185">
        <f>VLOOKUP($C$6,AttendanceSheet!$B$7:$AT$100,45,0)</f>
        <v>1546.5119999999999</v>
      </c>
      <c r="D17" s="165" t="s">
        <v>234</v>
      </c>
      <c r="E17" s="187">
        <f>VLOOKUP($C$6,AttendanceSheet!$B$7:$BB$100,53,0)</f>
        <v>0</v>
      </c>
    </row>
    <row r="18" spans="2:5" ht="15.75" customHeight="1" thickTop="1" thickBot="1" x14ac:dyDescent="0.3">
      <c r="B18" s="164" t="s">
        <v>164</v>
      </c>
      <c r="C18" s="185">
        <f>VLOOKUP($C$6,AttendanceSheet!$B$7:$AU$100,46,0)</f>
        <v>1159.8839999999998</v>
      </c>
      <c r="D18" s="165" t="s">
        <v>50</v>
      </c>
      <c r="E18" s="187">
        <f>VLOOKUP($C$6,AttendanceSheet!$B$7:$BC$100,54,0)</f>
        <v>200</v>
      </c>
    </row>
    <row r="19" spans="2:5" ht="15.75" customHeight="1" thickTop="1" thickBot="1" x14ac:dyDescent="0.3">
      <c r="B19" s="164" t="s">
        <v>165</v>
      </c>
      <c r="C19" s="185">
        <f>VLOOKUP($C$6,AttendanceSheet!$B$7:$AV$100,47,0)</f>
        <v>774.41588400000001</v>
      </c>
      <c r="D19" s="165" t="s">
        <v>51</v>
      </c>
      <c r="E19" s="187">
        <f>VLOOKUP($C$6,AttendanceSheet!$B$7:$BD$100,55,0)</f>
        <v>0</v>
      </c>
    </row>
    <row r="20" spans="2:5" ht="15.75" customHeight="1" thickTop="1" thickBot="1" x14ac:dyDescent="0.3">
      <c r="B20" s="164" t="s">
        <v>240</v>
      </c>
      <c r="C20" s="185">
        <f>VLOOKUP($C$6,AttendanceSheet!$B$7:$AW$100,48,0)</f>
        <v>1548</v>
      </c>
      <c r="D20" s="165" t="s">
        <v>177</v>
      </c>
      <c r="E20" s="187">
        <f>VLOOKUP($C$6,AttendanceSheet!$B$7:$BE$100,56,0)</f>
        <v>0</v>
      </c>
    </row>
    <row r="21" spans="2:5" ht="41.25" customHeight="1" thickTop="1" thickBot="1" x14ac:dyDescent="0.3">
      <c r="B21" s="208"/>
      <c r="C21" s="209"/>
      <c r="D21" s="165"/>
      <c r="E21" s="213"/>
    </row>
    <row r="22" spans="2:5" ht="21" customHeight="1" thickTop="1" thickBot="1" x14ac:dyDescent="0.3">
      <c r="B22" s="167" t="s">
        <v>69</v>
      </c>
      <c r="C22" s="191">
        <f>SUM($C$14:C21)</f>
        <v>13147.999884000001</v>
      </c>
      <c r="D22" s="168" t="s">
        <v>70</v>
      </c>
      <c r="E22" s="192">
        <f>SUM(E14:E20)</f>
        <v>200</v>
      </c>
    </row>
    <row r="23" spans="2:5" ht="31.5" customHeight="1" thickTop="1" thickBot="1" x14ac:dyDescent="0.3">
      <c r="B23" s="176" t="s">
        <v>71</v>
      </c>
      <c r="C23" s="143"/>
      <c r="D23" s="169"/>
      <c r="E23" s="192">
        <f>C22-E22</f>
        <v>12947.999884000001</v>
      </c>
    </row>
    <row r="24" spans="2:5" ht="22.5" customHeight="1" thickTop="1" thickBot="1" x14ac:dyDescent="0.3">
      <c r="B24" s="167" t="s">
        <v>72</v>
      </c>
      <c r="C24" s="144"/>
      <c r="D24" s="170"/>
      <c r="E24" s="171"/>
    </row>
    <row r="25" spans="2:5" ht="23.25" customHeight="1" thickTop="1" thickBot="1" x14ac:dyDescent="0.3">
      <c r="B25" s="172" t="s">
        <v>73</v>
      </c>
      <c r="C25" s="142" t="str">
        <f>VLOOKUP($C$6,'Employee Details'!A6:T100,20,0)</f>
        <v>-</v>
      </c>
      <c r="D25" s="173" t="s">
        <v>229</v>
      </c>
      <c r="E25" s="193">
        <f>VLOOKUP($C$6,'Employee Details'!A7:M100,13,0)</f>
        <v>0</v>
      </c>
    </row>
    <row r="26" spans="2:5" ht="18" customHeight="1" thickTop="1" thickBot="1" x14ac:dyDescent="0.3">
      <c r="B26" s="157" t="s">
        <v>230</v>
      </c>
      <c r="C26" s="145">
        <f>VLOOKUP($C$6,'Employee Details'!A7:N100,14,0)</f>
        <v>0</v>
      </c>
      <c r="D26" s="194"/>
      <c r="E26" s="166"/>
    </row>
    <row r="27" spans="2:5" ht="17.25" thickTop="1" thickBot="1" x14ac:dyDescent="0.3">
      <c r="B27" s="157"/>
      <c r="C27" s="195"/>
      <c r="D27" s="196"/>
      <c r="E27" s="197"/>
    </row>
    <row r="28" spans="2:5" ht="29.25" customHeight="1" thickTop="1" thickBot="1" x14ac:dyDescent="0.3">
      <c r="B28" s="174"/>
      <c r="C28" s="146"/>
      <c r="D28" s="198" t="s">
        <v>74</v>
      </c>
      <c r="E28" s="175"/>
    </row>
    <row r="29" spans="2:5" ht="25.5" customHeight="1" thickTop="1" x14ac:dyDescent="0.25"/>
    <row r="30" spans="2:5" ht="19.5" customHeight="1" x14ac:dyDescent="0.25"/>
  </sheetData>
  <mergeCells count="6">
    <mergeCell ref="B2:E2"/>
    <mergeCell ref="B3:E3"/>
    <mergeCell ref="B4:E4"/>
    <mergeCell ref="B13:C13"/>
    <mergeCell ref="D13:E13"/>
    <mergeCell ref="B9:E9"/>
  </mergeCells>
  <printOptions horizontalCentered="1" verticalCentered="1"/>
  <pageMargins left="0" right="0" top="0" bottom="0" header="0" footer="0"/>
  <pageSetup paperSize="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AttendanceSheet!$C$7:$C$43</xm:f>
          </x14:formula1>
          <xm:sqref>G2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FF00"/>
  </sheetPr>
  <dimension ref="A1:U101"/>
  <sheetViews>
    <sheetView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H31" sqref="H31"/>
    </sheetView>
  </sheetViews>
  <sheetFormatPr defaultColWidth="9.140625" defaultRowHeight="15" x14ac:dyDescent="0.25"/>
  <cols>
    <col min="1" max="1" width="10.42578125" style="55" customWidth="1"/>
    <col min="2" max="2" width="15" style="55" customWidth="1"/>
    <col min="3" max="3" width="22.7109375" style="55" customWidth="1"/>
    <col min="4" max="4" width="8.85546875" style="241" customWidth="1"/>
    <col min="5" max="5" width="9.5703125" style="241" customWidth="1"/>
    <col min="6" max="6" width="10.42578125" style="241" customWidth="1"/>
    <col min="7" max="7" width="9.42578125" style="241" customWidth="1"/>
    <col min="8" max="8" width="6.7109375" style="241" customWidth="1"/>
    <col min="9" max="9" width="20.28515625" style="241" bestFit="1" customWidth="1"/>
    <col min="10" max="10" width="11" style="241" customWidth="1"/>
    <col min="11" max="11" width="9.85546875" style="241" bestFit="1" customWidth="1"/>
    <col min="12" max="12" width="11.140625" style="242" customWidth="1"/>
    <col min="13" max="13" width="14.85546875" style="55" bestFit="1" customWidth="1"/>
    <col min="14" max="14" width="8.7109375" style="55" customWidth="1"/>
    <col min="15" max="16" width="10.42578125" style="55" customWidth="1"/>
    <col min="17" max="16384" width="9.140625" style="55"/>
  </cols>
  <sheetData>
    <row r="1" spans="1:21" s="66" customFormat="1" ht="15" customHeight="1" x14ac:dyDescent="0.25">
      <c r="A1" s="56"/>
      <c r="B1" s="25"/>
      <c r="C1" s="25"/>
      <c r="D1" s="307" t="s">
        <v>56</v>
      </c>
      <c r="E1" s="307"/>
      <c r="F1" s="309">
        <f>+'Setting '!E26</f>
        <v>44440</v>
      </c>
      <c r="G1" s="307" t="s">
        <v>57</v>
      </c>
      <c r="H1" s="307"/>
      <c r="I1" s="310">
        <f>+'Setting '!G26</f>
        <v>44530</v>
      </c>
      <c r="J1" s="235"/>
      <c r="K1" s="236"/>
      <c r="L1" s="237"/>
      <c r="M1" s="65"/>
      <c r="N1" s="65"/>
      <c r="O1" s="64"/>
    </row>
    <row r="2" spans="1:21" s="24" customFormat="1" ht="28.5" customHeight="1" x14ac:dyDescent="0.25">
      <c r="D2" s="307"/>
      <c r="E2" s="307"/>
      <c r="F2" s="309"/>
      <c r="G2" s="307"/>
      <c r="H2" s="307"/>
      <c r="I2" s="310"/>
      <c r="J2" s="238"/>
      <c r="K2" s="239"/>
      <c r="L2" s="240"/>
      <c r="M2" s="57"/>
      <c r="P2" s="58"/>
      <c r="U2" s="59"/>
    </row>
    <row r="3" spans="1:21" ht="15" customHeight="1" x14ac:dyDescent="0.25">
      <c r="D3" s="311" t="s">
        <v>161</v>
      </c>
      <c r="E3" s="311"/>
      <c r="F3" s="311"/>
      <c r="G3" s="311"/>
      <c r="H3" s="311"/>
      <c r="I3" s="306">
        <f>((YEAR(I1)-YEAR(F1))*12+MONTH(I1)-MONTH(F1)+1)*1.5</f>
        <v>4.5</v>
      </c>
    </row>
    <row r="4" spans="1:21" ht="17.25" customHeight="1" thickBot="1" x14ac:dyDescent="0.3">
      <c r="D4" s="312"/>
      <c r="E4" s="312"/>
      <c r="F4" s="312"/>
      <c r="G4" s="312"/>
      <c r="H4" s="312"/>
      <c r="I4" s="306"/>
    </row>
    <row r="5" spans="1:21" ht="35.25" customHeight="1" thickTop="1" thickBot="1" x14ac:dyDescent="0.3">
      <c r="B5" s="304" t="s">
        <v>10</v>
      </c>
      <c r="C5" s="304" t="s">
        <v>11</v>
      </c>
      <c r="D5" s="303" t="s">
        <v>153</v>
      </c>
      <c r="E5" s="243" t="s">
        <v>88</v>
      </c>
      <c r="F5" s="243" t="s">
        <v>32</v>
      </c>
      <c r="G5" s="244" t="s">
        <v>41</v>
      </c>
      <c r="H5" s="303" t="s">
        <v>152</v>
      </c>
      <c r="I5" s="303" t="s">
        <v>151</v>
      </c>
      <c r="J5" s="303" t="s">
        <v>150</v>
      </c>
      <c r="K5" s="308" t="s">
        <v>248</v>
      </c>
      <c r="L5" s="303" t="s">
        <v>58</v>
      </c>
      <c r="M5" s="302"/>
    </row>
    <row r="6" spans="1:21" ht="24" customHeight="1" thickTop="1" thickBot="1" x14ac:dyDescent="0.3">
      <c r="B6" s="304"/>
      <c r="C6" s="304"/>
      <c r="D6" s="303"/>
      <c r="E6" s="244" t="s">
        <v>89</v>
      </c>
      <c r="F6" s="244" t="s">
        <v>39</v>
      </c>
      <c r="G6" s="244" t="s">
        <v>42</v>
      </c>
      <c r="H6" s="303"/>
      <c r="I6" s="305"/>
      <c r="J6" s="303"/>
      <c r="K6" s="308"/>
      <c r="L6" s="303"/>
      <c r="M6" s="302"/>
    </row>
    <row r="7" spans="1:21" ht="15.75" customHeight="1" thickTop="1" thickBot="1" x14ac:dyDescent="0.3">
      <c r="B7" s="61" t="str">
        <f>IF(C7&lt;&gt;"",INDEX('Employee Details'!$A$7:$A10,MATCH(AttendanceSheet!$C7,'Employee Details'!$B$7:$B16,0)),"")</f>
        <v>Emp_0001</v>
      </c>
      <c r="C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'!$J$1:J1))),""))</f>
        <v>VIVEK PATIL</v>
      </c>
      <c r="D7" s="245">
        <f>IF(B7&lt;&gt;"",AttendanceSheet!$AL7,"")</f>
        <v>0</v>
      </c>
      <c r="E7" s="246">
        <f>IF(B7&lt;&gt;"",COUNTIFS('Mark Leave'!$D:$D,"&gt;="&amp;'Leave Credit Sheet'!$F$1,'Mark Leave'!$D:$D,"&lt;="&amp;'Leave Credit Sheet'!$I$1,'Mark Leave'!$B:$B,'Leave Credit Sheet'!$B7,'Mark Leave'!$E:$E,E$6),"")</f>
        <v>3</v>
      </c>
      <c r="F7" s="246">
        <f>IF(B7&lt;&gt;"",COUNTIFS('Mark Leave'!$D:$D,"&gt;="&amp;'Leave Credit Sheet'!$F$1,'Mark Leave'!$D:$D,"&lt;="&amp;'Leave Credit Sheet'!$I$1,'Mark Leave'!$B:$B,'Leave Credit Sheet'!$B7,'Mark Leave'!$E:$E,F$6),"")</f>
        <v>0</v>
      </c>
      <c r="G7" s="246">
        <f>IF(B7&lt;&gt;"",COUNTIFS('Mark Leave'!$D:$D,"&gt;="&amp;'Leave Credit Sheet'!$F$1,'Mark Leave'!$D:$D,"&lt;="&amp;'Leave Credit Sheet'!$I$1,'Mark Leave'!$B:$B,'Leave Credit Sheet'!$B7,'Mark Leave'!$E:$E,G$6),"")</f>
        <v>1</v>
      </c>
      <c r="H7" s="246">
        <f t="shared" ref="H7:H38" si="0">IF(B7&lt;&gt;"",($E7+($F7/2)),"")</f>
        <v>3</v>
      </c>
      <c r="I7" s="246">
        <f>IF(B7&lt;&gt;"",VLOOKUP(B7,Summary!C21:E41,3,0),"")</f>
        <v>1.3000000000000007</v>
      </c>
      <c r="J7" s="62">
        <f t="shared" ref="J7:J38" si="1">IF(B7&lt;&gt;"",$I$3+$G7+$I7,"")</f>
        <v>6.8000000000000007</v>
      </c>
      <c r="K7" s="63">
        <f t="shared" ref="K7:K22" si="2">IF(B7&lt;&gt;"",IF(H7&lt;=J7,0,IF(J7&gt;=D7,J7-D7,D7-J7)))</f>
        <v>0</v>
      </c>
      <c r="L7" s="211">
        <f t="shared" ref="L7:L25" si="3">IF(B7&lt;&gt;"",IF(AND(K7=0,H7&lt;J7),J7-H7,""),"")</f>
        <v>3.8000000000000007</v>
      </c>
    </row>
    <row r="8" spans="1:21" ht="16.5" thickTop="1" thickBot="1" x14ac:dyDescent="0.3">
      <c r="B8" s="61" t="str">
        <f>IF(C8&lt;&gt;"",INDEX('Employee Details'!$A$7:$A11,MATCH(AttendanceSheet!$C8,'Employee Details'!$B$7:$B17,0)),"")</f>
        <v>Emp_0002</v>
      </c>
      <c r="C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'!$J$1:J2))),""))</f>
        <v>SHRINIVAS IRABHATTI</v>
      </c>
      <c r="D8" s="245">
        <f>IF(B8&lt;&gt;"",AttendanceSheet!$AL8,"")</f>
        <v>1</v>
      </c>
      <c r="E8" s="246">
        <f>IF(B8&lt;&gt;"",COUNTIFS('Mark Leave'!$D:$D,"&gt;="&amp;'Leave Credit Sheet'!$F$1,'Mark Leave'!$D:$D,"&lt;="&amp;'Leave Credit Sheet'!$I$1,'Mark Leave'!$B:$B,'Leave Credit Sheet'!$B8,'Mark Leave'!$E:$E,E$6),"")</f>
        <v>3</v>
      </c>
      <c r="F8" s="246">
        <f>IF(B8&lt;&gt;"",COUNTIFS('Mark Leave'!$D:$D,"&gt;="&amp;'Leave Credit Sheet'!$F$1,'Mark Leave'!$D:$D,"&lt;="&amp;'Leave Credit Sheet'!$I$1,'Mark Leave'!$B:$B,'Leave Credit Sheet'!$B8,'Mark Leave'!$E:$E,F$6),"")</f>
        <v>0</v>
      </c>
      <c r="G8" s="246">
        <f>IF(B8&lt;&gt;"",COUNTIFS('Mark Leave'!$D:$D,"&gt;="&amp;'Leave Credit Sheet'!$F$1,'Mark Leave'!$D:$D,"&lt;="&amp;'Leave Credit Sheet'!$I$1,'Mark Leave'!$B:$B,'Leave Credit Sheet'!$B8,'Mark Leave'!$E:$E,G$6),"")</f>
        <v>1</v>
      </c>
      <c r="H8" s="246">
        <f t="shared" si="0"/>
        <v>3</v>
      </c>
      <c r="I8" s="246">
        <f>IF(B8&lt;&gt;"",VLOOKUP(B8,Summary!C22:E42,3,0),"")</f>
        <v>1.5</v>
      </c>
      <c r="J8" s="62">
        <f t="shared" si="1"/>
        <v>7</v>
      </c>
      <c r="K8" s="63">
        <f t="shared" si="2"/>
        <v>0</v>
      </c>
      <c r="L8" s="211">
        <f t="shared" si="3"/>
        <v>4</v>
      </c>
    </row>
    <row r="9" spans="1:21" ht="16.5" thickTop="1" thickBot="1" x14ac:dyDescent="0.3">
      <c r="B9" s="61" t="str">
        <f>IF(C9&lt;&gt;"",INDEX('Employee Details'!$A$7:$A12,MATCH(AttendanceSheet!$C9,'Employee Details'!$B$7:$B18,0)),"")</f>
        <v>Emp_0003</v>
      </c>
      <c r="C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'!$J$1:J3))),""))</f>
        <v>KUMAR PATIL</v>
      </c>
      <c r="D9" s="245">
        <f>IF(B9&lt;&gt;"",AttendanceSheet!$AL9,"")</f>
        <v>3.5</v>
      </c>
      <c r="E9" s="246">
        <f>IF(B9&lt;&gt;"",COUNTIFS('Mark Leave'!$D:$D,"&gt;="&amp;'Leave Credit Sheet'!$F$1,'Mark Leave'!$D:$D,"&lt;="&amp;'Leave Credit Sheet'!$I$1,'Mark Leave'!$B:$B,'Leave Credit Sheet'!$B9,'Mark Leave'!$E:$E,E$6),"")</f>
        <v>6</v>
      </c>
      <c r="F9" s="246">
        <f>IF(B9&lt;&gt;"",COUNTIFS('Mark Leave'!$D:$D,"&gt;="&amp;'Leave Credit Sheet'!$F$1,'Mark Leave'!$D:$D,"&lt;="&amp;'Leave Credit Sheet'!$I$1,'Mark Leave'!$B:$B,'Leave Credit Sheet'!$B9,'Mark Leave'!$E:$E,F$6),"")</f>
        <v>1</v>
      </c>
      <c r="G9" s="246">
        <f>IF(B9&lt;&gt;"",COUNTIFS('Mark Leave'!$D:$D,"&gt;="&amp;'Leave Credit Sheet'!$F$1,'Mark Leave'!$D:$D,"&lt;="&amp;'Leave Credit Sheet'!$I$1,'Mark Leave'!$B:$B,'Leave Credit Sheet'!$B9,'Mark Leave'!$E:$E,G$6),"")</f>
        <v>0</v>
      </c>
      <c r="H9" s="246">
        <f t="shared" si="0"/>
        <v>6.5</v>
      </c>
      <c r="I9" s="246">
        <f>IF(B9&lt;&gt;"",VLOOKUP(B9,Summary!C23:E43,3,0),"")</f>
        <v>33.5</v>
      </c>
      <c r="J9" s="62">
        <f t="shared" si="1"/>
        <v>38</v>
      </c>
      <c r="K9" s="63">
        <f t="shared" si="2"/>
        <v>0</v>
      </c>
      <c r="L9" s="211">
        <f t="shared" si="3"/>
        <v>31.5</v>
      </c>
    </row>
    <row r="10" spans="1:21" ht="16.5" thickTop="1" thickBot="1" x14ac:dyDescent="0.3">
      <c r="B10" s="61" t="str">
        <f>IF(C10&lt;&gt;"",INDEX('Employee Details'!$A$7:$A13,MATCH(AttendanceSheet!$C10,'Employee Details'!$B$7:$B19,0)),"")</f>
        <v>Emp_0004</v>
      </c>
      <c r="C1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'!$J$1:J4))),""))</f>
        <v>VINOD MALUSARE</v>
      </c>
      <c r="D10" s="245">
        <f>IF(B10&lt;&gt;"",AttendanceSheet!$AL10,"")</f>
        <v>7</v>
      </c>
      <c r="E10" s="246">
        <f>IF(B10&lt;&gt;"",COUNTIFS('Mark Leave'!$D:$D,"&gt;="&amp;'Leave Credit Sheet'!$F$1,'Mark Leave'!$D:$D,"&lt;="&amp;'Leave Credit Sheet'!$I$1,'Mark Leave'!$B:$B,'Leave Credit Sheet'!$B10,'Mark Leave'!$E:$E,E$6),"")</f>
        <v>8</v>
      </c>
      <c r="F10" s="246">
        <f>IF(B10&lt;&gt;"",COUNTIFS('Mark Leave'!$D:$D,"&gt;="&amp;'Leave Credit Sheet'!$F$1,'Mark Leave'!$D:$D,"&lt;="&amp;'Leave Credit Sheet'!$I$1,'Mark Leave'!$B:$B,'Leave Credit Sheet'!$B10,'Mark Leave'!$E:$E,F$6),"")</f>
        <v>0</v>
      </c>
      <c r="G10" s="246">
        <f>IF(B10&lt;&gt;"",COUNTIFS('Mark Leave'!$D:$D,"&gt;="&amp;'Leave Credit Sheet'!$F$1,'Mark Leave'!$D:$D,"&lt;="&amp;'Leave Credit Sheet'!$I$1,'Mark Leave'!$B:$B,'Leave Credit Sheet'!$B10,'Mark Leave'!$E:$E,G$6),"")</f>
        <v>0</v>
      </c>
      <c r="H10" s="246">
        <f t="shared" si="0"/>
        <v>8</v>
      </c>
      <c r="I10" s="246">
        <f>IF(B10&lt;&gt;"",VLOOKUP(B10,Summary!C24:E44,3,0),"")</f>
        <v>10.5</v>
      </c>
      <c r="J10" s="62">
        <f t="shared" si="1"/>
        <v>15</v>
      </c>
      <c r="K10" s="63">
        <f t="shared" si="2"/>
        <v>0</v>
      </c>
      <c r="L10" s="211">
        <f t="shared" si="3"/>
        <v>7</v>
      </c>
    </row>
    <row r="11" spans="1:21" ht="16.5" thickTop="1" thickBot="1" x14ac:dyDescent="0.3">
      <c r="B11" s="61" t="str">
        <f>IF(C11&lt;&gt;"",INDEX('Employee Details'!$A$7:$A14,MATCH(AttendanceSheet!$C11,'Employee Details'!$B$7:$B20,0)),"")</f>
        <v>Emp_0005</v>
      </c>
      <c r="C11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'!$J$1:J5))),""))</f>
        <v>VAHILE</v>
      </c>
      <c r="D11" s="245">
        <f>IF(B11&lt;&gt;"",AttendanceSheet!$AL11,"")</f>
        <v>0</v>
      </c>
      <c r="E11" s="246">
        <f>IF(B11&lt;&gt;"",COUNTIFS('Mark Leave'!$D:$D,"&gt;="&amp;'Leave Credit Sheet'!$F$1,'Mark Leave'!$D:$D,"&lt;="&amp;'Leave Credit Sheet'!$I$1,'Mark Leave'!$B:$B,'Leave Credit Sheet'!$B11,'Mark Leave'!$E:$E,E$6),"")</f>
        <v>0</v>
      </c>
      <c r="F11" s="246">
        <f>IF(B11&lt;&gt;"",COUNTIFS('Mark Leave'!$D:$D,"&gt;="&amp;'Leave Credit Sheet'!$F$1,'Mark Leave'!$D:$D,"&lt;="&amp;'Leave Credit Sheet'!$I$1,'Mark Leave'!$B:$B,'Leave Credit Sheet'!$B11,'Mark Leave'!$E:$E,F$6),"")</f>
        <v>0</v>
      </c>
      <c r="G11" s="246">
        <f>IF(B11&lt;&gt;"",COUNTIFS('Mark Leave'!$D:$D,"&gt;="&amp;'Leave Credit Sheet'!$F$1,'Mark Leave'!$D:$D,"&lt;="&amp;'Leave Credit Sheet'!$I$1,'Mark Leave'!$B:$B,'Leave Credit Sheet'!$B11,'Mark Leave'!$E:$E,G$6),"")</f>
        <v>5</v>
      </c>
      <c r="H11" s="246">
        <f t="shared" si="0"/>
        <v>0</v>
      </c>
      <c r="I11" s="246">
        <f>IF(B11&lt;&gt;"",VLOOKUP(B11,Summary!C25:E45,3,0),"")</f>
        <v>35.5</v>
      </c>
      <c r="J11" s="62">
        <f t="shared" si="1"/>
        <v>45</v>
      </c>
      <c r="K11" s="63">
        <f t="shared" si="2"/>
        <v>0</v>
      </c>
      <c r="L11" s="211">
        <f t="shared" si="3"/>
        <v>45</v>
      </c>
    </row>
    <row r="12" spans="1:21" ht="16.5" thickTop="1" thickBot="1" x14ac:dyDescent="0.3">
      <c r="B12" s="61" t="str">
        <f>IF(C12&lt;&gt;"",INDEX('Employee Details'!$A$7:$A15,MATCH(AttendanceSheet!$C12,'Employee Details'!$B$7:$B21,0)),"")</f>
        <v>Emp_0006</v>
      </c>
      <c r="C12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'!$J$1:J6))),""))</f>
        <v>SWAPNIL J</v>
      </c>
      <c r="D12" s="245">
        <f>IF(B12&lt;&gt;"",AttendanceSheet!$AL12,"")</f>
        <v>0</v>
      </c>
      <c r="E12" s="246">
        <f>IF(B12&lt;&gt;"",COUNTIFS('Mark Leave'!$D:$D,"&gt;="&amp;'Leave Credit Sheet'!$F$1,'Mark Leave'!$D:$D,"&lt;="&amp;'Leave Credit Sheet'!$I$1,'Mark Leave'!$B:$B,'Leave Credit Sheet'!$B12,'Mark Leave'!$E:$E,E$6),"")</f>
        <v>2</v>
      </c>
      <c r="F12" s="246">
        <f>IF(B12&lt;&gt;"",COUNTIFS('Mark Leave'!$D:$D,"&gt;="&amp;'Leave Credit Sheet'!$F$1,'Mark Leave'!$D:$D,"&lt;="&amp;'Leave Credit Sheet'!$I$1,'Mark Leave'!$B:$B,'Leave Credit Sheet'!$B12,'Mark Leave'!$E:$E,F$6),"")</f>
        <v>0</v>
      </c>
      <c r="G12" s="246">
        <f>IF(B12&lt;&gt;"",COUNTIFS('Mark Leave'!$D:$D,"&gt;="&amp;'Leave Credit Sheet'!$F$1,'Mark Leave'!$D:$D,"&lt;="&amp;'Leave Credit Sheet'!$I$1,'Mark Leave'!$B:$B,'Leave Credit Sheet'!$B12,'Mark Leave'!$E:$E,G$6),"")</f>
        <v>0</v>
      </c>
      <c r="H12" s="246">
        <f t="shared" si="0"/>
        <v>2</v>
      </c>
      <c r="I12" s="246">
        <f>IF(B12&lt;&gt;"",VLOOKUP(B12,Summary!C26:E46,3,0),"")</f>
        <v>0.5</v>
      </c>
      <c r="J12" s="62">
        <f t="shared" si="1"/>
        <v>5</v>
      </c>
      <c r="K12" s="63">
        <f t="shared" si="2"/>
        <v>0</v>
      </c>
      <c r="L12" s="211">
        <f t="shared" si="3"/>
        <v>3</v>
      </c>
    </row>
    <row r="13" spans="1:21" ht="16.5" thickTop="1" thickBot="1" x14ac:dyDescent="0.3">
      <c r="B13" s="61" t="str">
        <f>IF(C13&lt;&gt;"",INDEX('Employee Details'!$A$7:$A16,MATCH(AttendanceSheet!$C13,'Employee Details'!$B$7:$B22,0)),"")</f>
        <v>Emp_0007</v>
      </c>
      <c r="C13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'!$J$1:J7))),""))</f>
        <v xml:space="preserve">MAHADEV </v>
      </c>
      <c r="D13" s="245">
        <f>IF(B13&lt;&gt;"",AttendanceSheet!$AL13,"")</f>
        <v>0</v>
      </c>
      <c r="E13" s="246">
        <f>IF(B13&lt;&gt;"",COUNTIFS('Mark Leave'!$D:$D,"&gt;="&amp;'Leave Credit Sheet'!$F$1,'Mark Leave'!$D:$D,"&lt;="&amp;'Leave Credit Sheet'!$I$1,'Mark Leave'!$B:$B,'Leave Credit Sheet'!$B13,'Mark Leave'!$E:$E,E$6),"")</f>
        <v>2</v>
      </c>
      <c r="F13" s="246">
        <f>IF(B13&lt;&gt;"",COUNTIFS('Mark Leave'!$D:$D,"&gt;="&amp;'Leave Credit Sheet'!$F$1,'Mark Leave'!$D:$D,"&lt;="&amp;'Leave Credit Sheet'!$I$1,'Mark Leave'!$B:$B,'Leave Credit Sheet'!$B13,'Mark Leave'!$E:$E,F$6),"")</f>
        <v>1</v>
      </c>
      <c r="G13" s="246">
        <f>IF(B13&lt;&gt;"",COUNTIFS('Mark Leave'!$D:$D,"&gt;="&amp;'Leave Credit Sheet'!$F$1,'Mark Leave'!$D:$D,"&lt;="&amp;'Leave Credit Sheet'!$I$1,'Mark Leave'!$B:$B,'Leave Credit Sheet'!$B13,'Mark Leave'!$E:$E,G$6),"")</f>
        <v>1</v>
      </c>
      <c r="H13" s="246">
        <f t="shared" si="0"/>
        <v>2.5</v>
      </c>
      <c r="I13" s="246">
        <f>IF(B13&lt;&gt;"",VLOOKUP(B13,Summary!C27:E47,3,0),"")</f>
        <v>0.5</v>
      </c>
      <c r="J13" s="62">
        <f t="shared" si="1"/>
        <v>6</v>
      </c>
      <c r="K13" s="63">
        <f t="shared" si="2"/>
        <v>0</v>
      </c>
      <c r="L13" s="211">
        <f t="shared" si="3"/>
        <v>3.5</v>
      </c>
    </row>
    <row r="14" spans="1:21" ht="16.5" thickTop="1" thickBot="1" x14ac:dyDescent="0.3">
      <c r="B14" s="61" t="str">
        <f>IF(C14&lt;&gt;"",INDEX('Employee Details'!$A$7:$A17,MATCH(AttendanceSheet!$C14,'Employee Details'!$B$7:$B23,0)),"")</f>
        <v>Emp_0008</v>
      </c>
      <c r="C14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'!$J$1:J8))),""))</f>
        <v>GANESH IYER</v>
      </c>
      <c r="D14" s="245">
        <f>IF(B14&lt;&gt;"",AttendanceSheet!$AL14,"")</f>
        <v>0</v>
      </c>
      <c r="E14" s="246">
        <f>IF(B14&lt;&gt;"",COUNTIFS('Mark Leave'!$D:$D,"&gt;="&amp;'Leave Credit Sheet'!$F$1,'Mark Leave'!$D:$D,"&lt;="&amp;'Leave Credit Sheet'!$I$1,'Mark Leave'!$B:$B,'Leave Credit Sheet'!$B14,'Mark Leave'!$E:$E,E$6),"")</f>
        <v>2</v>
      </c>
      <c r="F14" s="246">
        <f>IF(B14&lt;&gt;"",COUNTIFS('Mark Leave'!$D:$D,"&gt;="&amp;'Leave Credit Sheet'!$F$1,'Mark Leave'!$D:$D,"&lt;="&amp;'Leave Credit Sheet'!$I$1,'Mark Leave'!$B:$B,'Leave Credit Sheet'!$B14,'Mark Leave'!$E:$E,F$6),"")</f>
        <v>0</v>
      </c>
      <c r="G14" s="246">
        <f>IF(B14&lt;&gt;"",COUNTIFS('Mark Leave'!$D:$D,"&gt;="&amp;'Leave Credit Sheet'!$F$1,'Mark Leave'!$D:$D,"&lt;="&amp;'Leave Credit Sheet'!$I$1,'Mark Leave'!$B:$B,'Leave Credit Sheet'!$B14,'Mark Leave'!$E:$E,G$6),"")</f>
        <v>0</v>
      </c>
      <c r="H14" s="246">
        <f t="shared" si="0"/>
        <v>2</v>
      </c>
      <c r="I14" s="246">
        <f>IF(B14&lt;&gt;"",VLOOKUP(B14,Summary!C28:E48,3,0),"")</f>
        <v>9.5</v>
      </c>
      <c r="J14" s="62">
        <f t="shared" si="1"/>
        <v>14</v>
      </c>
      <c r="K14" s="63">
        <f t="shared" si="2"/>
        <v>0</v>
      </c>
      <c r="L14" s="211">
        <f t="shared" si="3"/>
        <v>12</v>
      </c>
    </row>
    <row r="15" spans="1:21" ht="16.5" thickTop="1" thickBot="1" x14ac:dyDescent="0.3">
      <c r="B15" s="61" t="str">
        <f>IF(C15&lt;&gt;"",INDEX('Employee Details'!$A$7:$A18,MATCH(AttendanceSheet!$C15,'Employee Details'!$B$7:$B24,0)),"")</f>
        <v>Emp_0010</v>
      </c>
      <c r="C15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'!$J$1:J9))),""))</f>
        <v>RAJEEV</v>
      </c>
      <c r="D15" s="245">
        <f>IF(B15&lt;&gt;"",AttendanceSheet!$AL15,"")</f>
        <v>1</v>
      </c>
      <c r="E15" s="246">
        <f>IF(B15&lt;&gt;"",COUNTIFS('Mark Leave'!$D:$D,"&gt;="&amp;'Leave Credit Sheet'!$F$1,'Mark Leave'!$D:$D,"&lt;="&amp;'Leave Credit Sheet'!$I$1,'Mark Leave'!$B:$B,'Leave Credit Sheet'!$B15,'Mark Leave'!$E:$E,E$6),"")</f>
        <v>1</v>
      </c>
      <c r="F15" s="246">
        <f>IF(B15&lt;&gt;"",COUNTIFS('Mark Leave'!$D:$D,"&gt;="&amp;'Leave Credit Sheet'!$F$1,'Mark Leave'!$D:$D,"&lt;="&amp;'Leave Credit Sheet'!$I$1,'Mark Leave'!$B:$B,'Leave Credit Sheet'!$B15,'Mark Leave'!$E:$E,F$6),"")</f>
        <v>0</v>
      </c>
      <c r="G15" s="246">
        <f>IF(B15&lt;&gt;"",COUNTIFS('Mark Leave'!$D:$D,"&gt;="&amp;'Leave Credit Sheet'!$F$1,'Mark Leave'!$D:$D,"&lt;="&amp;'Leave Credit Sheet'!$I$1,'Mark Leave'!$B:$B,'Leave Credit Sheet'!$B15,'Mark Leave'!$E:$E,G$6),"")</f>
        <v>0</v>
      </c>
      <c r="H15" s="246">
        <f t="shared" si="0"/>
        <v>1</v>
      </c>
      <c r="I15" s="246">
        <f>IF(B15&lt;&gt;"",VLOOKUP(B15,Summary!C29:E49,3,0),"")</f>
        <v>0</v>
      </c>
      <c r="J15" s="62">
        <f t="shared" si="1"/>
        <v>4.5</v>
      </c>
      <c r="K15" s="63">
        <f t="shared" si="2"/>
        <v>0</v>
      </c>
      <c r="L15" s="211">
        <f t="shared" si="3"/>
        <v>3.5</v>
      </c>
    </row>
    <row r="16" spans="1:21" ht="16.5" thickTop="1" thickBot="1" x14ac:dyDescent="0.3">
      <c r="B16" s="61" t="str">
        <f>IF(C16&lt;&gt;"",INDEX('Employee Details'!$A$7:$A19,MATCH(AttendanceSheet!$C16,'Employee Details'!$B$7:$B25,0)),"")</f>
        <v>Emp_0011</v>
      </c>
      <c r="C16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'!$J$1:J10))),""))</f>
        <v>MANISH KADAM</v>
      </c>
      <c r="D16" s="245">
        <f>IF(B16&lt;&gt;"",AttendanceSheet!$AL16,"")</f>
        <v>0</v>
      </c>
      <c r="E16" s="246">
        <f>IF(B16&lt;&gt;"",COUNTIFS('Mark Leave'!$D:$D,"&gt;="&amp;'Leave Credit Sheet'!$F$1,'Mark Leave'!$D:$D,"&lt;="&amp;'Leave Credit Sheet'!$I$1,'Mark Leave'!$B:$B,'Leave Credit Sheet'!$B16,'Mark Leave'!$E:$E,E$6),"")</f>
        <v>0</v>
      </c>
      <c r="F16" s="246">
        <f>IF(B16&lt;&gt;"",COUNTIFS('Mark Leave'!$D:$D,"&gt;="&amp;'Leave Credit Sheet'!$F$1,'Mark Leave'!$D:$D,"&lt;="&amp;'Leave Credit Sheet'!$I$1,'Mark Leave'!$B:$B,'Leave Credit Sheet'!$B16,'Mark Leave'!$E:$E,F$6),"")</f>
        <v>0</v>
      </c>
      <c r="G16" s="246">
        <f>IF(B16&lt;&gt;"",COUNTIFS('Mark Leave'!$D:$D,"&gt;="&amp;'Leave Credit Sheet'!$F$1,'Mark Leave'!$D:$D,"&lt;="&amp;'Leave Credit Sheet'!$I$1,'Mark Leave'!$B:$B,'Leave Credit Sheet'!$B16,'Mark Leave'!$E:$E,G$6),"")</f>
        <v>0</v>
      </c>
      <c r="H16" s="246">
        <f t="shared" si="0"/>
        <v>0</v>
      </c>
      <c r="I16" s="246">
        <f>IF(B16&lt;&gt;"",VLOOKUP(B16,Summary!C30:E50,3,0),"")</f>
        <v>0</v>
      </c>
      <c r="J16" s="62">
        <f t="shared" si="1"/>
        <v>4.5</v>
      </c>
      <c r="K16" s="63">
        <f t="shared" si="2"/>
        <v>0</v>
      </c>
      <c r="L16" s="211">
        <f t="shared" si="3"/>
        <v>4.5</v>
      </c>
    </row>
    <row r="17" spans="2:13" ht="16.5" thickTop="1" thickBot="1" x14ac:dyDescent="0.3">
      <c r="B17" s="61" t="str">
        <f>IF(C17&lt;&gt;"",INDEX('Employee Details'!$A$7:$A20,MATCH(AttendanceSheet!$C17,'Employee Details'!$B$7:$B26,0)),"")</f>
        <v>Emp_0012</v>
      </c>
      <c r="C1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'!$J$1:J11))),""))</f>
        <v>VIRENDRA ETHAPE</v>
      </c>
      <c r="D17" s="245">
        <f>IF(B17&lt;&gt;"",AttendanceSheet!$AL17,"")</f>
        <v>2.5</v>
      </c>
      <c r="E17" s="246">
        <f>IF(B17&lt;&gt;"",COUNTIFS('Mark Leave'!$D:$D,"&gt;="&amp;'Leave Credit Sheet'!$F$1,'Mark Leave'!$D:$D,"&lt;="&amp;'Leave Credit Sheet'!$I$1,'Mark Leave'!$B:$B,'Leave Credit Sheet'!$B17,'Mark Leave'!$E:$E,E$6),"")</f>
        <v>2</v>
      </c>
      <c r="F17" s="246">
        <f>IF(B17&lt;&gt;"",COUNTIFS('Mark Leave'!$D:$D,"&gt;="&amp;'Leave Credit Sheet'!$F$1,'Mark Leave'!$D:$D,"&lt;="&amp;'Leave Credit Sheet'!$I$1,'Mark Leave'!$B:$B,'Leave Credit Sheet'!$B17,'Mark Leave'!$E:$E,F$6),"")</f>
        <v>1</v>
      </c>
      <c r="G17" s="246">
        <f>IF(B17&lt;&gt;"",COUNTIFS('Mark Leave'!$D:$D,"&gt;="&amp;'Leave Credit Sheet'!$F$1,'Mark Leave'!$D:$D,"&lt;="&amp;'Leave Credit Sheet'!$I$1,'Mark Leave'!$B:$B,'Leave Credit Sheet'!$B17,'Mark Leave'!$E:$E,G$6),"")</f>
        <v>0</v>
      </c>
      <c r="H17" s="246">
        <f t="shared" si="0"/>
        <v>2.5</v>
      </c>
      <c r="I17" s="246">
        <f>IF(B17&lt;&gt;"",VLOOKUP(B17,Summary!C31:E51,3,0),"")</f>
        <v>-3</v>
      </c>
      <c r="J17" s="62">
        <f t="shared" si="1"/>
        <v>1.5</v>
      </c>
      <c r="K17" s="63">
        <f t="shared" si="2"/>
        <v>1</v>
      </c>
      <c r="L17" s="211" t="str">
        <f t="shared" si="3"/>
        <v/>
      </c>
    </row>
    <row r="18" spans="2:13" ht="16.5" thickTop="1" thickBot="1" x14ac:dyDescent="0.3">
      <c r="B18" s="61" t="str">
        <f>IF(C18&lt;&gt;"",INDEX('Employee Details'!$A$7:$A21,MATCH(AttendanceSheet!$C18,'Employee Details'!$B$7:$B27,0)),"")</f>
        <v>Emp_0013</v>
      </c>
      <c r="C1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'!$J$1:J12))),""))</f>
        <v>KALPESH SHELAR</v>
      </c>
      <c r="D18" s="245">
        <f>IF(B18&lt;&gt;"",AttendanceSheet!$AL18,"")</f>
        <v>0</v>
      </c>
      <c r="E18" s="246">
        <f>IF(B18&lt;&gt;"",COUNTIFS('Mark Leave'!$D:$D,"&gt;="&amp;'Leave Credit Sheet'!$F$1,'Mark Leave'!$D:$D,"&lt;="&amp;'Leave Credit Sheet'!$I$1,'Mark Leave'!$B:$B,'Leave Credit Sheet'!$B18,'Mark Leave'!$E:$E,E$6),"")</f>
        <v>1</v>
      </c>
      <c r="F18" s="246">
        <f>IF(B18&lt;&gt;"",COUNTIFS('Mark Leave'!$D:$D,"&gt;="&amp;'Leave Credit Sheet'!$F$1,'Mark Leave'!$D:$D,"&lt;="&amp;'Leave Credit Sheet'!$I$1,'Mark Leave'!$B:$B,'Leave Credit Sheet'!$B18,'Mark Leave'!$E:$E,F$6),"")</f>
        <v>0</v>
      </c>
      <c r="G18" s="246">
        <f>IF(B18&lt;&gt;"",COUNTIFS('Mark Leave'!$D:$D,"&gt;="&amp;'Leave Credit Sheet'!$F$1,'Mark Leave'!$D:$D,"&lt;="&amp;'Leave Credit Sheet'!$I$1,'Mark Leave'!$B:$B,'Leave Credit Sheet'!$B18,'Mark Leave'!$E:$E,G$6),"")</f>
        <v>2</v>
      </c>
      <c r="H18" s="246">
        <f t="shared" si="0"/>
        <v>1</v>
      </c>
      <c r="I18" s="246">
        <f>IF(B18&lt;&gt;"",VLOOKUP(B18,Summary!C32:E52,3,0),"")</f>
        <v>5.5</v>
      </c>
      <c r="J18" s="62">
        <f t="shared" si="1"/>
        <v>12</v>
      </c>
      <c r="K18" s="63">
        <f t="shared" si="2"/>
        <v>0</v>
      </c>
      <c r="L18" s="211">
        <f t="shared" si="3"/>
        <v>11</v>
      </c>
      <c r="M18" s="214"/>
    </row>
    <row r="19" spans="2:13" ht="16.5" thickTop="1" thickBot="1" x14ac:dyDescent="0.3">
      <c r="B19" s="61" t="str">
        <f>IF(C19&lt;&gt;"",INDEX('Employee Details'!$A$7:$A22,MATCH(AttendanceSheet!$C19,'Employee Details'!$B$7:$B28,0)),"")</f>
        <v>Emp_0014</v>
      </c>
      <c r="C1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'!$J$1:J13))),""))</f>
        <v>AJAY SAVARA</v>
      </c>
      <c r="D19" s="245">
        <f>IF(B19&lt;&gt;"",AttendanceSheet!$AL19,"")</f>
        <v>2</v>
      </c>
      <c r="E19" s="246">
        <f>IF(B19&lt;&gt;"",COUNTIFS('Mark Leave'!$D:$D,"&gt;="&amp;'Leave Credit Sheet'!$F$1,'Mark Leave'!$D:$D,"&lt;="&amp;'Leave Credit Sheet'!$I$1,'Mark Leave'!$B:$B,'Leave Credit Sheet'!$B19,'Mark Leave'!$E:$E,E$6),"")</f>
        <v>4</v>
      </c>
      <c r="F19" s="246">
        <f>IF(B19&lt;&gt;"",COUNTIFS('Mark Leave'!$D:$D,"&gt;="&amp;'Leave Credit Sheet'!$F$1,'Mark Leave'!$D:$D,"&lt;="&amp;'Leave Credit Sheet'!$I$1,'Mark Leave'!$B:$B,'Leave Credit Sheet'!$B19,'Mark Leave'!$E:$E,F$6),"")</f>
        <v>0</v>
      </c>
      <c r="G19" s="246">
        <f>IF(B19&lt;&gt;"",COUNTIFS('Mark Leave'!$D:$D,"&gt;="&amp;'Leave Credit Sheet'!$F$1,'Mark Leave'!$D:$D,"&lt;="&amp;'Leave Credit Sheet'!$I$1,'Mark Leave'!$B:$B,'Leave Credit Sheet'!$B19,'Mark Leave'!$E:$E,G$6),"")</f>
        <v>0</v>
      </c>
      <c r="H19" s="246">
        <f t="shared" si="0"/>
        <v>4</v>
      </c>
      <c r="I19" s="246">
        <f>IF(B19&lt;&gt;"",VLOOKUP(B19,Summary!C33:E53,3,0),"")</f>
        <v>4.5</v>
      </c>
      <c r="J19" s="62">
        <f t="shared" si="1"/>
        <v>9</v>
      </c>
      <c r="K19" s="63">
        <f t="shared" si="2"/>
        <v>0</v>
      </c>
      <c r="L19" s="211">
        <f t="shared" si="3"/>
        <v>5</v>
      </c>
    </row>
    <row r="20" spans="2:13" ht="16.5" thickTop="1" thickBot="1" x14ac:dyDescent="0.3">
      <c r="B20" s="61" t="str">
        <f>IF(C20&lt;&gt;"",INDEX('Employee Details'!$A$7:$A23,MATCH(AttendanceSheet!$C20,'Employee Details'!$B$7:$B29,0)),"")</f>
        <v>Emp_0015</v>
      </c>
      <c r="C2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'!$J$1:J14))),""))</f>
        <v>AKSHAY SHELAR</v>
      </c>
      <c r="D20" s="245">
        <f>IF(B20&lt;&gt;"",AttendanceSheet!$AL20,"")</f>
        <v>0</v>
      </c>
      <c r="E20" s="246">
        <f>IF(B20&lt;&gt;"",COUNTIFS('Mark Leave'!$D:$D,"&gt;="&amp;'Leave Credit Sheet'!$F$1,'Mark Leave'!$D:$D,"&lt;="&amp;'Leave Credit Sheet'!$I$1,'Mark Leave'!$B:$B,'Leave Credit Sheet'!$B20,'Mark Leave'!$E:$E,E$6),"")</f>
        <v>4</v>
      </c>
      <c r="F20" s="246">
        <f>IF(B20&lt;&gt;"",COUNTIFS('Mark Leave'!$D:$D,"&gt;="&amp;'Leave Credit Sheet'!$F$1,'Mark Leave'!$D:$D,"&lt;="&amp;'Leave Credit Sheet'!$I$1,'Mark Leave'!$B:$B,'Leave Credit Sheet'!$B20,'Mark Leave'!$E:$E,F$6),"")</f>
        <v>0</v>
      </c>
      <c r="G20" s="246">
        <f>IF(B20&lt;&gt;"",COUNTIFS('Mark Leave'!$D:$D,"&gt;="&amp;'Leave Credit Sheet'!$F$1,'Mark Leave'!$D:$D,"&lt;="&amp;'Leave Credit Sheet'!$I$1,'Mark Leave'!$B:$B,'Leave Credit Sheet'!$B20,'Mark Leave'!$E:$E,G$6),"")</f>
        <v>4</v>
      </c>
      <c r="H20" s="246">
        <f t="shared" si="0"/>
        <v>4</v>
      </c>
      <c r="I20" s="246">
        <f>IF(B20&lt;&gt;"",VLOOKUP(B20,Summary!C34:E54,3,0),"")</f>
        <v>3.5</v>
      </c>
      <c r="J20" s="62">
        <f t="shared" si="1"/>
        <v>12</v>
      </c>
      <c r="K20" s="63">
        <f t="shared" si="2"/>
        <v>0</v>
      </c>
      <c r="L20" s="211">
        <f t="shared" si="3"/>
        <v>8</v>
      </c>
    </row>
    <row r="21" spans="2:13" ht="16.5" thickTop="1" thickBot="1" x14ac:dyDescent="0.3">
      <c r="B21" s="61" t="str">
        <f>IF(C21&lt;&gt;"",INDEX('Employee Details'!$A$7:$A24,MATCH(AttendanceSheet!$C21,'Employee Details'!$B$7:$B30,0)),"")</f>
        <v>Emp_0016</v>
      </c>
      <c r="C21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'!$J$1:J15))),""))</f>
        <v>MILIND PAWAR</v>
      </c>
      <c r="D21" s="245">
        <f>IF(B21&lt;&gt;"",AttendanceSheet!$AL21,"")</f>
        <v>1</v>
      </c>
      <c r="E21" s="246">
        <f>IF(B21&lt;&gt;"",COUNTIFS('Mark Leave'!$D:$D,"&gt;="&amp;'Leave Credit Sheet'!$F$1,'Mark Leave'!$D:$D,"&lt;="&amp;'Leave Credit Sheet'!$I$1,'Mark Leave'!$B:$B,'Leave Credit Sheet'!$B21,'Mark Leave'!$E:$E,E$6),"")</f>
        <v>1</v>
      </c>
      <c r="F21" s="246">
        <f>IF(B21&lt;&gt;"",COUNTIFS('Mark Leave'!$D:$D,"&gt;="&amp;'Leave Credit Sheet'!$F$1,'Mark Leave'!$D:$D,"&lt;="&amp;'Leave Credit Sheet'!$I$1,'Mark Leave'!$B:$B,'Leave Credit Sheet'!$B21,'Mark Leave'!$E:$E,F$6),"")</f>
        <v>0</v>
      </c>
      <c r="G21" s="246">
        <f>IF(B21&lt;&gt;"",COUNTIFS('Mark Leave'!$D:$D,"&gt;="&amp;'Leave Credit Sheet'!$F$1,'Mark Leave'!$D:$D,"&lt;="&amp;'Leave Credit Sheet'!$I$1,'Mark Leave'!$B:$B,'Leave Credit Sheet'!$B21,'Mark Leave'!$E:$E,G$6),"")</f>
        <v>0</v>
      </c>
      <c r="H21" s="246">
        <f t="shared" si="0"/>
        <v>1</v>
      </c>
      <c r="I21" s="246">
        <f>IF(B21&lt;&gt;"",VLOOKUP(B21,Summary!C35:E55,3,0),"")</f>
        <v>1.5</v>
      </c>
      <c r="J21" s="62">
        <f t="shared" si="1"/>
        <v>6</v>
      </c>
      <c r="K21" s="63">
        <f t="shared" si="2"/>
        <v>0</v>
      </c>
      <c r="L21" s="211">
        <f t="shared" si="3"/>
        <v>5</v>
      </c>
    </row>
    <row r="22" spans="2:13" ht="16.5" thickTop="1" thickBot="1" x14ac:dyDescent="0.3">
      <c r="B22" s="61" t="str">
        <f>IF(C22&lt;&gt;"",INDEX('Employee Details'!$A$7:$A25,MATCH(AttendanceSheet!$C22,'Employee Details'!$B$7:$B31,0)),"")</f>
        <v>Emp_0017</v>
      </c>
      <c r="C22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'!$J$1:J16))),""))</f>
        <v>PRATIK PATIL</v>
      </c>
      <c r="D22" s="245">
        <f>IF(B22&lt;&gt;"",AttendanceSheet!$AL22,"")</f>
        <v>1</v>
      </c>
      <c r="E22" s="246">
        <f>IF(B22&lt;&gt;"",COUNTIFS('Mark Leave'!$D:$D,"&gt;="&amp;'Leave Credit Sheet'!$F$1,'Mark Leave'!$D:$D,"&lt;="&amp;'Leave Credit Sheet'!$I$1,'Mark Leave'!$B:$B,'Leave Credit Sheet'!$B22,'Mark Leave'!$E:$E,E$6),"")</f>
        <v>4</v>
      </c>
      <c r="F22" s="246">
        <f>IF(B22&lt;&gt;"",COUNTIFS('Mark Leave'!$D:$D,"&gt;="&amp;'Leave Credit Sheet'!$F$1,'Mark Leave'!$D:$D,"&lt;="&amp;'Leave Credit Sheet'!$I$1,'Mark Leave'!$B:$B,'Leave Credit Sheet'!$B22,'Mark Leave'!$E:$E,F$6),"")</f>
        <v>0</v>
      </c>
      <c r="G22" s="246">
        <f>IF(B22&lt;&gt;"",COUNTIFS('Mark Leave'!$D:$D,"&gt;="&amp;'Leave Credit Sheet'!$F$1,'Mark Leave'!$D:$D,"&lt;="&amp;'Leave Credit Sheet'!$I$1,'Mark Leave'!$B:$B,'Leave Credit Sheet'!$B22,'Mark Leave'!$E:$E,G$6),"")</f>
        <v>1</v>
      </c>
      <c r="H22" s="246">
        <f t="shared" si="0"/>
        <v>4</v>
      </c>
      <c r="I22" s="246">
        <f>IF(B22&lt;&gt;"",VLOOKUP(B22,Summary!C36:E56,3,0),"")</f>
        <v>5.5</v>
      </c>
      <c r="J22" s="62">
        <f t="shared" si="1"/>
        <v>11</v>
      </c>
      <c r="K22" s="63">
        <f t="shared" si="2"/>
        <v>0</v>
      </c>
      <c r="L22" s="211">
        <f t="shared" si="3"/>
        <v>7</v>
      </c>
    </row>
    <row r="23" spans="2:13" ht="16.5" thickTop="1" thickBot="1" x14ac:dyDescent="0.3">
      <c r="B23" s="61" t="str">
        <f>IF(C23&lt;&gt;"",INDEX('Employee Details'!$A$7:$A26,MATCH(AttendanceSheet!$C23,'Employee Details'!$B$7:$B32,0)),"")</f>
        <v>Emp_0018</v>
      </c>
      <c r="C23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'!$J$1:J17))),""))</f>
        <v>PRATIK NEVREKAR</v>
      </c>
      <c r="D23" s="245">
        <f>IF(B23&lt;&gt;"",AttendanceSheet!$AL23,"")</f>
        <v>3.5</v>
      </c>
      <c r="E23" s="246">
        <f>IF(B23&lt;&gt;"",COUNTIFS('Mark Leave'!$D:$D,"&gt;="&amp;'Leave Credit Sheet'!$F$1,'Mark Leave'!$D:$D,"&lt;="&amp;'Leave Credit Sheet'!$I$1,'Mark Leave'!$B:$B,'Leave Credit Sheet'!$B23,'Mark Leave'!$E:$E,E$6),"")</f>
        <v>5</v>
      </c>
      <c r="F23" s="246">
        <f>IF(B23&lt;&gt;"",COUNTIFS('Mark Leave'!$D:$D,"&gt;="&amp;'Leave Credit Sheet'!$F$1,'Mark Leave'!$D:$D,"&lt;="&amp;'Leave Credit Sheet'!$I$1,'Mark Leave'!$B:$B,'Leave Credit Sheet'!$B23,'Mark Leave'!$E:$E,F$6),"")</f>
        <v>1</v>
      </c>
      <c r="G23" s="246">
        <f>IF(B23&lt;&gt;"",COUNTIFS('Mark Leave'!$D:$D,"&gt;="&amp;'Leave Credit Sheet'!$F$1,'Mark Leave'!$D:$D,"&lt;="&amp;'Leave Credit Sheet'!$I$1,'Mark Leave'!$B:$B,'Leave Credit Sheet'!$B23,'Mark Leave'!$E:$E,G$6),"")</f>
        <v>0</v>
      </c>
      <c r="H23" s="246">
        <f t="shared" si="0"/>
        <v>5.5</v>
      </c>
      <c r="I23" s="246">
        <f>IF(B23&lt;&gt;"",VLOOKUP(B23,Summary!C37:E57,3,0),"")</f>
        <v>0</v>
      </c>
      <c r="J23" s="62">
        <f t="shared" si="1"/>
        <v>4.5</v>
      </c>
      <c r="K23" s="63">
        <f>IF(B23&lt;&gt;"",IF(H23&lt;=J23,0,IF(J23&gt;=D23,J23-D23,D23-J23)))</f>
        <v>1</v>
      </c>
      <c r="L23" s="211" t="str">
        <f t="shared" si="3"/>
        <v/>
      </c>
    </row>
    <row r="24" spans="2:13" ht="16.5" thickTop="1" thickBot="1" x14ac:dyDescent="0.3">
      <c r="B24" s="61" t="str">
        <f>IF(C24&lt;&gt;"",INDEX('Employee Details'!$A$7:$A27,MATCH(AttendanceSheet!$C24,'Employee Details'!$B$7:$B33,0)),"")</f>
        <v>Emp_0019</v>
      </c>
      <c r="C24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'!$J$1:J18))),""))</f>
        <v>AMOL PATIL</v>
      </c>
      <c r="D24" s="245">
        <f>IF(B24&lt;&gt;"",AttendanceSheet!$AL24,"")</f>
        <v>3</v>
      </c>
      <c r="E24" s="246">
        <f>IF(B24&lt;&gt;"",COUNTIFS('Mark Leave'!$D:$D,"&gt;="&amp;'Leave Credit Sheet'!$F$1,'Mark Leave'!$D:$D,"&lt;="&amp;'Leave Credit Sheet'!$I$1,'Mark Leave'!$B:$B,'Leave Credit Sheet'!$B24,'Mark Leave'!$E:$E,E$6),"")</f>
        <v>4</v>
      </c>
      <c r="F24" s="246">
        <f>IF(B24&lt;&gt;"",COUNTIFS('Mark Leave'!$D:$D,"&gt;="&amp;'Leave Credit Sheet'!$F$1,'Mark Leave'!$D:$D,"&lt;="&amp;'Leave Credit Sheet'!$I$1,'Mark Leave'!$B:$B,'Leave Credit Sheet'!$B24,'Mark Leave'!$E:$E,F$6),"")</f>
        <v>0</v>
      </c>
      <c r="G24" s="246">
        <f>IF(B24&lt;&gt;"",COUNTIFS('Mark Leave'!$D:$D,"&gt;="&amp;'Leave Credit Sheet'!$F$1,'Mark Leave'!$D:$D,"&lt;="&amp;'Leave Credit Sheet'!$I$1,'Mark Leave'!$B:$B,'Leave Credit Sheet'!$B24,'Mark Leave'!$E:$E,G$6),"")</f>
        <v>3</v>
      </c>
      <c r="H24" s="246">
        <f t="shared" si="0"/>
        <v>4</v>
      </c>
      <c r="I24" s="246">
        <f>IF(B24&lt;&gt;"",VLOOKUP(B24,Summary!C38:E58,3,0),"")</f>
        <v>15.75</v>
      </c>
      <c r="J24" s="62">
        <f t="shared" si="1"/>
        <v>23.25</v>
      </c>
      <c r="K24" s="63">
        <f t="shared" ref="K24" si="4">IF(B24&lt;&gt;"",IF(H24&lt;=J24,0,IF(J24&gt;=D24,J24-D24,D24-J24)))</f>
        <v>0</v>
      </c>
      <c r="L24" s="211">
        <f t="shared" si="3"/>
        <v>19.25</v>
      </c>
    </row>
    <row r="25" spans="2:13" ht="16.5" thickTop="1" thickBot="1" x14ac:dyDescent="0.3">
      <c r="B25" s="61" t="str">
        <f>IF(C25&lt;&gt;"",INDEX('Employee Details'!$A$7:$A28,MATCH(AttendanceSheet!$C25,'Employee Details'!$B$7:$B34,0)),"")</f>
        <v/>
      </c>
      <c r="C25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'!$J$1:J19))),""))</f>
        <v/>
      </c>
      <c r="D25" s="245" t="str">
        <f>IF(B25&lt;&gt;"",AttendanceSheet!$AL25,"")</f>
        <v/>
      </c>
      <c r="E25" s="246" t="str">
        <f>IF(B25&lt;&gt;"",COUNTIFS('Mark Leave'!$D:$D,"&gt;="&amp;'Leave Credit Sheet'!$F$1,'Mark Leave'!$D:$D,"&lt;="&amp;'Leave Credit Sheet'!$I$1,'Mark Leave'!$B:$B,'Leave Credit Sheet'!$B25,'Mark Leave'!$E:$E,E$6),"")</f>
        <v/>
      </c>
      <c r="F25" s="246" t="str">
        <f>IF(B25&lt;&gt;"",COUNTIFS('Mark Leave'!$D:$D,"&gt;="&amp;'Leave Credit Sheet'!$F$1,'Mark Leave'!$D:$D,"&lt;="&amp;'Leave Credit Sheet'!$I$1,'Mark Leave'!$B:$B,'Leave Credit Sheet'!$B25,'Mark Leave'!$E:$E,F$6),"")</f>
        <v/>
      </c>
      <c r="G25" s="246" t="str">
        <f>IF(B25&lt;&gt;"",COUNTIFS('Mark Leave'!$D:$D,"&gt;="&amp;'Leave Credit Sheet'!$F$1,'Mark Leave'!$D:$D,"&lt;="&amp;'Leave Credit Sheet'!$I$1,'Mark Leave'!$B:$B,'Leave Credit Sheet'!$B25,'Mark Leave'!$E:$E,G$6),"")</f>
        <v/>
      </c>
      <c r="H25" s="246" t="str">
        <f t="shared" si="0"/>
        <v/>
      </c>
      <c r="I25" s="246" t="str">
        <f>IF(B25&lt;&gt;"",VLOOKUP(B25,Summary!C39:E59,3,0),"")</f>
        <v/>
      </c>
      <c r="J25" s="62" t="str">
        <f t="shared" si="1"/>
        <v/>
      </c>
      <c r="K25" s="63" t="str">
        <f>IF(B25&lt;&gt;"",IF(H25&lt;=J25,0,IF(J25&gt;=D25,J25-D25,D25-J25)),"")</f>
        <v/>
      </c>
      <c r="L25" s="211" t="str">
        <f t="shared" si="3"/>
        <v/>
      </c>
    </row>
    <row r="26" spans="2:13" ht="16.5" thickTop="1" thickBot="1" x14ac:dyDescent="0.3">
      <c r="B26" s="61" t="str">
        <f>IF(C26&lt;&gt;"",INDEX('Employee Details'!$A$7:$A29,MATCH(AttendanceSheet!$C26,'Employee Details'!$B$7:$B35,0)),"")</f>
        <v/>
      </c>
      <c r="C26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'!$J$1:J20))),""))</f>
        <v/>
      </c>
      <c r="D26" s="245" t="str">
        <f>IF(B26&lt;&gt;"",AttendanceSheet!$AL26,"")</f>
        <v/>
      </c>
      <c r="E26" s="246" t="str">
        <f>IF(B26&lt;&gt;"",COUNTIFS('Mark Leave'!$D:$D,"&gt;="&amp;'Leave Credit Sheet'!$F$1,'Mark Leave'!$D:$D,"&lt;="&amp;'Leave Credit Sheet'!$I$1,'Mark Leave'!$B:$B,'Leave Credit Sheet'!$B26,'Mark Leave'!$E:$E,E$6),"")</f>
        <v/>
      </c>
      <c r="F26" s="246" t="str">
        <f>IF(B26&lt;&gt;"",COUNTIFS('Mark Leave'!$D:$D,"&gt;="&amp;'Leave Credit Sheet'!$F$1,'Mark Leave'!$D:$D,"&lt;="&amp;'Leave Credit Sheet'!$I$1,'Mark Leave'!$B:$B,'Leave Credit Sheet'!$B26,'Mark Leave'!$E:$E,F$6),"")</f>
        <v/>
      </c>
      <c r="G26" s="246" t="str">
        <f>IF(B26&lt;&gt;"",COUNTIFS('Mark Leave'!$D:$D,"&gt;="&amp;'Leave Credit Sheet'!$F$1,'Mark Leave'!$D:$D,"&lt;="&amp;'Leave Credit Sheet'!$I$1,'Mark Leave'!$B:$B,'Leave Credit Sheet'!$B26,'Mark Leave'!$E:$E,G$6),"")</f>
        <v/>
      </c>
      <c r="H26" s="246" t="str">
        <f t="shared" si="0"/>
        <v/>
      </c>
      <c r="I26" s="246" t="str">
        <f>IF(B26&lt;&gt;"",VLOOKUP(B26,Summary!C40:E60,3,0),"")</f>
        <v/>
      </c>
      <c r="J26" s="62" t="str">
        <f t="shared" si="1"/>
        <v/>
      </c>
      <c r="K26" s="63" t="str">
        <f t="shared" ref="K26:K71" si="5">IF(B26&lt;&gt;"",IF(H26&lt;=J26,0,D26-J26),"")</f>
        <v/>
      </c>
      <c r="L26" s="211" t="str">
        <f t="shared" ref="L26:L45" si="6">IF(B26&lt;&gt;"",IF(K26=0,J26-H26,""),"")</f>
        <v/>
      </c>
    </row>
    <row r="27" spans="2:13" ht="16.5" thickTop="1" thickBot="1" x14ac:dyDescent="0.3">
      <c r="B27" s="61" t="str">
        <f>IF(C27&lt;&gt;"",INDEX('Employee Details'!$A$7:$A30,MATCH(AttendanceSheet!$C27,'Employee Details'!$B$7:$B36,0)),"")</f>
        <v/>
      </c>
      <c r="C2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'!$J$1:J21))),""))</f>
        <v/>
      </c>
      <c r="D27" s="245" t="str">
        <f>IF(B27&lt;&gt;"",AttendanceSheet!$AL27,"")</f>
        <v/>
      </c>
      <c r="E27" s="246" t="str">
        <f>IF(B27&lt;&gt;"",COUNTIFS('Mark Leave'!$D:$D,"&gt;="&amp;'Leave Credit Sheet'!$F$1,'Mark Leave'!$D:$D,"&lt;="&amp;'Leave Credit Sheet'!$I$1,'Mark Leave'!$B:$B,'Leave Credit Sheet'!$B27,'Mark Leave'!$E:$E,E$6),"")</f>
        <v/>
      </c>
      <c r="F27" s="246" t="str">
        <f>IF(B27&lt;&gt;"",COUNTIFS('Mark Leave'!$D:$D,"&gt;="&amp;'Leave Credit Sheet'!$F$1,'Mark Leave'!$D:$D,"&lt;="&amp;'Leave Credit Sheet'!$I$1,'Mark Leave'!$B:$B,'Leave Credit Sheet'!$B27,'Mark Leave'!$E:$E,F$6),"")</f>
        <v/>
      </c>
      <c r="G27" s="246" t="str">
        <f>IF(B27&lt;&gt;"",COUNTIFS('Mark Leave'!$D:$D,"&gt;="&amp;'Leave Credit Sheet'!$F$1,'Mark Leave'!$D:$D,"&lt;="&amp;'Leave Credit Sheet'!$I$1,'Mark Leave'!$B:$B,'Leave Credit Sheet'!$B27,'Mark Leave'!$E:$E,G$6),"")</f>
        <v/>
      </c>
      <c r="H27" s="246" t="str">
        <f t="shared" si="0"/>
        <v/>
      </c>
      <c r="I27" s="246" t="str">
        <f>IF(B27&lt;&gt;"",VLOOKUP(B27,Summary!C41:E61,3,0),"")</f>
        <v/>
      </c>
      <c r="J27" s="62" t="str">
        <f t="shared" si="1"/>
        <v/>
      </c>
      <c r="K27" s="63" t="str">
        <f t="shared" si="5"/>
        <v/>
      </c>
      <c r="L27" s="211" t="str">
        <f t="shared" si="6"/>
        <v/>
      </c>
    </row>
    <row r="28" spans="2:13" ht="16.5" thickTop="1" thickBot="1" x14ac:dyDescent="0.3">
      <c r="B28" s="61" t="str">
        <f>IF(C28&lt;&gt;"",INDEX('Employee Details'!$A$7:$A31,MATCH(AttendanceSheet!$C28,'Employee Details'!$B$7:$B37,0)),"")</f>
        <v/>
      </c>
      <c r="C2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'!$J$1:J22))),""))</f>
        <v/>
      </c>
      <c r="D28" s="245" t="str">
        <f>IF(B28&lt;&gt;"",AttendanceSheet!$AL28,"")</f>
        <v/>
      </c>
      <c r="E28" s="246" t="str">
        <f>IF(B28&lt;&gt;"",COUNTIFS('Mark Leave'!$D:$D,"&gt;="&amp;'Leave Credit Sheet'!$F$1,'Mark Leave'!$D:$D,"&lt;="&amp;'Leave Credit Sheet'!$I$1,'Mark Leave'!$B:$B,'Leave Credit Sheet'!$B28,'Mark Leave'!$E:$E,E$6),"")</f>
        <v/>
      </c>
      <c r="F28" s="246" t="str">
        <f>IF(B28&lt;&gt;"",COUNTIFS('Mark Leave'!$D:$D,"&gt;="&amp;'Leave Credit Sheet'!$F$1,'Mark Leave'!$D:$D,"&lt;="&amp;'Leave Credit Sheet'!$I$1,'Mark Leave'!$B:$B,'Leave Credit Sheet'!$B28,'Mark Leave'!$E:$E,F$6),"")</f>
        <v/>
      </c>
      <c r="G28" s="246" t="str">
        <f>IF(B28&lt;&gt;"",COUNTIFS('Mark Leave'!$D:$D,"&gt;="&amp;'Leave Credit Sheet'!$F$1,'Mark Leave'!$D:$D,"&lt;="&amp;'Leave Credit Sheet'!$I$1,'Mark Leave'!$B:$B,'Leave Credit Sheet'!$B28,'Mark Leave'!$E:$E,G$6),"")</f>
        <v/>
      </c>
      <c r="H28" s="246" t="str">
        <f t="shared" si="0"/>
        <v/>
      </c>
      <c r="I28" s="246" t="str">
        <f>IF(B28&lt;&gt;"",VLOOKUP(B28,Summary!C42:E62,3,0),"")</f>
        <v/>
      </c>
      <c r="J28" s="62" t="str">
        <f t="shared" si="1"/>
        <v/>
      </c>
      <c r="K28" s="63" t="str">
        <f t="shared" si="5"/>
        <v/>
      </c>
      <c r="L28" s="211" t="str">
        <f t="shared" si="6"/>
        <v/>
      </c>
    </row>
    <row r="29" spans="2:13" ht="16.5" thickTop="1" thickBot="1" x14ac:dyDescent="0.3">
      <c r="B29" s="61" t="str">
        <f>IF(C29&lt;&gt;"",INDEX('Employee Details'!$A$7:$A32,MATCH(AttendanceSheet!$C29,'Employee Details'!$B$7:$B38,0)),"")</f>
        <v/>
      </c>
      <c r="C2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'!$J$1:J23))),""))</f>
        <v/>
      </c>
      <c r="D29" s="245" t="str">
        <f>IF(B29&lt;&gt;"",AttendanceSheet!$AL29,"")</f>
        <v/>
      </c>
      <c r="E29" s="246" t="str">
        <f>IF(B29&lt;&gt;"",COUNTIFS('Mark Leave'!$D:$D,"&gt;="&amp;'Leave Credit Sheet'!$F$1,'Mark Leave'!$D:$D,"&lt;="&amp;'Leave Credit Sheet'!$I$1,'Mark Leave'!$B:$B,'Leave Credit Sheet'!$B29,'Mark Leave'!$E:$E,E$6),"")</f>
        <v/>
      </c>
      <c r="F29" s="246" t="str">
        <f>IF(B29&lt;&gt;"",COUNTIFS('Mark Leave'!$D:$D,"&gt;="&amp;'Leave Credit Sheet'!$F$1,'Mark Leave'!$D:$D,"&lt;="&amp;'Leave Credit Sheet'!$I$1,'Mark Leave'!$B:$B,'Leave Credit Sheet'!$B29,'Mark Leave'!$E:$E,F$6),"")</f>
        <v/>
      </c>
      <c r="G29" s="246" t="str">
        <f>IF(B29&lt;&gt;"",COUNTIFS('Mark Leave'!$D:$D,"&gt;="&amp;'Leave Credit Sheet'!$F$1,'Mark Leave'!$D:$D,"&lt;="&amp;'Leave Credit Sheet'!$I$1,'Mark Leave'!$B:$B,'Leave Credit Sheet'!$B29,'Mark Leave'!$E:$E,G$6),"")</f>
        <v/>
      </c>
      <c r="H29" s="246" t="str">
        <f t="shared" si="0"/>
        <v/>
      </c>
      <c r="I29" s="246" t="str">
        <f>IF(B29&lt;&gt;"",VLOOKUP(B29,Summary!C43:E63,3,0),"")</f>
        <v/>
      </c>
      <c r="J29" s="62" t="str">
        <f t="shared" si="1"/>
        <v/>
      </c>
      <c r="K29" s="63" t="str">
        <f t="shared" si="5"/>
        <v/>
      </c>
      <c r="L29" s="211" t="str">
        <f t="shared" si="6"/>
        <v/>
      </c>
    </row>
    <row r="30" spans="2:13" ht="16.5" thickTop="1" thickBot="1" x14ac:dyDescent="0.3">
      <c r="B30" s="61" t="str">
        <f>IF(C30&lt;&gt;"",INDEX('Employee Details'!$A$7:$A33,MATCH(AttendanceSheet!$C30,'Employee Details'!$B$7:$B39,0)),"")</f>
        <v/>
      </c>
      <c r="C3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'!$J$1:J24))),""))</f>
        <v/>
      </c>
      <c r="D30" s="245" t="str">
        <f>IF(B30&lt;&gt;"",AttendanceSheet!$AL30,"")</f>
        <v/>
      </c>
      <c r="E30" s="246" t="str">
        <f>IF(B30&lt;&gt;"",COUNTIFS('Mark Leave'!$D:$D,"&gt;="&amp;'Leave Credit Sheet'!$F$1,'Mark Leave'!$D:$D,"&lt;="&amp;'Leave Credit Sheet'!$I$1,'Mark Leave'!$B:$B,'Leave Credit Sheet'!$B30,'Mark Leave'!$E:$E,E$6),"")</f>
        <v/>
      </c>
      <c r="F30" s="246" t="str">
        <f>IF(B30&lt;&gt;"",COUNTIFS('Mark Leave'!$D:$D,"&gt;="&amp;'Leave Credit Sheet'!$F$1,'Mark Leave'!$D:$D,"&lt;="&amp;'Leave Credit Sheet'!$I$1,'Mark Leave'!$B:$B,'Leave Credit Sheet'!$B30,'Mark Leave'!$E:$E,F$6),"")</f>
        <v/>
      </c>
      <c r="G30" s="246" t="str">
        <f>IF(B30&lt;&gt;"",COUNTIFS('Mark Leave'!$D:$D,"&gt;="&amp;'Leave Credit Sheet'!$F$1,'Mark Leave'!$D:$D,"&lt;="&amp;'Leave Credit Sheet'!$I$1,'Mark Leave'!$B:$B,'Leave Credit Sheet'!$B30,'Mark Leave'!$E:$E,G$6),"")</f>
        <v/>
      </c>
      <c r="H30" s="246" t="str">
        <f t="shared" si="0"/>
        <v/>
      </c>
      <c r="I30" s="246" t="str">
        <f>IF(B30&lt;&gt;"",VLOOKUP(B30,Summary!C44:E64,3,0),"")</f>
        <v/>
      </c>
      <c r="J30" s="62" t="str">
        <f t="shared" si="1"/>
        <v/>
      </c>
      <c r="K30" s="63" t="str">
        <f t="shared" si="5"/>
        <v/>
      </c>
      <c r="L30" s="211" t="str">
        <f t="shared" si="6"/>
        <v/>
      </c>
    </row>
    <row r="31" spans="2:13" ht="16.5" thickTop="1" thickBot="1" x14ac:dyDescent="0.3">
      <c r="B31" s="61" t="str">
        <f>IF(C31&lt;&gt;"",INDEX('Employee Details'!$A$7:$A34,MATCH(AttendanceSheet!$C31,'Employee Details'!$B$7:$B40,0)),"")</f>
        <v/>
      </c>
      <c r="C31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'!$J$1:J25))),""))</f>
        <v/>
      </c>
      <c r="D31" s="245" t="str">
        <f>IF(B31&lt;&gt;"",AttendanceSheet!$AL31,"")</f>
        <v/>
      </c>
      <c r="E31" s="246" t="str">
        <f>IF(B31&lt;&gt;"",COUNTIFS('Mark Leave'!$D:$D,"&gt;="&amp;'Leave Credit Sheet'!$F$1,'Mark Leave'!$D:$D,"&lt;="&amp;'Leave Credit Sheet'!$I$1,'Mark Leave'!$B:$B,'Leave Credit Sheet'!$B31,'Mark Leave'!$E:$E,E$6),"")</f>
        <v/>
      </c>
      <c r="F31" s="246" t="str">
        <f>IF(B31&lt;&gt;"",COUNTIFS('Mark Leave'!$D:$D,"&gt;="&amp;'Leave Credit Sheet'!$F$1,'Mark Leave'!$D:$D,"&lt;="&amp;'Leave Credit Sheet'!$I$1,'Mark Leave'!$B:$B,'Leave Credit Sheet'!$B31,'Mark Leave'!$E:$E,F$6),"")</f>
        <v/>
      </c>
      <c r="G31" s="246" t="str">
        <f>IF(B31&lt;&gt;"",COUNTIFS('Mark Leave'!$D:$D,"&gt;="&amp;'Leave Credit Sheet'!$F$1,'Mark Leave'!$D:$D,"&lt;="&amp;'Leave Credit Sheet'!$I$1,'Mark Leave'!$B:$B,'Leave Credit Sheet'!$B31,'Mark Leave'!$E:$E,G$6),"")</f>
        <v/>
      </c>
      <c r="H31" s="246" t="str">
        <f t="shared" si="0"/>
        <v/>
      </c>
      <c r="I31" s="246" t="str">
        <f>IF(B31&lt;&gt;"",VLOOKUP(B31,Summary!C45:E65,3,0),"")</f>
        <v/>
      </c>
      <c r="J31" s="62" t="str">
        <f t="shared" si="1"/>
        <v/>
      </c>
      <c r="K31" s="63" t="str">
        <f t="shared" si="5"/>
        <v/>
      </c>
      <c r="L31" s="211" t="str">
        <f t="shared" si="6"/>
        <v/>
      </c>
    </row>
    <row r="32" spans="2:13" ht="16.5" thickTop="1" thickBot="1" x14ac:dyDescent="0.3">
      <c r="B32" s="61" t="str">
        <f>IF(C32&lt;&gt;"",INDEX('Employee Details'!$A$7:$A35,MATCH(AttendanceSheet!$C32,'Employee Details'!$B$7:$B41,0)),"")</f>
        <v/>
      </c>
      <c r="C32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'!$J$1:J26))),""))</f>
        <v/>
      </c>
      <c r="D32" s="245" t="str">
        <f>IF(B32&lt;&gt;"",AttendanceSheet!$AL32,"")</f>
        <v/>
      </c>
      <c r="E32" s="246" t="str">
        <f>IF(B32&lt;&gt;"",COUNTIFS('Mark Leave'!$D:$D,"&gt;="&amp;'Leave Credit Sheet'!$F$1,'Mark Leave'!$D:$D,"&lt;="&amp;'Leave Credit Sheet'!$I$1,'Mark Leave'!$B:$B,'Leave Credit Sheet'!$B32,'Mark Leave'!$E:$E,E$6),"")</f>
        <v/>
      </c>
      <c r="F32" s="246" t="str">
        <f>IF(B32&lt;&gt;"",COUNTIFS('Mark Leave'!$D:$D,"&gt;="&amp;'Leave Credit Sheet'!$F$1,'Mark Leave'!$D:$D,"&lt;="&amp;'Leave Credit Sheet'!$I$1,'Mark Leave'!$B:$B,'Leave Credit Sheet'!$B32,'Mark Leave'!$E:$E,F$6),"")</f>
        <v/>
      </c>
      <c r="G32" s="246" t="str">
        <f>IF(B32&lt;&gt;"",COUNTIFS('Mark Leave'!$D:$D,"&gt;="&amp;'Leave Credit Sheet'!$F$1,'Mark Leave'!$D:$D,"&lt;="&amp;'Leave Credit Sheet'!$I$1,'Mark Leave'!$B:$B,'Leave Credit Sheet'!$B32,'Mark Leave'!$E:$E,G$6),"")</f>
        <v/>
      </c>
      <c r="H32" s="246" t="str">
        <f t="shared" si="0"/>
        <v/>
      </c>
      <c r="I32" s="246" t="str">
        <f>IF(B32&lt;&gt;"",VLOOKUP(B32,Summary!C46:E66,3,0),"")</f>
        <v/>
      </c>
      <c r="J32" s="62" t="str">
        <f t="shared" si="1"/>
        <v/>
      </c>
      <c r="K32" s="63" t="str">
        <f t="shared" si="5"/>
        <v/>
      </c>
      <c r="L32" s="211" t="str">
        <f t="shared" si="6"/>
        <v/>
      </c>
    </row>
    <row r="33" spans="2:12" ht="16.5" thickTop="1" thickBot="1" x14ac:dyDescent="0.3">
      <c r="B33" s="61" t="str">
        <f>IF(C33&lt;&gt;"",INDEX('Employee Details'!$A$7:$A36,MATCH(AttendanceSheet!$C33,'Employee Details'!$B$7:$B42,0)),"")</f>
        <v/>
      </c>
      <c r="C33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'!$J$1:J27))),""))</f>
        <v/>
      </c>
      <c r="D33" s="245" t="str">
        <f>IF(B33&lt;&gt;"",AttendanceSheet!$AL33,"")</f>
        <v/>
      </c>
      <c r="E33" s="246" t="str">
        <f>IF(B33&lt;&gt;"",COUNTIFS('Mark Leave'!$D:$D,"&gt;="&amp;'Leave Credit Sheet'!$F$1,'Mark Leave'!$D:$D,"&lt;="&amp;'Leave Credit Sheet'!$I$1,'Mark Leave'!$B:$B,'Leave Credit Sheet'!$B33,'Mark Leave'!$E:$E,E$6),"")</f>
        <v/>
      </c>
      <c r="F33" s="246" t="str">
        <f>IF(B33&lt;&gt;"",COUNTIFS('Mark Leave'!$D:$D,"&gt;="&amp;'Leave Credit Sheet'!$F$1,'Mark Leave'!$D:$D,"&lt;="&amp;'Leave Credit Sheet'!$I$1,'Mark Leave'!$B:$B,'Leave Credit Sheet'!$B33,'Mark Leave'!$E:$E,F$6),"")</f>
        <v/>
      </c>
      <c r="G33" s="246" t="str">
        <f>IF(B33&lt;&gt;"",COUNTIFS('Mark Leave'!$D:$D,"&gt;="&amp;'Leave Credit Sheet'!$F$1,'Mark Leave'!$D:$D,"&lt;="&amp;'Leave Credit Sheet'!$I$1,'Mark Leave'!$B:$B,'Leave Credit Sheet'!$B33,'Mark Leave'!$E:$E,G$6),"")</f>
        <v/>
      </c>
      <c r="H33" s="246" t="str">
        <f t="shared" si="0"/>
        <v/>
      </c>
      <c r="I33" s="246" t="str">
        <f>IF(B33&lt;&gt;"",VLOOKUP(B33,Summary!C47:E67,3,0),"")</f>
        <v/>
      </c>
      <c r="J33" s="62" t="str">
        <f t="shared" si="1"/>
        <v/>
      </c>
      <c r="K33" s="63" t="str">
        <f t="shared" si="5"/>
        <v/>
      </c>
      <c r="L33" s="211" t="str">
        <f t="shared" si="6"/>
        <v/>
      </c>
    </row>
    <row r="34" spans="2:12" ht="16.5" thickTop="1" thickBot="1" x14ac:dyDescent="0.3">
      <c r="B34" s="61" t="str">
        <f>IF(C34&lt;&gt;"",INDEX('Employee Details'!$A$7:$A37,MATCH(AttendanceSheet!$C34,'Employee Details'!$B$7:$B43,0)),"")</f>
        <v/>
      </c>
      <c r="C34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'!$J$1:J28))),""))</f>
        <v/>
      </c>
      <c r="D34" s="245" t="str">
        <f>IF(B34&lt;&gt;"",AttendanceSheet!$AL34,"")</f>
        <v/>
      </c>
      <c r="E34" s="246" t="str">
        <f>IF(B34&lt;&gt;"",COUNTIFS('Mark Leave'!$D:$D,"&gt;="&amp;'Leave Credit Sheet'!$F$1,'Mark Leave'!$D:$D,"&lt;="&amp;'Leave Credit Sheet'!$I$1,'Mark Leave'!$B:$B,'Leave Credit Sheet'!$B34,'Mark Leave'!$E:$E,E$6),"")</f>
        <v/>
      </c>
      <c r="F34" s="246" t="str">
        <f>IF(B34&lt;&gt;"",COUNTIFS('Mark Leave'!$D:$D,"&gt;="&amp;'Leave Credit Sheet'!$F$1,'Mark Leave'!$D:$D,"&lt;="&amp;'Leave Credit Sheet'!$I$1,'Mark Leave'!$B:$B,'Leave Credit Sheet'!$B34,'Mark Leave'!$E:$E,F$6),"")</f>
        <v/>
      </c>
      <c r="G34" s="246" t="str">
        <f>IF(B34&lt;&gt;"",COUNTIFS('Mark Leave'!$D:$D,"&gt;="&amp;'Leave Credit Sheet'!$F$1,'Mark Leave'!$D:$D,"&lt;="&amp;'Leave Credit Sheet'!$I$1,'Mark Leave'!$B:$B,'Leave Credit Sheet'!$B34,'Mark Leave'!$E:$E,G$6),"")</f>
        <v/>
      </c>
      <c r="H34" s="246" t="str">
        <f t="shared" si="0"/>
        <v/>
      </c>
      <c r="I34" s="246" t="str">
        <f>IF(B34&lt;&gt;"",VLOOKUP(B34,Summary!C48:E68,3,0),"")</f>
        <v/>
      </c>
      <c r="J34" s="62" t="str">
        <f t="shared" si="1"/>
        <v/>
      </c>
      <c r="K34" s="63" t="str">
        <f t="shared" si="5"/>
        <v/>
      </c>
      <c r="L34" s="211" t="str">
        <f t="shared" si="6"/>
        <v/>
      </c>
    </row>
    <row r="35" spans="2:12" ht="16.5" thickTop="1" thickBot="1" x14ac:dyDescent="0.3">
      <c r="B35" s="61" t="str">
        <f>IF(C35&lt;&gt;"",INDEX('Employee Details'!$A$7:$A38,MATCH(AttendanceSheet!$C35,'Employee Details'!$B$7:$B44,0)),"")</f>
        <v/>
      </c>
      <c r="C35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'!$J$1:J29))),""))</f>
        <v/>
      </c>
      <c r="D35" s="245" t="str">
        <f>IF(B35&lt;&gt;"",AttendanceSheet!$AL35,"")</f>
        <v/>
      </c>
      <c r="E35" s="246" t="str">
        <f>IF(B35&lt;&gt;"",COUNTIFS('Mark Leave'!$D:$D,"&gt;="&amp;'Leave Credit Sheet'!$F$1,'Mark Leave'!$D:$D,"&lt;="&amp;'Leave Credit Sheet'!$I$1,'Mark Leave'!$B:$B,'Leave Credit Sheet'!$B35,'Mark Leave'!$E:$E,E$6),"")</f>
        <v/>
      </c>
      <c r="F35" s="246" t="str">
        <f>IF(B35&lt;&gt;"",COUNTIFS('Mark Leave'!$D:$D,"&gt;="&amp;'Leave Credit Sheet'!$F$1,'Mark Leave'!$D:$D,"&lt;="&amp;'Leave Credit Sheet'!$I$1,'Mark Leave'!$B:$B,'Leave Credit Sheet'!$B35,'Mark Leave'!$E:$E,F$6),"")</f>
        <v/>
      </c>
      <c r="G35" s="246" t="str">
        <f>IF(B35&lt;&gt;"",COUNTIFS('Mark Leave'!$D:$D,"&gt;="&amp;'Leave Credit Sheet'!$F$1,'Mark Leave'!$D:$D,"&lt;="&amp;'Leave Credit Sheet'!$I$1,'Mark Leave'!$B:$B,'Leave Credit Sheet'!$B35,'Mark Leave'!$E:$E,G$6),"")</f>
        <v/>
      </c>
      <c r="H35" s="246" t="str">
        <f t="shared" si="0"/>
        <v/>
      </c>
      <c r="I35" s="246" t="str">
        <f>IF(B35&lt;&gt;"",VLOOKUP(B35,Summary!C49:E69,3,0),"")</f>
        <v/>
      </c>
      <c r="J35" s="62" t="str">
        <f t="shared" si="1"/>
        <v/>
      </c>
      <c r="K35" s="63" t="str">
        <f t="shared" si="5"/>
        <v/>
      </c>
      <c r="L35" s="211" t="str">
        <f t="shared" si="6"/>
        <v/>
      </c>
    </row>
    <row r="36" spans="2:12" ht="16.5" thickTop="1" thickBot="1" x14ac:dyDescent="0.3">
      <c r="B36" s="61" t="str">
        <f>IF(C36&lt;&gt;"",INDEX('Employee Details'!$A$7:$A39,MATCH(AttendanceSheet!$C36,'Employee Details'!$B$7:$B45,0)),"")</f>
        <v/>
      </c>
      <c r="C36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'!$J$1:J30))),""))</f>
        <v/>
      </c>
      <c r="D36" s="245" t="str">
        <f>IF(B36&lt;&gt;"",AttendanceSheet!$AL36,"")</f>
        <v/>
      </c>
      <c r="E36" s="246" t="str">
        <f>IF(B36&lt;&gt;"",COUNTIFS('Mark Leave'!$D:$D,"&gt;="&amp;'Leave Credit Sheet'!$F$1,'Mark Leave'!$D:$D,"&lt;="&amp;'Leave Credit Sheet'!$I$1,'Mark Leave'!$B:$B,'Leave Credit Sheet'!$B36,'Mark Leave'!$E:$E,E$6),"")</f>
        <v/>
      </c>
      <c r="F36" s="246" t="str">
        <f>IF(B36&lt;&gt;"",COUNTIFS('Mark Leave'!$D:$D,"&gt;="&amp;'Leave Credit Sheet'!$F$1,'Mark Leave'!$D:$D,"&lt;="&amp;'Leave Credit Sheet'!$I$1,'Mark Leave'!$B:$B,'Leave Credit Sheet'!$B36,'Mark Leave'!$E:$E,F$6),"")</f>
        <v/>
      </c>
      <c r="G36" s="246" t="str">
        <f>IF(B36&lt;&gt;"",COUNTIFS('Mark Leave'!$D:$D,"&gt;="&amp;'Leave Credit Sheet'!$F$1,'Mark Leave'!$D:$D,"&lt;="&amp;'Leave Credit Sheet'!$I$1,'Mark Leave'!$B:$B,'Leave Credit Sheet'!$B36,'Mark Leave'!$E:$E,G$6),"")</f>
        <v/>
      </c>
      <c r="H36" s="246" t="str">
        <f t="shared" si="0"/>
        <v/>
      </c>
      <c r="I36" s="246" t="str">
        <f>IF(B36&lt;&gt;"",VLOOKUP(B36,Summary!C50:E70,3,0),"")</f>
        <v/>
      </c>
      <c r="J36" s="62" t="str">
        <f t="shared" si="1"/>
        <v/>
      </c>
      <c r="K36" s="63" t="str">
        <f t="shared" si="5"/>
        <v/>
      </c>
      <c r="L36" s="211" t="str">
        <f t="shared" si="6"/>
        <v/>
      </c>
    </row>
    <row r="37" spans="2:12" ht="16.5" thickTop="1" thickBot="1" x14ac:dyDescent="0.3">
      <c r="B37" s="61" t="str">
        <f>IF(C37&lt;&gt;"",INDEX('Employee Details'!$A$7:$A40,MATCH(AttendanceSheet!$C37,'Employee Details'!$B$7:$B46,0)),"")</f>
        <v/>
      </c>
      <c r="C3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'!$J$1:J31))),""))</f>
        <v/>
      </c>
      <c r="D37" s="245" t="str">
        <f>IF(B37&lt;&gt;"",AttendanceSheet!$AL37,"")</f>
        <v/>
      </c>
      <c r="E37" s="246" t="str">
        <f>IF(B37&lt;&gt;"",COUNTIFS('Mark Leave'!$D:$D,"&gt;="&amp;'Leave Credit Sheet'!$F$1,'Mark Leave'!$D:$D,"&lt;="&amp;'Leave Credit Sheet'!$I$1,'Mark Leave'!$B:$B,'Leave Credit Sheet'!$B37,'Mark Leave'!$E:$E,E$6),"")</f>
        <v/>
      </c>
      <c r="F37" s="246" t="str">
        <f>IF(B37&lt;&gt;"",COUNTIFS('Mark Leave'!$D:$D,"&gt;="&amp;'Leave Credit Sheet'!$F$1,'Mark Leave'!$D:$D,"&lt;="&amp;'Leave Credit Sheet'!$I$1,'Mark Leave'!$B:$B,'Leave Credit Sheet'!$B37,'Mark Leave'!$E:$E,F$6),"")</f>
        <v/>
      </c>
      <c r="G37" s="246" t="str">
        <f>IF(B37&lt;&gt;"",COUNTIFS('Mark Leave'!$D:$D,"&gt;="&amp;'Leave Credit Sheet'!$F$1,'Mark Leave'!$D:$D,"&lt;="&amp;'Leave Credit Sheet'!$I$1,'Mark Leave'!$B:$B,'Leave Credit Sheet'!$B37,'Mark Leave'!$E:$E,G$6),"")</f>
        <v/>
      </c>
      <c r="H37" s="246" t="str">
        <f t="shared" si="0"/>
        <v/>
      </c>
      <c r="I37" s="246" t="str">
        <f>IF(B37&lt;&gt;"",VLOOKUP(B37,Summary!C51:E71,3,0),"")</f>
        <v/>
      </c>
      <c r="J37" s="62" t="str">
        <f t="shared" si="1"/>
        <v/>
      </c>
      <c r="K37" s="63" t="str">
        <f t="shared" si="5"/>
        <v/>
      </c>
      <c r="L37" s="211" t="str">
        <f t="shared" si="6"/>
        <v/>
      </c>
    </row>
    <row r="38" spans="2:12" ht="16.5" thickTop="1" thickBot="1" x14ac:dyDescent="0.3">
      <c r="B38" s="61" t="str">
        <f>IF(C38&lt;&gt;"",INDEX('Employee Details'!$A$7:$A41,MATCH(AttendanceSheet!$C38,'Employee Details'!$B$7:$B47,0)),"")</f>
        <v/>
      </c>
      <c r="C3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'!$J$1:J32))),""))</f>
        <v/>
      </c>
      <c r="D38" s="245" t="str">
        <f>IF(B38&lt;&gt;"",AttendanceSheet!$AL38,"")</f>
        <v/>
      </c>
      <c r="E38" s="246" t="str">
        <f>IF(B38&lt;&gt;"",COUNTIFS('Mark Leave'!$D:$D,"&gt;="&amp;'Leave Credit Sheet'!$F$1,'Mark Leave'!$D:$D,"&lt;="&amp;'Leave Credit Sheet'!$I$1,'Mark Leave'!$B:$B,'Leave Credit Sheet'!$B38,'Mark Leave'!$E:$E,E$6),"")</f>
        <v/>
      </c>
      <c r="F38" s="246" t="str">
        <f>IF(B38&lt;&gt;"",COUNTIFS('Mark Leave'!$D:$D,"&gt;="&amp;'Leave Credit Sheet'!$F$1,'Mark Leave'!$D:$D,"&lt;="&amp;'Leave Credit Sheet'!$I$1,'Mark Leave'!$B:$B,'Leave Credit Sheet'!$B38,'Mark Leave'!$E:$E,F$6),"")</f>
        <v/>
      </c>
      <c r="G38" s="246" t="str">
        <f>IF(B38&lt;&gt;"",COUNTIFS('Mark Leave'!$D:$D,"&gt;="&amp;'Leave Credit Sheet'!$F$1,'Mark Leave'!$D:$D,"&lt;="&amp;'Leave Credit Sheet'!$I$1,'Mark Leave'!$B:$B,'Leave Credit Sheet'!$B38,'Mark Leave'!$E:$E,G$6),"")</f>
        <v/>
      </c>
      <c r="H38" s="246" t="str">
        <f t="shared" si="0"/>
        <v/>
      </c>
      <c r="I38" s="246" t="str">
        <f>IF(B38&lt;&gt;"",VLOOKUP(B38,Summary!C52:E72,3,0),"")</f>
        <v/>
      </c>
      <c r="J38" s="62" t="str">
        <f t="shared" si="1"/>
        <v/>
      </c>
      <c r="K38" s="63" t="str">
        <f t="shared" si="5"/>
        <v/>
      </c>
      <c r="L38" s="211" t="str">
        <f t="shared" si="6"/>
        <v/>
      </c>
    </row>
    <row r="39" spans="2:12" ht="16.5" thickTop="1" thickBot="1" x14ac:dyDescent="0.3">
      <c r="B39" s="61" t="str">
        <f>IF(C39&lt;&gt;"",INDEX('Employee Details'!$A$7:$A42,MATCH(AttendanceSheet!$C39,'Employee Details'!$B$7:$B48,0)),"")</f>
        <v/>
      </c>
      <c r="C3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'!$J$1:J33))),""))</f>
        <v/>
      </c>
      <c r="D39" s="245" t="str">
        <f>IF(B39&lt;&gt;"",AttendanceSheet!$AL39,"")</f>
        <v/>
      </c>
      <c r="E39" s="246" t="str">
        <f>IF(B39&lt;&gt;"",COUNTIFS('Mark Leave'!$D:$D,"&gt;="&amp;'Leave Credit Sheet'!$F$1,'Mark Leave'!$D:$D,"&lt;="&amp;'Leave Credit Sheet'!$I$1,'Mark Leave'!$B:$B,'Leave Credit Sheet'!$B39,'Mark Leave'!$E:$E,E$6),"")</f>
        <v/>
      </c>
      <c r="F39" s="246" t="str">
        <f>IF(B39&lt;&gt;"",COUNTIFS('Mark Leave'!$D:$D,"&gt;="&amp;'Leave Credit Sheet'!$F$1,'Mark Leave'!$D:$D,"&lt;="&amp;'Leave Credit Sheet'!$I$1,'Mark Leave'!$B:$B,'Leave Credit Sheet'!$B39,'Mark Leave'!$E:$E,F$6),"")</f>
        <v/>
      </c>
      <c r="G39" s="246" t="str">
        <f>IF(B39&lt;&gt;"",COUNTIFS('Mark Leave'!$D:$D,"&gt;="&amp;'Leave Credit Sheet'!$F$1,'Mark Leave'!$D:$D,"&lt;="&amp;'Leave Credit Sheet'!$I$1,'Mark Leave'!$B:$B,'Leave Credit Sheet'!$B39,'Mark Leave'!$E:$E,G$6),"")</f>
        <v/>
      </c>
      <c r="H39" s="246" t="str">
        <f t="shared" ref="H39:H70" si="7">IF(B39&lt;&gt;"",($E39+($F39/2)),"")</f>
        <v/>
      </c>
      <c r="I39" s="246" t="str">
        <f>IF(B39&lt;&gt;"",VLOOKUP(B39,Summary!C53:E73,3,0),"")</f>
        <v/>
      </c>
      <c r="J39" s="62" t="str">
        <f t="shared" ref="J39:J70" si="8">IF(B39&lt;&gt;"",$I$3+$G39+$I39,"")</f>
        <v/>
      </c>
      <c r="K39" s="63" t="str">
        <f t="shared" si="5"/>
        <v/>
      </c>
      <c r="L39" s="211" t="str">
        <f t="shared" si="6"/>
        <v/>
      </c>
    </row>
    <row r="40" spans="2:12" ht="16.5" thickTop="1" thickBot="1" x14ac:dyDescent="0.3">
      <c r="B40" s="61" t="str">
        <f>IF(C40&lt;&gt;"",INDEX('Employee Details'!$A$7:$A43,MATCH(AttendanceSheet!$C40,'Employee Details'!$B$7:$B49,0)),"")</f>
        <v/>
      </c>
      <c r="C4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'!$J$1:J34))),""))</f>
        <v/>
      </c>
      <c r="D40" s="245" t="str">
        <f>IF(B40&lt;&gt;"",AttendanceSheet!$AL40,"")</f>
        <v/>
      </c>
      <c r="E40" s="246" t="str">
        <f>IF(B40&lt;&gt;"",COUNTIFS('Mark Leave'!$D:$D,"&gt;="&amp;'Leave Credit Sheet'!$F$1,'Mark Leave'!$D:$D,"&lt;="&amp;'Leave Credit Sheet'!$I$1,'Mark Leave'!$B:$B,'Leave Credit Sheet'!$B40,'Mark Leave'!$E:$E,E$6),"")</f>
        <v/>
      </c>
      <c r="F40" s="246" t="str">
        <f>IF(B40&lt;&gt;"",COUNTIFS('Mark Leave'!$D:$D,"&gt;="&amp;'Leave Credit Sheet'!$F$1,'Mark Leave'!$D:$D,"&lt;="&amp;'Leave Credit Sheet'!$I$1,'Mark Leave'!$B:$B,'Leave Credit Sheet'!$B40,'Mark Leave'!$E:$E,F$6),"")</f>
        <v/>
      </c>
      <c r="G40" s="246" t="str">
        <f>IF(B40&lt;&gt;"",COUNTIFS('Mark Leave'!$D:$D,"&gt;="&amp;'Leave Credit Sheet'!$F$1,'Mark Leave'!$D:$D,"&lt;="&amp;'Leave Credit Sheet'!$I$1,'Mark Leave'!$B:$B,'Leave Credit Sheet'!$B40,'Mark Leave'!$E:$E,G$6),"")</f>
        <v/>
      </c>
      <c r="H40" s="246" t="str">
        <f t="shared" si="7"/>
        <v/>
      </c>
      <c r="I40" s="246" t="str">
        <f>IF(B40&lt;&gt;"",VLOOKUP(B40,Summary!C54:E74,3,0),"")</f>
        <v/>
      </c>
      <c r="J40" s="62" t="str">
        <f t="shared" si="8"/>
        <v/>
      </c>
      <c r="K40" s="63" t="str">
        <f t="shared" si="5"/>
        <v/>
      </c>
      <c r="L40" s="211" t="str">
        <f t="shared" si="6"/>
        <v/>
      </c>
    </row>
    <row r="41" spans="2:12" ht="16.5" thickTop="1" thickBot="1" x14ac:dyDescent="0.3">
      <c r="B41" s="61" t="str">
        <f>IF(C41&lt;&gt;"",INDEX('Employee Details'!$A$7:$A44,MATCH(AttendanceSheet!$C41,'Employee Details'!$B$7:$B50,0)),"")</f>
        <v/>
      </c>
      <c r="C41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'!$J$1:J35))),""))</f>
        <v/>
      </c>
      <c r="D41" s="245" t="str">
        <f>IF(B41&lt;&gt;"",AttendanceSheet!$AL41,"")</f>
        <v/>
      </c>
      <c r="E41" s="246" t="str">
        <f>IF(B41&lt;&gt;"",COUNTIFS('Mark Leave'!$D:$D,"&gt;="&amp;'Leave Credit Sheet'!$F$1,'Mark Leave'!$D:$D,"&lt;="&amp;'Leave Credit Sheet'!$I$1,'Mark Leave'!$B:$B,'Leave Credit Sheet'!$B41,'Mark Leave'!$E:$E,E$6),"")</f>
        <v/>
      </c>
      <c r="F41" s="246" t="str">
        <f>IF(B41&lt;&gt;"",COUNTIFS('Mark Leave'!$D:$D,"&gt;="&amp;'Leave Credit Sheet'!$F$1,'Mark Leave'!$D:$D,"&lt;="&amp;'Leave Credit Sheet'!$I$1,'Mark Leave'!$B:$B,'Leave Credit Sheet'!$B41,'Mark Leave'!$E:$E,F$6),"")</f>
        <v/>
      </c>
      <c r="G41" s="246" t="str">
        <f>IF(B41&lt;&gt;"",COUNTIFS('Mark Leave'!$D:$D,"&gt;="&amp;'Leave Credit Sheet'!$F$1,'Mark Leave'!$D:$D,"&lt;="&amp;'Leave Credit Sheet'!$I$1,'Mark Leave'!$B:$B,'Leave Credit Sheet'!$B41,'Mark Leave'!$E:$E,G$6),"")</f>
        <v/>
      </c>
      <c r="H41" s="246" t="str">
        <f t="shared" si="7"/>
        <v/>
      </c>
      <c r="I41" s="246" t="str">
        <f>IF(B41&lt;&gt;"",VLOOKUP(B41,Summary!C55:E75,3,0),"")</f>
        <v/>
      </c>
      <c r="J41" s="62" t="str">
        <f t="shared" si="8"/>
        <v/>
      </c>
      <c r="K41" s="63" t="str">
        <f t="shared" si="5"/>
        <v/>
      </c>
      <c r="L41" s="211" t="str">
        <f t="shared" si="6"/>
        <v/>
      </c>
    </row>
    <row r="42" spans="2:12" ht="16.5" thickTop="1" thickBot="1" x14ac:dyDescent="0.3">
      <c r="B42" s="61" t="str">
        <f>IF(C42&lt;&gt;"",INDEX('Employee Details'!$A$7:$A45,MATCH(AttendanceSheet!$C42,'Employee Details'!$B$7:$B51,0)),"")</f>
        <v/>
      </c>
      <c r="C42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'!$J$1:J36))),""))</f>
        <v/>
      </c>
      <c r="D42" s="245" t="str">
        <f>IF(B42&lt;&gt;"",AttendanceSheet!$AL42,"")</f>
        <v/>
      </c>
      <c r="E42" s="246" t="str">
        <f>IF(B42&lt;&gt;"",COUNTIFS('Mark Leave'!$D:$D,"&gt;="&amp;'Leave Credit Sheet'!$F$1,'Mark Leave'!$D:$D,"&lt;="&amp;'Leave Credit Sheet'!$I$1,'Mark Leave'!$B:$B,'Leave Credit Sheet'!$B42,'Mark Leave'!$E:$E,E$6),"")</f>
        <v/>
      </c>
      <c r="F42" s="246" t="str">
        <f>IF(B42&lt;&gt;"",COUNTIFS('Mark Leave'!$D:$D,"&gt;="&amp;'Leave Credit Sheet'!$F$1,'Mark Leave'!$D:$D,"&lt;="&amp;'Leave Credit Sheet'!$I$1,'Mark Leave'!$B:$B,'Leave Credit Sheet'!$B42,'Mark Leave'!$E:$E,F$6),"")</f>
        <v/>
      </c>
      <c r="G42" s="246" t="str">
        <f>IF(B42&lt;&gt;"",COUNTIFS('Mark Leave'!$D:$D,"&gt;="&amp;'Leave Credit Sheet'!$F$1,'Mark Leave'!$D:$D,"&lt;="&amp;'Leave Credit Sheet'!$I$1,'Mark Leave'!$B:$B,'Leave Credit Sheet'!$B42,'Mark Leave'!$E:$E,G$6),"")</f>
        <v/>
      </c>
      <c r="H42" s="246" t="str">
        <f t="shared" si="7"/>
        <v/>
      </c>
      <c r="I42" s="246" t="str">
        <f>IF(B42&lt;&gt;"",VLOOKUP(B42,Summary!C56:E76,3,0),"")</f>
        <v/>
      </c>
      <c r="J42" s="62" t="str">
        <f t="shared" si="8"/>
        <v/>
      </c>
      <c r="K42" s="63" t="str">
        <f t="shared" si="5"/>
        <v/>
      </c>
      <c r="L42" s="211" t="str">
        <f t="shared" si="6"/>
        <v/>
      </c>
    </row>
    <row r="43" spans="2:12" ht="16.5" thickTop="1" thickBot="1" x14ac:dyDescent="0.3">
      <c r="B43" s="61" t="str">
        <f>IF(C43&lt;&gt;"",INDEX('Employee Details'!$A$7:$A46,MATCH(AttendanceSheet!$C43,'Employee Details'!$B$7:$B52,0)),"")</f>
        <v/>
      </c>
      <c r="C43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'!$J$1:J37))),""))</f>
        <v/>
      </c>
      <c r="D43" s="245" t="str">
        <f>IF(B43&lt;&gt;"",AttendanceSheet!$AL43,"")</f>
        <v/>
      </c>
      <c r="E43" s="246" t="str">
        <f>IF(B43&lt;&gt;"",COUNTIFS('Mark Leave'!$D:$D,"&gt;="&amp;'Leave Credit Sheet'!$F$1,'Mark Leave'!$D:$D,"&lt;="&amp;'Leave Credit Sheet'!$I$1,'Mark Leave'!$B:$B,'Leave Credit Sheet'!$B43,'Mark Leave'!$E:$E,E$6),"")</f>
        <v/>
      </c>
      <c r="F43" s="246" t="str">
        <f>IF(B43&lt;&gt;"",COUNTIFS('Mark Leave'!$D:$D,"&gt;="&amp;'Leave Credit Sheet'!$F$1,'Mark Leave'!$D:$D,"&lt;="&amp;'Leave Credit Sheet'!$I$1,'Mark Leave'!$B:$B,'Leave Credit Sheet'!$B43,'Mark Leave'!$E:$E,F$6),"")</f>
        <v/>
      </c>
      <c r="G43" s="246" t="str">
        <f>IF(B43&lt;&gt;"",COUNTIFS('Mark Leave'!$D:$D,"&gt;="&amp;'Leave Credit Sheet'!$F$1,'Mark Leave'!$D:$D,"&lt;="&amp;'Leave Credit Sheet'!$I$1,'Mark Leave'!$B:$B,'Leave Credit Sheet'!$B43,'Mark Leave'!$E:$E,G$6),"")</f>
        <v/>
      </c>
      <c r="H43" s="246" t="str">
        <f t="shared" si="7"/>
        <v/>
      </c>
      <c r="I43" s="246" t="str">
        <f>IF(B43&lt;&gt;"",VLOOKUP(B43,Summary!C57:E77,3,0),"")</f>
        <v/>
      </c>
      <c r="J43" s="62" t="str">
        <f t="shared" si="8"/>
        <v/>
      </c>
      <c r="K43" s="63" t="str">
        <f t="shared" si="5"/>
        <v/>
      </c>
      <c r="L43" s="211" t="str">
        <f t="shared" si="6"/>
        <v/>
      </c>
    </row>
    <row r="44" spans="2:12" ht="16.5" thickTop="1" thickBot="1" x14ac:dyDescent="0.3">
      <c r="B44" s="61" t="str">
        <f>IF(C44&lt;&gt;"",INDEX('Employee Details'!$A$7:$A47,MATCH(AttendanceSheet!$C44,'Employee Details'!$B$7:$B53,0)),"")</f>
        <v/>
      </c>
      <c r="C44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'!$J$1:J38))),""))</f>
        <v/>
      </c>
      <c r="D44" s="245" t="str">
        <f>IF(B44&lt;&gt;"",AttendanceSheet!$AL44,"")</f>
        <v/>
      </c>
      <c r="E44" s="246" t="str">
        <f>IF(B44&lt;&gt;"",COUNTIFS('Mark Leave'!$D:$D,"&gt;="&amp;'Leave Credit Sheet'!$F$1,'Mark Leave'!$D:$D,"&lt;="&amp;'Leave Credit Sheet'!$I$1,'Mark Leave'!$B:$B,'Leave Credit Sheet'!$B44,'Mark Leave'!$E:$E,E$6),"")</f>
        <v/>
      </c>
      <c r="F44" s="246" t="str">
        <f>IF(B44&lt;&gt;"",COUNTIFS('Mark Leave'!$D:$D,"&gt;="&amp;'Leave Credit Sheet'!$F$1,'Mark Leave'!$D:$D,"&lt;="&amp;'Leave Credit Sheet'!$I$1,'Mark Leave'!$B:$B,'Leave Credit Sheet'!$B44,'Mark Leave'!$E:$E,F$6),"")</f>
        <v/>
      </c>
      <c r="G44" s="246" t="str">
        <f>IF(B44&lt;&gt;"",COUNTIFS('Mark Leave'!$D:$D,"&gt;="&amp;'Leave Credit Sheet'!$F$1,'Mark Leave'!$D:$D,"&lt;="&amp;'Leave Credit Sheet'!$I$1,'Mark Leave'!$B:$B,'Leave Credit Sheet'!$B44,'Mark Leave'!$E:$E,G$6),"")</f>
        <v/>
      </c>
      <c r="H44" s="246" t="str">
        <f t="shared" si="7"/>
        <v/>
      </c>
      <c r="I44" s="246" t="str">
        <f>IF(B44&lt;&gt;"",VLOOKUP(B44,Summary!C58:E78,3,0),"")</f>
        <v/>
      </c>
      <c r="J44" s="62" t="str">
        <f t="shared" si="8"/>
        <v/>
      </c>
      <c r="K44" s="63" t="str">
        <f t="shared" si="5"/>
        <v/>
      </c>
      <c r="L44" s="211" t="str">
        <f t="shared" si="6"/>
        <v/>
      </c>
    </row>
    <row r="45" spans="2:12" ht="16.5" thickTop="1" thickBot="1" x14ac:dyDescent="0.3">
      <c r="B45" s="61" t="str">
        <f>IF(C45&lt;&gt;"",INDEX('Employee Details'!$A$7:$A48,MATCH(AttendanceSheet!$C45,'Employee Details'!$B$7:$B54,0)),"")</f>
        <v/>
      </c>
      <c r="C45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'!$J$1:J39))),""))</f>
        <v/>
      </c>
      <c r="D45" s="245" t="str">
        <f>IF(B45&lt;&gt;"",AttendanceSheet!$AL45,"")</f>
        <v/>
      </c>
      <c r="E45" s="246" t="str">
        <f>IF(B45&lt;&gt;"",COUNTIFS('Mark Leave'!$D:$D,"&gt;="&amp;'Leave Credit Sheet'!$F$1,'Mark Leave'!$D:$D,"&lt;="&amp;'Leave Credit Sheet'!$I$1,'Mark Leave'!$B:$B,'Leave Credit Sheet'!$B45,'Mark Leave'!$E:$E,E$6),"")</f>
        <v/>
      </c>
      <c r="F45" s="246" t="str">
        <f>IF(B45&lt;&gt;"",COUNTIFS('Mark Leave'!$D:$D,"&gt;="&amp;'Leave Credit Sheet'!$F$1,'Mark Leave'!$D:$D,"&lt;="&amp;'Leave Credit Sheet'!$I$1,'Mark Leave'!$B:$B,'Leave Credit Sheet'!$B45,'Mark Leave'!$E:$E,F$6),"")</f>
        <v/>
      </c>
      <c r="G45" s="246" t="str">
        <f>IF(B45&lt;&gt;"",COUNTIFS('Mark Leave'!$D:$D,"&gt;="&amp;'Leave Credit Sheet'!$F$1,'Mark Leave'!$D:$D,"&lt;="&amp;'Leave Credit Sheet'!$I$1,'Mark Leave'!$B:$B,'Leave Credit Sheet'!$B45,'Mark Leave'!$E:$E,G$6),"")</f>
        <v/>
      </c>
      <c r="H45" s="246" t="str">
        <f t="shared" si="7"/>
        <v/>
      </c>
      <c r="I45" s="246" t="str">
        <f>IF(B45&lt;&gt;"",VLOOKUP(B45,Summary!C59:E79,3,0),"")</f>
        <v/>
      </c>
      <c r="J45" s="62" t="str">
        <f t="shared" si="8"/>
        <v/>
      </c>
      <c r="K45" s="63" t="str">
        <f t="shared" si="5"/>
        <v/>
      </c>
      <c r="L45" s="211" t="str">
        <f t="shared" si="6"/>
        <v/>
      </c>
    </row>
    <row r="46" spans="2:12" ht="16.5" thickTop="1" thickBot="1" x14ac:dyDescent="0.3">
      <c r="B46" s="61" t="str">
        <f>IF(C46&lt;&gt;"",INDEX('Employee Details'!$A$7:$A49,MATCH(AttendanceSheet!$C46,'Employee Details'!$B$7:$B55,0)),"")</f>
        <v/>
      </c>
      <c r="C46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'!$J$1:J40))),""))</f>
        <v/>
      </c>
      <c r="D46" s="245" t="str">
        <f>IF(B46&lt;&gt;"",AttendanceSheet!$AL46,"")</f>
        <v/>
      </c>
      <c r="E46" s="246" t="str">
        <f>IF(B46&lt;&gt;"",COUNTIFS('Mark Leave'!$D:$D,"&gt;="&amp;'Leave Credit Sheet'!$F$1,'Mark Leave'!$D:$D,"&lt;="&amp;'Leave Credit Sheet'!$I$1,'Mark Leave'!$B:$B,'Leave Credit Sheet'!$B46,'Mark Leave'!$E:$E,E$6),"")</f>
        <v/>
      </c>
      <c r="F46" s="246" t="str">
        <f>IF(B46&lt;&gt;"",COUNTIFS('Mark Leave'!$D:$D,"&gt;="&amp;'Leave Credit Sheet'!$F$1,'Mark Leave'!$D:$D,"&lt;="&amp;'Leave Credit Sheet'!$I$1,'Mark Leave'!$B:$B,'Leave Credit Sheet'!$B46,'Mark Leave'!$E:$E,F$6),"")</f>
        <v/>
      </c>
      <c r="G46" s="246" t="str">
        <f>IF(B46&lt;&gt;"",COUNTIFS('Mark Leave'!$D:$D,"&gt;="&amp;'Leave Credit Sheet'!$F$1,'Mark Leave'!$D:$D,"&lt;="&amp;'Leave Credit Sheet'!$I$1,'Mark Leave'!$B:$B,'Leave Credit Sheet'!$B46,'Mark Leave'!$E:$E,G$6),"")</f>
        <v/>
      </c>
      <c r="H46" s="246" t="str">
        <f t="shared" si="7"/>
        <v/>
      </c>
      <c r="I46" s="246" t="str">
        <f>IF(B46&lt;&gt;"",VLOOKUP(B46,Summary!C60:E80,3,0),"")</f>
        <v/>
      </c>
      <c r="J46" s="62" t="str">
        <f t="shared" si="8"/>
        <v/>
      </c>
      <c r="K46" s="63" t="str">
        <f t="shared" si="5"/>
        <v/>
      </c>
      <c r="L46" s="211" t="str">
        <f t="shared" ref="L46:L77" si="9">IF(B46&lt;&gt;"",IF(K46="",J46-H46,""),"")</f>
        <v/>
      </c>
    </row>
    <row r="47" spans="2:12" ht="16.5" thickTop="1" thickBot="1" x14ac:dyDescent="0.3">
      <c r="B47" s="61" t="str">
        <f>IF(C47&lt;&gt;"",INDEX('Employee Details'!$A$7:$A50,MATCH(AttendanceSheet!$C47,'Employee Details'!$B$7:$B56,0)),"")</f>
        <v/>
      </c>
      <c r="C4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'!$J$1:J41))),""))</f>
        <v/>
      </c>
      <c r="D47" s="245" t="str">
        <f>IF(B47&lt;&gt;"",AttendanceSheet!$AL47,"")</f>
        <v/>
      </c>
      <c r="E47" s="246" t="str">
        <f>IF(B47&lt;&gt;"",COUNTIFS('Mark Leave'!$D:$D,"&gt;="&amp;'Leave Credit Sheet'!$F$1,'Mark Leave'!$D:$D,"&lt;="&amp;'Leave Credit Sheet'!$I$1,'Mark Leave'!$B:$B,'Leave Credit Sheet'!$B47,'Mark Leave'!$E:$E,E$6),"")</f>
        <v/>
      </c>
      <c r="F47" s="246" t="str">
        <f>IF(B47&lt;&gt;"",COUNTIFS('Mark Leave'!$D:$D,"&gt;="&amp;'Leave Credit Sheet'!$F$1,'Mark Leave'!$D:$D,"&lt;="&amp;'Leave Credit Sheet'!$I$1,'Mark Leave'!$B:$B,'Leave Credit Sheet'!$B47,'Mark Leave'!$E:$E,F$6),"")</f>
        <v/>
      </c>
      <c r="G47" s="246" t="str">
        <f>IF(B47&lt;&gt;"",COUNTIFS('Mark Leave'!$D:$D,"&gt;="&amp;'Leave Credit Sheet'!$F$1,'Mark Leave'!$D:$D,"&lt;="&amp;'Leave Credit Sheet'!$I$1,'Mark Leave'!$B:$B,'Leave Credit Sheet'!$B47,'Mark Leave'!$E:$E,G$6),"")</f>
        <v/>
      </c>
      <c r="H47" s="246" t="str">
        <f t="shared" si="7"/>
        <v/>
      </c>
      <c r="I47" s="246" t="str">
        <f>IF(B47&lt;&gt;"",VLOOKUP(B47,Summary!C61:E81,3,0),"")</f>
        <v/>
      </c>
      <c r="J47" s="62" t="str">
        <f t="shared" si="8"/>
        <v/>
      </c>
      <c r="K47" s="63" t="str">
        <f t="shared" si="5"/>
        <v/>
      </c>
      <c r="L47" s="211" t="str">
        <f t="shared" si="9"/>
        <v/>
      </c>
    </row>
    <row r="48" spans="2:12" ht="16.5" thickTop="1" thickBot="1" x14ac:dyDescent="0.3">
      <c r="B48" s="61" t="str">
        <f>IF(C48&lt;&gt;"",INDEX('Employee Details'!$A$7:$A51,MATCH(AttendanceSheet!$C48,'Employee Details'!$B$7:$B57,0)),"")</f>
        <v/>
      </c>
      <c r="C4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'!$J$1:J42))),""))</f>
        <v/>
      </c>
      <c r="D48" s="245" t="str">
        <f>IF(B48&lt;&gt;"",AttendanceSheet!$AL48,"")</f>
        <v/>
      </c>
      <c r="E48" s="246" t="str">
        <f>IF(B48&lt;&gt;"",COUNTIFS('Mark Leave'!$D:$D,"&gt;="&amp;'Leave Credit Sheet'!$F$1,'Mark Leave'!$D:$D,"&lt;="&amp;'Leave Credit Sheet'!$I$1,'Mark Leave'!$B:$B,'Leave Credit Sheet'!$B48,'Mark Leave'!$E:$E,E$6),"")</f>
        <v/>
      </c>
      <c r="F48" s="246" t="str">
        <f>IF(B48&lt;&gt;"",COUNTIFS('Mark Leave'!$D:$D,"&gt;="&amp;'Leave Credit Sheet'!$F$1,'Mark Leave'!$D:$D,"&lt;="&amp;'Leave Credit Sheet'!$I$1,'Mark Leave'!$B:$B,'Leave Credit Sheet'!$B48,'Mark Leave'!$E:$E,F$6),"")</f>
        <v/>
      </c>
      <c r="G48" s="246" t="str">
        <f>IF(B48&lt;&gt;"",COUNTIFS('Mark Leave'!$D:$D,"&gt;="&amp;'Leave Credit Sheet'!$F$1,'Mark Leave'!$D:$D,"&lt;="&amp;'Leave Credit Sheet'!$I$1,'Mark Leave'!$B:$B,'Leave Credit Sheet'!$B48,'Mark Leave'!$E:$E,G$6),"")</f>
        <v/>
      </c>
      <c r="H48" s="246" t="str">
        <f t="shared" si="7"/>
        <v/>
      </c>
      <c r="I48" s="246" t="str">
        <f>IF(B48&lt;&gt;"",VLOOKUP(B48,Summary!C62:E82,3,0),"")</f>
        <v/>
      </c>
      <c r="J48" s="62" t="str">
        <f t="shared" si="8"/>
        <v/>
      </c>
      <c r="K48" s="63" t="str">
        <f t="shared" si="5"/>
        <v/>
      </c>
      <c r="L48" s="211" t="str">
        <f t="shared" si="9"/>
        <v/>
      </c>
    </row>
    <row r="49" spans="2:12" ht="16.5" thickTop="1" thickBot="1" x14ac:dyDescent="0.3">
      <c r="B49" s="61" t="str">
        <f>IF(C49&lt;&gt;"",INDEX('Employee Details'!$A$7:$A52,MATCH(AttendanceSheet!$C49,'Employee Details'!$B$7:$B58,0)),"")</f>
        <v/>
      </c>
      <c r="C4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'!$J$1:J43))),""))</f>
        <v/>
      </c>
      <c r="D49" s="245" t="str">
        <f>IF(B49&lt;&gt;"",AttendanceSheet!$AL49,"")</f>
        <v/>
      </c>
      <c r="E49" s="246" t="str">
        <f>IF(B49&lt;&gt;"",COUNTIFS('Mark Leave'!$D:$D,"&gt;="&amp;'Leave Credit Sheet'!$F$1,'Mark Leave'!$D:$D,"&lt;="&amp;'Leave Credit Sheet'!$I$1,'Mark Leave'!$B:$B,'Leave Credit Sheet'!$B49,'Mark Leave'!$E:$E,E$6),"")</f>
        <v/>
      </c>
      <c r="F49" s="246" t="str">
        <f>IF(B49&lt;&gt;"",COUNTIFS('Mark Leave'!$D:$D,"&gt;="&amp;'Leave Credit Sheet'!$F$1,'Mark Leave'!$D:$D,"&lt;="&amp;'Leave Credit Sheet'!$I$1,'Mark Leave'!$B:$B,'Leave Credit Sheet'!$B49,'Mark Leave'!$E:$E,F$6),"")</f>
        <v/>
      </c>
      <c r="G49" s="246" t="str">
        <f>IF(B49&lt;&gt;"",COUNTIFS('Mark Leave'!$D:$D,"&gt;="&amp;'Leave Credit Sheet'!$F$1,'Mark Leave'!$D:$D,"&lt;="&amp;'Leave Credit Sheet'!$I$1,'Mark Leave'!$B:$B,'Leave Credit Sheet'!$B49,'Mark Leave'!$E:$E,G$6),"")</f>
        <v/>
      </c>
      <c r="H49" s="246" t="str">
        <f t="shared" si="7"/>
        <v/>
      </c>
      <c r="I49" s="246" t="str">
        <f>IF(B49&lt;&gt;"",VLOOKUP(B49,Summary!C63:E83,3,0),"")</f>
        <v/>
      </c>
      <c r="J49" s="62" t="str">
        <f t="shared" si="8"/>
        <v/>
      </c>
      <c r="K49" s="63" t="str">
        <f t="shared" si="5"/>
        <v/>
      </c>
      <c r="L49" s="211" t="str">
        <f t="shared" si="9"/>
        <v/>
      </c>
    </row>
    <row r="50" spans="2:12" ht="16.5" thickTop="1" thickBot="1" x14ac:dyDescent="0.3">
      <c r="B50" s="61" t="str">
        <f>IF(C50&lt;&gt;"",INDEX('Employee Details'!$A$7:$A53,MATCH(AttendanceSheet!$C50,'Employee Details'!$B$7:$B59,0)),"")</f>
        <v/>
      </c>
      <c r="C5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'!$J$1:J44))),""))</f>
        <v/>
      </c>
      <c r="D50" s="245" t="str">
        <f>IF(B50&lt;&gt;"",AttendanceSheet!$AL50,"")</f>
        <v/>
      </c>
      <c r="E50" s="246" t="str">
        <f>IF(B50&lt;&gt;"",COUNTIFS('Mark Leave'!$D:$D,"&gt;="&amp;'Leave Credit Sheet'!$F$1,'Mark Leave'!$D:$D,"&lt;="&amp;'Leave Credit Sheet'!$I$1,'Mark Leave'!$B:$B,'Leave Credit Sheet'!$B50,'Mark Leave'!$E:$E,E$6),"")</f>
        <v/>
      </c>
      <c r="F50" s="246" t="str">
        <f>IF(B50&lt;&gt;"",COUNTIFS('Mark Leave'!$D:$D,"&gt;="&amp;'Leave Credit Sheet'!$F$1,'Mark Leave'!$D:$D,"&lt;="&amp;'Leave Credit Sheet'!$I$1,'Mark Leave'!$B:$B,'Leave Credit Sheet'!$B50,'Mark Leave'!$E:$E,F$6),"")</f>
        <v/>
      </c>
      <c r="G50" s="246" t="str">
        <f>IF(B50&lt;&gt;"",COUNTIFS('Mark Leave'!$D:$D,"&gt;="&amp;'Leave Credit Sheet'!$F$1,'Mark Leave'!$D:$D,"&lt;="&amp;'Leave Credit Sheet'!$I$1,'Mark Leave'!$B:$B,'Leave Credit Sheet'!$B50,'Mark Leave'!$E:$E,G$6),"")</f>
        <v/>
      </c>
      <c r="H50" s="246" t="str">
        <f t="shared" si="7"/>
        <v/>
      </c>
      <c r="I50" s="246" t="str">
        <f>IF(B50&lt;&gt;"",VLOOKUP(B50,Summary!C64:E84,3,0),"")</f>
        <v/>
      </c>
      <c r="J50" s="62" t="str">
        <f t="shared" si="8"/>
        <v/>
      </c>
      <c r="K50" s="63" t="str">
        <f t="shared" si="5"/>
        <v/>
      </c>
      <c r="L50" s="211" t="str">
        <f t="shared" si="9"/>
        <v/>
      </c>
    </row>
    <row r="51" spans="2:12" ht="16.5" thickTop="1" thickBot="1" x14ac:dyDescent="0.3">
      <c r="B51" s="61" t="str">
        <f>IF(C51&lt;&gt;"",INDEX('Employee Details'!$A$7:$A54,MATCH(AttendanceSheet!$C51,'Employee Details'!$B$7:$B60,0)),"")</f>
        <v/>
      </c>
      <c r="C51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'!$J$1:J45))),""))</f>
        <v/>
      </c>
      <c r="D51" s="245" t="str">
        <f>IF(B51&lt;&gt;"",AttendanceSheet!$AL51,"")</f>
        <v/>
      </c>
      <c r="E51" s="246" t="str">
        <f>IF(B51&lt;&gt;"",COUNTIFS('Mark Leave'!$D:$D,"&gt;="&amp;'Leave Credit Sheet'!$F$1,'Mark Leave'!$D:$D,"&lt;="&amp;'Leave Credit Sheet'!$I$1,'Mark Leave'!$B:$B,'Leave Credit Sheet'!$B51,'Mark Leave'!$E:$E,E$6),"")</f>
        <v/>
      </c>
      <c r="F51" s="246" t="str">
        <f>IF(B51&lt;&gt;"",COUNTIFS('Mark Leave'!$D:$D,"&gt;="&amp;'Leave Credit Sheet'!$F$1,'Mark Leave'!$D:$D,"&lt;="&amp;'Leave Credit Sheet'!$I$1,'Mark Leave'!$B:$B,'Leave Credit Sheet'!$B51,'Mark Leave'!$E:$E,F$6),"")</f>
        <v/>
      </c>
      <c r="G51" s="246" t="str">
        <f>IF(B51&lt;&gt;"",COUNTIFS('Mark Leave'!$D:$D,"&gt;="&amp;'Leave Credit Sheet'!$F$1,'Mark Leave'!$D:$D,"&lt;="&amp;'Leave Credit Sheet'!$I$1,'Mark Leave'!$B:$B,'Leave Credit Sheet'!$B51,'Mark Leave'!$E:$E,G$6),"")</f>
        <v/>
      </c>
      <c r="H51" s="246" t="str">
        <f t="shared" si="7"/>
        <v/>
      </c>
      <c r="I51" s="246" t="str">
        <f>IF(B51&lt;&gt;"",VLOOKUP(B51,Summary!C65:E85,3,0),"")</f>
        <v/>
      </c>
      <c r="J51" s="62" t="str">
        <f t="shared" si="8"/>
        <v/>
      </c>
      <c r="K51" s="63" t="str">
        <f t="shared" si="5"/>
        <v/>
      </c>
      <c r="L51" s="211" t="str">
        <f t="shared" si="9"/>
        <v/>
      </c>
    </row>
    <row r="52" spans="2:12" ht="16.5" thickTop="1" thickBot="1" x14ac:dyDescent="0.3">
      <c r="B52" s="61" t="str">
        <f>IF(C52&lt;&gt;"",INDEX('Employee Details'!$A$7:$A55,MATCH(AttendanceSheet!$C52,'Employee Details'!$B$7:$B61,0)),"")</f>
        <v/>
      </c>
      <c r="C52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'!$J$1:J46))),""))</f>
        <v/>
      </c>
      <c r="D52" s="245" t="str">
        <f>IF(B52&lt;&gt;"",AttendanceSheet!$AL52,"")</f>
        <v/>
      </c>
      <c r="E52" s="246" t="str">
        <f>IF(B52&lt;&gt;"",COUNTIFS('Mark Leave'!$D:$D,"&gt;="&amp;'Leave Credit Sheet'!$F$1,'Mark Leave'!$D:$D,"&lt;="&amp;'Leave Credit Sheet'!$I$1,'Mark Leave'!$B:$B,'Leave Credit Sheet'!$B52,'Mark Leave'!$E:$E,E$6),"")</f>
        <v/>
      </c>
      <c r="F52" s="246" t="str">
        <f>IF(B52&lt;&gt;"",COUNTIFS('Mark Leave'!$D:$D,"&gt;="&amp;'Leave Credit Sheet'!$F$1,'Mark Leave'!$D:$D,"&lt;="&amp;'Leave Credit Sheet'!$I$1,'Mark Leave'!$B:$B,'Leave Credit Sheet'!$B52,'Mark Leave'!$E:$E,F$6),"")</f>
        <v/>
      </c>
      <c r="G52" s="246" t="str">
        <f>IF(B52&lt;&gt;"",COUNTIFS('Mark Leave'!$D:$D,"&gt;="&amp;'Leave Credit Sheet'!$F$1,'Mark Leave'!$D:$D,"&lt;="&amp;'Leave Credit Sheet'!$I$1,'Mark Leave'!$B:$B,'Leave Credit Sheet'!$B52,'Mark Leave'!$E:$E,G$6),"")</f>
        <v/>
      </c>
      <c r="H52" s="246" t="str">
        <f t="shared" si="7"/>
        <v/>
      </c>
      <c r="I52" s="246" t="str">
        <f>IF(B52&lt;&gt;"",VLOOKUP(B52,Summary!C66:E86,3,0),"")</f>
        <v/>
      </c>
      <c r="J52" s="62" t="str">
        <f t="shared" si="8"/>
        <v/>
      </c>
      <c r="K52" s="63" t="str">
        <f t="shared" si="5"/>
        <v/>
      </c>
      <c r="L52" s="211" t="str">
        <f t="shared" si="9"/>
        <v/>
      </c>
    </row>
    <row r="53" spans="2:12" ht="16.5" thickTop="1" thickBot="1" x14ac:dyDescent="0.3">
      <c r="B53" s="61" t="str">
        <f>IF(C53&lt;&gt;"",INDEX('Employee Details'!$A$7:$A56,MATCH(AttendanceSheet!$C53,'Employee Details'!$B$7:$B62,0)),"")</f>
        <v/>
      </c>
      <c r="C53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'!$J$1:J47))),""))</f>
        <v/>
      </c>
      <c r="D53" s="245" t="str">
        <f>IF(B53&lt;&gt;"",AttendanceSheet!$AL53,"")</f>
        <v/>
      </c>
      <c r="E53" s="246" t="str">
        <f>IF(B53&lt;&gt;"",COUNTIFS('Mark Leave'!$D:$D,"&gt;="&amp;'Leave Credit Sheet'!$F$1,'Mark Leave'!$D:$D,"&lt;="&amp;'Leave Credit Sheet'!$I$1,'Mark Leave'!$B:$B,'Leave Credit Sheet'!$B53,'Mark Leave'!$E:$E,E$6),"")</f>
        <v/>
      </c>
      <c r="F53" s="246" t="str">
        <f>IF(B53&lt;&gt;"",COUNTIFS('Mark Leave'!$D:$D,"&gt;="&amp;'Leave Credit Sheet'!$F$1,'Mark Leave'!$D:$D,"&lt;="&amp;'Leave Credit Sheet'!$I$1,'Mark Leave'!$B:$B,'Leave Credit Sheet'!$B53,'Mark Leave'!$E:$E,F$6),"")</f>
        <v/>
      </c>
      <c r="G53" s="246" t="str">
        <f>IF(B53&lt;&gt;"",COUNTIFS('Mark Leave'!$D:$D,"&gt;="&amp;'Leave Credit Sheet'!$F$1,'Mark Leave'!$D:$D,"&lt;="&amp;'Leave Credit Sheet'!$I$1,'Mark Leave'!$B:$B,'Leave Credit Sheet'!$B53,'Mark Leave'!$E:$E,G$6),"")</f>
        <v/>
      </c>
      <c r="H53" s="246" t="str">
        <f t="shared" si="7"/>
        <v/>
      </c>
      <c r="I53" s="246" t="str">
        <f>IF(B53&lt;&gt;"",VLOOKUP(B53,Summary!C67:E87,3,0),"")</f>
        <v/>
      </c>
      <c r="J53" s="62" t="str">
        <f t="shared" si="8"/>
        <v/>
      </c>
      <c r="K53" s="63" t="str">
        <f t="shared" si="5"/>
        <v/>
      </c>
      <c r="L53" s="211" t="str">
        <f t="shared" si="9"/>
        <v/>
      </c>
    </row>
    <row r="54" spans="2:12" ht="16.5" thickTop="1" thickBot="1" x14ac:dyDescent="0.3">
      <c r="B54" s="61" t="str">
        <f>IF(C54&lt;&gt;"",INDEX('Employee Details'!$A$7:$A57,MATCH(AttendanceSheet!$C54,'Employee Details'!$B$7:$B63,0)),"")</f>
        <v/>
      </c>
      <c r="C54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'!$J$1:J48))),""))</f>
        <v/>
      </c>
      <c r="D54" s="245" t="str">
        <f>IF(B54&lt;&gt;"",AttendanceSheet!$AL54,"")</f>
        <v/>
      </c>
      <c r="E54" s="246" t="str">
        <f>IF(B54&lt;&gt;"",COUNTIFS('Mark Leave'!$D:$D,"&gt;="&amp;'Leave Credit Sheet'!$F$1,'Mark Leave'!$D:$D,"&lt;="&amp;'Leave Credit Sheet'!$I$1,'Mark Leave'!$B:$B,'Leave Credit Sheet'!$B54,'Mark Leave'!$E:$E,E$6),"")</f>
        <v/>
      </c>
      <c r="F54" s="246" t="str">
        <f>IF(B54&lt;&gt;"",COUNTIFS('Mark Leave'!$D:$D,"&gt;="&amp;'Leave Credit Sheet'!$F$1,'Mark Leave'!$D:$D,"&lt;="&amp;'Leave Credit Sheet'!$I$1,'Mark Leave'!$B:$B,'Leave Credit Sheet'!$B54,'Mark Leave'!$E:$E,F$6),"")</f>
        <v/>
      </c>
      <c r="G54" s="246" t="str">
        <f>IF(B54&lt;&gt;"",COUNTIFS('Mark Leave'!$D:$D,"&gt;="&amp;'Leave Credit Sheet'!$F$1,'Mark Leave'!$D:$D,"&lt;="&amp;'Leave Credit Sheet'!$I$1,'Mark Leave'!$B:$B,'Leave Credit Sheet'!$B54,'Mark Leave'!$E:$E,G$6),"")</f>
        <v/>
      </c>
      <c r="H54" s="246" t="str">
        <f t="shared" si="7"/>
        <v/>
      </c>
      <c r="I54" s="246" t="str">
        <f>IF(B54&lt;&gt;"",VLOOKUP(B54,Summary!C68:E88,3,0),"")</f>
        <v/>
      </c>
      <c r="J54" s="62" t="str">
        <f t="shared" si="8"/>
        <v/>
      </c>
      <c r="K54" s="63" t="str">
        <f t="shared" si="5"/>
        <v/>
      </c>
      <c r="L54" s="211" t="str">
        <f t="shared" si="9"/>
        <v/>
      </c>
    </row>
    <row r="55" spans="2:12" ht="16.5" thickTop="1" thickBot="1" x14ac:dyDescent="0.3">
      <c r="B55" s="61" t="str">
        <f>IF(C55&lt;&gt;"",INDEX('Employee Details'!$A$7:$A58,MATCH(AttendanceSheet!$C55,'Employee Details'!$B$7:$B64,0)),"")</f>
        <v/>
      </c>
      <c r="C55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'!$J$1:J49))),""))</f>
        <v/>
      </c>
      <c r="D55" s="245" t="str">
        <f>IF(B55&lt;&gt;"",AttendanceSheet!$AL55,"")</f>
        <v/>
      </c>
      <c r="E55" s="246" t="str">
        <f>IF(B55&lt;&gt;"",COUNTIFS('Mark Leave'!$D:$D,"&gt;="&amp;'Leave Credit Sheet'!$F$1,'Mark Leave'!$D:$D,"&lt;="&amp;'Leave Credit Sheet'!$I$1,'Mark Leave'!$B:$B,'Leave Credit Sheet'!$B55,'Mark Leave'!$E:$E,E$6),"")</f>
        <v/>
      </c>
      <c r="F55" s="246" t="str">
        <f>IF(B55&lt;&gt;"",COUNTIFS('Mark Leave'!$D:$D,"&gt;="&amp;'Leave Credit Sheet'!$F$1,'Mark Leave'!$D:$D,"&lt;="&amp;'Leave Credit Sheet'!$I$1,'Mark Leave'!$B:$B,'Leave Credit Sheet'!$B55,'Mark Leave'!$E:$E,F$6),"")</f>
        <v/>
      </c>
      <c r="G55" s="246" t="str">
        <f>IF(B55&lt;&gt;"",COUNTIFS('Mark Leave'!$D:$D,"&gt;="&amp;'Leave Credit Sheet'!$F$1,'Mark Leave'!$D:$D,"&lt;="&amp;'Leave Credit Sheet'!$I$1,'Mark Leave'!$B:$B,'Leave Credit Sheet'!$B55,'Mark Leave'!$E:$E,G$6),"")</f>
        <v/>
      </c>
      <c r="H55" s="246" t="str">
        <f t="shared" si="7"/>
        <v/>
      </c>
      <c r="I55" s="246" t="str">
        <f>IF(B55&lt;&gt;"",VLOOKUP(B55,Summary!C69:E89,3,0),"")</f>
        <v/>
      </c>
      <c r="J55" s="62" t="str">
        <f t="shared" si="8"/>
        <v/>
      </c>
      <c r="K55" s="63" t="str">
        <f t="shared" si="5"/>
        <v/>
      </c>
      <c r="L55" s="211" t="str">
        <f t="shared" si="9"/>
        <v/>
      </c>
    </row>
    <row r="56" spans="2:12" ht="16.5" thickTop="1" thickBot="1" x14ac:dyDescent="0.3">
      <c r="B56" s="61" t="str">
        <f>IF(C56&lt;&gt;"",INDEX('Employee Details'!$A$7:$A59,MATCH(AttendanceSheet!$C56,'Employee Details'!$B$7:$B65,0)),"")</f>
        <v/>
      </c>
      <c r="C56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'!$J$1:J50))),""))</f>
        <v/>
      </c>
      <c r="D56" s="245" t="str">
        <f>IF(B56&lt;&gt;"",AttendanceSheet!$AL56,"")</f>
        <v/>
      </c>
      <c r="E56" s="246" t="str">
        <f>IF(B56&lt;&gt;"",COUNTIFS('Mark Leave'!$D:$D,"&gt;="&amp;'Leave Credit Sheet'!$F$1,'Mark Leave'!$D:$D,"&lt;="&amp;'Leave Credit Sheet'!$I$1,'Mark Leave'!$B:$B,'Leave Credit Sheet'!$B56,'Mark Leave'!$E:$E,E$6),"")</f>
        <v/>
      </c>
      <c r="F56" s="246" t="str">
        <f>IF(B56&lt;&gt;"",COUNTIFS('Mark Leave'!$D:$D,"&gt;="&amp;'Leave Credit Sheet'!$F$1,'Mark Leave'!$D:$D,"&lt;="&amp;'Leave Credit Sheet'!$I$1,'Mark Leave'!$B:$B,'Leave Credit Sheet'!$B56,'Mark Leave'!$E:$E,F$6),"")</f>
        <v/>
      </c>
      <c r="G56" s="246" t="str">
        <f>IF(B56&lt;&gt;"",COUNTIFS('Mark Leave'!$D:$D,"&gt;="&amp;'Leave Credit Sheet'!$F$1,'Mark Leave'!$D:$D,"&lt;="&amp;'Leave Credit Sheet'!$I$1,'Mark Leave'!$B:$B,'Leave Credit Sheet'!$B56,'Mark Leave'!$E:$E,G$6),"")</f>
        <v/>
      </c>
      <c r="H56" s="246" t="str">
        <f t="shared" si="7"/>
        <v/>
      </c>
      <c r="I56" s="246" t="str">
        <f>IF(B56&lt;&gt;"",VLOOKUP(B56,Summary!C70:E90,3,0),"")</f>
        <v/>
      </c>
      <c r="J56" s="62" t="str">
        <f t="shared" si="8"/>
        <v/>
      </c>
      <c r="K56" s="63" t="str">
        <f t="shared" si="5"/>
        <v/>
      </c>
      <c r="L56" s="211" t="str">
        <f t="shared" si="9"/>
        <v/>
      </c>
    </row>
    <row r="57" spans="2:12" ht="16.5" thickTop="1" thickBot="1" x14ac:dyDescent="0.3">
      <c r="B57" s="61" t="str">
        <f>IF(C57&lt;&gt;"",INDEX('Employee Details'!$A$7:$A60,MATCH(AttendanceSheet!$C57,'Employee Details'!$B$7:$B66,0)),"")</f>
        <v/>
      </c>
      <c r="C5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'!$J$1:J51))),""))</f>
        <v/>
      </c>
      <c r="D57" s="245" t="str">
        <f>IF(B57&lt;&gt;"",AttendanceSheet!$AL57,"")</f>
        <v/>
      </c>
      <c r="E57" s="246" t="str">
        <f>IF(B57&lt;&gt;"",COUNTIFS('Mark Leave'!$D:$D,"&gt;="&amp;'Leave Credit Sheet'!$F$1,'Mark Leave'!$D:$D,"&lt;="&amp;'Leave Credit Sheet'!$I$1,'Mark Leave'!$B:$B,'Leave Credit Sheet'!$B57,'Mark Leave'!$E:$E,E$6),"")</f>
        <v/>
      </c>
      <c r="F57" s="246" t="str">
        <f>IF(B57&lt;&gt;"",COUNTIFS('Mark Leave'!$D:$D,"&gt;="&amp;'Leave Credit Sheet'!$F$1,'Mark Leave'!$D:$D,"&lt;="&amp;'Leave Credit Sheet'!$I$1,'Mark Leave'!$B:$B,'Leave Credit Sheet'!$B57,'Mark Leave'!$E:$E,F$6),"")</f>
        <v/>
      </c>
      <c r="G57" s="246" t="str">
        <f>IF(B57&lt;&gt;"",COUNTIFS('Mark Leave'!$D:$D,"&gt;="&amp;'Leave Credit Sheet'!$F$1,'Mark Leave'!$D:$D,"&lt;="&amp;'Leave Credit Sheet'!$I$1,'Mark Leave'!$B:$B,'Leave Credit Sheet'!$B57,'Mark Leave'!$E:$E,G$6),"")</f>
        <v/>
      </c>
      <c r="H57" s="246" t="str">
        <f t="shared" si="7"/>
        <v/>
      </c>
      <c r="I57" s="246" t="str">
        <f>IF(B57&lt;&gt;"",VLOOKUP(B57,Summary!C71:E91,3,0),"")</f>
        <v/>
      </c>
      <c r="J57" s="62" t="str">
        <f t="shared" si="8"/>
        <v/>
      </c>
      <c r="K57" s="63" t="str">
        <f t="shared" si="5"/>
        <v/>
      </c>
      <c r="L57" s="211" t="str">
        <f t="shared" si="9"/>
        <v/>
      </c>
    </row>
    <row r="58" spans="2:12" ht="16.5" thickTop="1" thickBot="1" x14ac:dyDescent="0.3">
      <c r="B58" s="61" t="str">
        <f>IF(C58&lt;&gt;"",INDEX('Employee Details'!$A$7:$A61,MATCH(AttendanceSheet!$C58,'Employee Details'!$B$7:$B67,0)),"")</f>
        <v/>
      </c>
      <c r="C5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'!$J$1:J52))),""))</f>
        <v/>
      </c>
      <c r="D58" s="245" t="str">
        <f>IF(B58&lt;&gt;"",AttendanceSheet!$AL58,"")</f>
        <v/>
      </c>
      <c r="E58" s="246" t="str">
        <f>IF(B58&lt;&gt;"",COUNTIFS('Mark Leave'!$D:$D,"&gt;="&amp;'Leave Credit Sheet'!$F$1,'Mark Leave'!$D:$D,"&lt;="&amp;'Leave Credit Sheet'!$I$1,'Mark Leave'!$B:$B,'Leave Credit Sheet'!$B58,'Mark Leave'!$E:$E,E$6),"")</f>
        <v/>
      </c>
      <c r="F58" s="246" t="str">
        <f>IF(B58&lt;&gt;"",COUNTIFS('Mark Leave'!$D:$D,"&gt;="&amp;'Leave Credit Sheet'!$F$1,'Mark Leave'!$D:$D,"&lt;="&amp;'Leave Credit Sheet'!$I$1,'Mark Leave'!$B:$B,'Leave Credit Sheet'!$B58,'Mark Leave'!$E:$E,F$6),"")</f>
        <v/>
      </c>
      <c r="G58" s="246" t="str">
        <f>IF(B58&lt;&gt;"",COUNTIFS('Mark Leave'!$D:$D,"&gt;="&amp;'Leave Credit Sheet'!$F$1,'Mark Leave'!$D:$D,"&lt;="&amp;'Leave Credit Sheet'!$I$1,'Mark Leave'!$B:$B,'Leave Credit Sheet'!$B58,'Mark Leave'!$E:$E,G$6),"")</f>
        <v/>
      </c>
      <c r="H58" s="246" t="str">
        <f t="shared" si="7"/>
        <v/>
      </c>
      <c r="I58" s="246" t="str">
        <f>IF(B58&lt;&gt;"",VLOOKUP(B58,Summary!C72:E92,3,0),"")</f>
        <v/>
      </c>
      <c r="J58" s="62" t="str">
        <f t="shared" si="8"/>
        <v/>
      </c>
      <c r="K58" s="63" t="str">
        <f t="shared" si="5"/>
        <v/>
      </c>
      <c r="L58" s="211" t="str">
        <f t="shared" si="9"/>
        <v/>
      </c>
    </row>
    <row r="59" spans="2:12" ht="16.5" thickTop="1" thickBot="1" x14ac:dyDescent="0.3">
      <c r="B59" s="61" t="str">
        <f>IF(C59&lt;&gt;"",INDEX('Employee Details'!$A$7:$A62,MATCH(AttendanceSheet!$C59,'Employee Details'!$B$7:$B68,0)),"")</f>
        <v/>
      </c>
      <c r="C5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'!$J$1:J53))),""))</f>
        <v/>
      </c>
      <c r="D59" s="245" t="str">
        <f>IF(B59&lt;&gt;"",AttendanceSheet!$AL59,"")</f>
        <v/>
      </c>
      <c r="E59" s="246" t="str">
        <f>IF(B59&lt;&gt;"",COUNTIFS('Mark Leave'!$D:$D,"&gt;="&amp;'Leave Credit Sheet'!$F$1,'Mark Leave'!$D:$D,"&lt;="&amp;'Leave Credit Sheet'!$I$1,'Mark Leave'!$B:$B,'Leave Credit Sheet'!$B59,'Mark Leave'!$E:$E,E$6),"")</f>
        <v/>
      </c>
      <c r="F59" s="246" t="str">
        <f>IF(B59&lt;&gt;"",COUNTIFS('Mark Leave'!$D:$D,"&gt;="&amp;'Leave Credit Sheet'!$F$1,'Mark Leave'!$D:$D,"&lt;="&amp;'Leave Credit Sheet'!$I$1,'Mark Leave'!$B:$B,'Leave Credit Sheet'!$B59,'Mark Leave'!$E:$E,F$6),"")</f>
        <v/>
      </c>
      <c r="G59" s="246" t="str">
        <f>IF(B59&lt;&gt;"",COUNTIFS('Mark Leave'!$D:$D,"&gt;="&amp;'Leave Credit Sheet'!$F$1,'Mark Leave'!$D:$D,"&lt;="&amp;'Leave Credit Sheet'!$I$1,'Mark Leave'!$B:$B,'Leave Credit Sheet'!$B59,'Mark Leave'!$E:$E,G$6),"")</f>
        <v/>
      </c>
      <c r="H59" s="246" t="str">
        <f t="shared" si="7"/>
        <v/>
      </c>
      <c r="I59" s="246" t="str">
        <f>IF(B59&lt;&gt;"",VLOOKUP(B59,Summary!C73:E93,3,0),"")</f>
        <v/>
      </c>
      <c r="J59" s="62" t="str">
        <f t="shared" si="8"/>
        <v/>
      </c>
      <c r="K59" s="63" t="str">
        <f t="shared" si="5"/>
        <v/>
      </c>
      <c r="L59" s="211" t="str">
        <f t="shared" si="9"/>
        <v/>
      </c>
    </row>
    <row r="60" spans="2:12" ht="16.5" thickTop="1" thickBot="1" x14ac:dyDescent="0.3">
      <c r="B60" s="61" t="str">
        <f>IF(C60&lt;&gt;"",INDEX('Employee Details'!$A$7:$A63,MATCH(AttendanceSheet!$C60,'Employee Details'!$B$7:$B69,0)),"")</f>
        <v/>
      </c>
      <c r="C6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'!$J$1:J54))),""))</f>
        <v/>
      </c>
      <c r="D60" s="245" t="str">
        <f>IF(B60&lt;&gt;"",AttendanceSheet!$AL60,"")</f>
        <v/>
      </c>
      <c r="E60" s="246" t="str">
        <f>IF(B60&lt;&gt;"",COUNTIFS('Mark Leave'!$D:$D,"&gt;="&amp;'Leave Credit Sheet'!$F$1,'Mark Leave'!$D:$D,"&lt;="&amp;'Leave Credit Sheet'!$I$1,'Mark Leave'!$B:$B,'Leave Credit Sheet'!$B60,'Mark Leave'!$E:$E,E$6),"")</f>
        <v/>
      </c>
      <c r="F60" s="246" t="str">
        <f>IF(B60&lt;&gt;"",COUNTIFS('Mark Leave'!$D:$D,"&gt;="&amp;'Leave Credit Sheet'!$F$1,'Mark Leave'!$D:$D,"&lt;="&amp;'Leave Credit Sheet'!$I$1,'Mark Leave'!$B:$B,'Leave Credit Sheet'!$B60,'Mark Leave'!$E:$E,F$6),"")</f>
        <v/>
      </c>
      <c r="G60" s="246" t="str">
        <f>IF(B60&lt;&gt;"",COUNTIFS('Mark Leave'!$D:$D,"&gt;="&amp;'Leave Credit Sheet'!$F$1,'Mark Leave'!$D:$D,"&lt;="&amp;'Leave Credit Sheet'!$I$1,'Mark Leave'!$B:$B,'Leave Credit Sheet'!$B60,'Mark Leave'!$E:$E,G$6),"")</f>
        <v/>
      </c>
      <c r="H60" s="246" t="str">
        <f t="shared" si="7"/>
        <v/>
      </c>
      <c r="I60" s="246" t="str">
        <f>IF(B60&lt;&gt;"",VLOOKUP(B60,Summary!C74:E94,3,0),"")</f>
        <v/>
      </c>
      <c r="J60" s="62" t="str">
        <f t="shared" si="8"/>
        <v/>
      </c>
      <c r="K60" s="63" t="str">
        <f t="shared" si="5"/>
        <v/>
      </c>
      <c r="L60" s="211" t="str">
        <f t="shared" si="9"/>
        <v/>
      </c>
    </row>
    <row r="61" spans="2:12" ht="16.5" thickTop="1" thickBot="1" x14ac:dyDescent="0.3">
      <c r="B61" s="61" t="str">
        <f>IF(C61&lt;&gt;"",INDEX('Employee Details'!$A$7:$A64,MATCH(AttendanceSheet!$C61,'Employee Details'!$B$7:$B70,0)),"")</f>
        <v/>
      </c>
      <c r="C61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'!$J$1:J55))),""))</f>
        <v/>
      </c>
      <c r="D61" s="245" t="str">
        <f>IF(B61&lt;&gt;"",AttendanceSheet!$AL61,"")</f>
        <v/>
      </c>
      <c r="E61" s="246" t="str">
        <f>IF(B61&lt;&gt;"",COUNTIFS('Mark Leave'!$D:$D,"&gt;="&amp;'Leave Credit Sheet'!$F$1,'Mark Leave'!$D:$D,"&lt;="&amp;'Leave Credit Sheet'!$I$1,'Mark Leave'!$B:$B,'Leave Credit Sheet'!$B61,'Mark Leave'!$E:$E,E$6),"")</f>
        <v/>
      </c>
      <c r="F61" s="246" t="str">
        <f>IF(B61&lt;&gt;"",COUNTIFS('Mark Leave'!$D:$D,"&gt;="&amp;'Leave Credit Sheet'!$F$1,'Mark Leave'!$D:$D,"&lt;="&amp;'Leave Credit Sheet'!$I$1,'Mark Leave'!$B:$B,'Leave Credit Sheet'!$B61,'Mark Leave'!$E:$E,F$6),"")</f>
        <v/>
      </c>
      <c r="G61" s="246" t="str">
        <f>IF(B61&lt;&gt;"",COUNTIFS('Mark Leave'!$D:$D,"&gt;="&amp;'Leave Credit Sheet'!$F$1,'Mark Leave'!$D:$D,"&lt;="&amp;'Leave Credit Sheet'!$I$1,'Mark Leave'!$B:$B,'Leave Credit Sheet'!$B61,'Mark Leave'!$E:$E,G$6),"")</f>
        <v/>
      </c>
      <c r="H61" s="246" t="str">
        <f t="shared" si="7"/>
        <v/>
      </c>
      <c r="I61" s="246" t="str">
        <f>IF(B61&lt;&gt;"",VLOOKUP(B61,Summary!C75:E95,3,0),"")</f>
        <v/>
      </c>
      <c r="J61" s="62" t="str">
        <f t="shared" si="8"/>
        <v/>
      </c>
      <c r="K61" s="63" t="str">
        <f t="shared" si="5"/>
        <v/>
      </c>
      <c r="L61" s="211" t="str">
        <f t="shared" si="9"/>
        <v/>
      </c>
    </row>
    <row r="62" spans="2:12" ht="16.5" thickTop="1" thickBot="1" x14ac:dyDescent="0.3">
      <c r="B62" s="61" t="str">
        <f>IF(C62&lt;&gt;"",INDEX('Employee Details'!$A$7:$A65,MATCH(AttendanceSheet!$C62,'Employee Details'!$B$7:$B71,0)),"")</f>
        <v/>
      </c>
      <c r="C62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'!$J$1:J56))),""))</f>
        <v/>
      </c>
      <c r="D62" s="245" t="str">
        <f>IF(B62&lt;&gt;"",AttendanceSheet!$AL62,"")</f>
        <v/>
      </c>
      <c r="E62" s="246" t="str">
        <f>IF(B62&lt;&gt;"",COUNTIFS('Mark Leave'!$D:$D,"&gt;="&amp;'Leave Credit Sheet'!$F$1,'Mark Leave'!$D:$D,"&lt;="&amp;'Leave Credit Sheet'!$I$1,'Mark Leave'!$B:$B,'Leave Credit Sheet'!$B62,'Mark Leave'!$E:$E,E$6),"")</f>
        <v/>
      </c>
      <c r="F62" s="246" t="str">
        <f>IF(B62&lt;&gt;"",COUNTIFS('Mark Leave'!$D:$D,"&gt;="&amp;'Leave Credit Sheet'!$F$1,'Mark Leave'!$D:$D,"&lt;="&amp;'Leave Credit Sheet'!$I$1,'Mark Leave'!$B:$B,'Leave Credit Sheet'!$B62,'Mark Leave'!$E:$E,F$6),"")</f>
        <v/>
      </c>
      <c r="G62" s="246" t="str">
        <f>IF(B62&lt;&gt;"",COUNTIFS('Mark Leave'!$D:$D,"&gt;="&amp;'Leave Credit Sheet'!$F$1,'Mark Leave'!$D:$D,"&lt;="&amp;'Leave Credit Sheet'!$I$1,'Mark Leave'!$B:$B,'Leave Credit Sheet'!$B62,'Mark Leave'!$E:$E,G$6),"")</f>
        <v/>
      </c>
      <c r="H62" s="246" t="str">
        <f t="shared" si="7"/>
        <v/>
      </c>
      <c r="I62" s="246" t="str">
        <f>IF(B62&lt;&gt;"",VLOOKUP(B62,Summary!C76:E96,3,0),"")</f>
        <v/>
      </c>
      <c r="J62" s="62" t="str">
        <f t="shared" si="8"/>
        <v/>
      </c>
      <c r="K62" s="63" t="str">
        <f t="shared" si="5"/>
        <v/>
      </c>
      <c r="L62" s="211" t="str">
        <f t="shared" si="9"/>
        <v/>
      </c>
    </row>
    <row r="63" spans="2:12" ht="16.5" thickTop="1" thickBot="1" x14ac:dyDescent="0.3">
      <c r="B63" s="61" t="str">
        <f>IF(C63&lt;&gt;"",INDEX('Employee Details'!$A$7:$A66,MATCH(AttendanceSheet!$C63,'Employee Details'!$B$7:$B72,0)),"")</f>
        <v/>
      </c>
      <c r="C63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'!$J$1:J57))),""))</f>
        <v/>
      </c>
      <c r="D63" s="245" t="str">
        <f>IF(B63&lt;&gt;"",AttendanceSheet!$AL63,"")</f>
        <v/>
      </c>
      <c r="E63" s="246" t="str">
        <f>IF(B63&lt;&gt;"",COUNTIFS('Mark Leave'!$D:$D,"&gt;="&amp;'Leave Credit Sheet'!$F$1,'Mark Leave'!$D:$D,"&lt;="&amp;'Leave Credit Sheet'!$I$1,'Mark Leave'!$B:$B,'Leave Credit Sheet'!$B63,'Mark Leave'!$E:$E,E$6),"")</f>
        <v/>
      </c>
      <c r="F63" s="246" t="str">
        <f>IF(B63&lt;&gt;"",COUNTIFS('Mark Leave'!$D:$D,"&gt;="&amp;'Leave Credit Sheet'!$F$1,'Mark Leave'!$D:$D,"&lt;="&amp;'Leave Credit Sheet'!$I$1,'Mark Leave'!$B:$B,'Leave Credit Sheet'!$B63,'Mark Leave'!$E:$E,F$6),"")</f>
        <v/>
      </c>
      <c r="G63" s="246" t="str">
        <f>IF(B63&lt;&gt;"",COUNTIFS('Mark Leave'!$D:$D,"&gt;="&amp;'Leave Credit Sheet'!$F$1,'Mark Leave'!$D:$D,"&lt;="&amp;'Leave Credit Sheet'!$I$1,'Mark Leave'!$B:$B,'Leave Credit Sheet'!$B63,'Mark Leave'!$E:$E,G$6),"")</f>
        <v/>
      </c>
      <c r="H63" s="246" t="str">
        <f t="shared" si="7"/>
        <v/>
      </c>
      <c r="I63" s="246" t="str">
        <f>IF(B63&lt;&gt;"",VLOOKUP(B63,Summary!C77:E97,3,0),"")</f>
        <v/>
      </c>
      <c r="J63" s="62" t="str">
        <f t="shared" si="8"/>
        <v/>
      </c>
      <c r="K63" s="63" t="str">
        <f t="shared" si="5"/>
        <v/>
      </c>
      <c r="L63" s="211" t="str">
        <f t="shared" si="9"/>
        <v/>
      </c>
    </row>
    <row r="64" spans="2:12" ht="16.5" thickTop="1" thickBot="1" x14ac:dyDescent="0.3">
      <c r="B64" s="61" t="str">
        <f>IF(C64&lt;&gt;"",INDEX('Employee Details'!$A$7:$A67,MATCH(AttendanceSheet!$C64,'Employee Details'!$B$7:$B73,0)),"")</f>
        <v/>
      </c>
      <c r="C64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'!$J$1:J58))),""))</f>
        <v/>
      </c>
      <c r="D64" s="245" t="str">
        <f>IF(B64&lt;&gt;"",AttendanceSheet!$AL64,"")</f>
        <v/>
      </c>
      <c r="E64" s="246" t="str">
        <f>IF(B64&lt;&gt;"",COUNTIFS('Mark Leave'!$D:$D,"&gt;="&amp;'Leave Credit Sheet'!$F$1,'Mark Leave'!$D:$D,"&lt;="&amp;'Leave Credit Sheet'!$I$1,'Mark Leave'!$B:$B,'Leave Credit Sheet'!$B64,'Mark Leave'!$E:$E,E$6),"")</f>
        <v/>
      </c>
      <c r="F64" s="246" t="str">
        <f>IF(B64&lt;&gt;"",COUNTIFS('Mark Leave'!$D:$D,"&gt;="&amp;'Leave Credit Sheet'!$F$1,'Mark Leave'!$D:$D,"&lt;="&amp;'Leave Credit Sheet'!$I$1,'Mark Leave'!$B:$B,'Leave Credit Sheet'!$B64,'Mark Leave'!$E:$E,F$6),"")</f>
        <v/>
      </c>
      <c r="G64" s="246" t="str">
        <f>IF(B64&lt;&gt;"",COUNTIFS('Mark Leave'!$D:$D,"&gt;="&amp;'Leave Credit Sheet'!$F$1,'Mark Leave'!$D:$D,"&lt;="&amp;'Leave Credit Sheet'!$I$1,'Mark Leave'!$B:$B,'Leave Credit Sheet'!$B64,'Mark Leave'!$E:$E,G$6),"")</f>
        <v/>
      </c>
      <c r="H64" s="246" t="str">
        <f t="shared" si="7"/>
        <v/>
      </c>
      <c r="I64" s="246" t="str">
        <f>IF(B64&lt;&gt;"",VLOOKUP(B64,Summary!C78:E98,3,0),"")</f>
        <v/>
      </c>
      <c r="J64" s="62" t="str">
        <f t="shared" si="8"/>
        <v/>
      </c>
      <c r="K64" s="63" t="str">
        <f t="shared" si="5"/>
        <v/>
      </c>
      <c r="L64" s="211" t="str">
        <f t="shared" si="9"/>
        <v/>
      </c>
    </row>
    <row r="65" spans="2:12" ht="16.5" thickTop="1" thickBot="1" x14ac:dyDescent="0.3">
      <c r="B65" s="61" t="str">
        <f>IF(C65&lt;&gt;"",INDEX('Employee Details'!$A$7:$A68,MATCH(AttendanceSheet!$C65,'Employee Details'!$B$7:$B74,0)),"")</f>
        <v/>
      </c>
      <c r="C65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'!$J$1:J59))),""))</f>
        <v/>
      </c>
      <c r="D65" s="245" t="str">
        <f>IF(B65&lt;&gt;"",AttendanceSheet!$AL65,"")</f>
        <v/>
      </c>
      <c r="E65" s="246" t="str">
        <f>IF(B65&lt;&gt;"",COUNTIFS('Mark Leave'!$D:$D,"&gt;="&amp;'Leave Credit Sheet'!$F$1,'Mark Leave'!$D:$D,"&lt;="&amp;'Leave Credit Sheet'!$I$1,'Mark Leave'!$B:$B,'Leave Credit Sheet'!$B65,'Mark Leave'!$E:$E,E$6),"")</f>
        <v/>
      </c>
      <c r="F65" s="246" t="str">
        <f>IF(B65&lt;&gt;"",COUNTIFS('Mark Leave'!$D:$D,"&gt;="&amp;'Leave Credit Sheet'!$F$1,'Mark Leave'!$D:$D,"&lt;="&amp;'Leave Credit Sheet'!$I$1,'Mark Leave'!$B:$B,'Leave Credit Sheet'!$B65,'Mark Leave'!$E:$E,F$6),"")</f>
        <v/>
      </c>
      <c r="G65" s="246" t="str">
        <f>IF(B65&lt;&gt;"",COUNTIFS('Mark Leave'!$D:$D,"&gt;="&amp;'Leave Credit Sheet'!$F$1,'Mark Leave'!$D:$D,"&lt;="&amp;'Leave Credit Sheet'!$I$1,'Mark Leave'!$B:$B,'Leave Credit Sheet'!$B65,'Mark Leave'!$E:$E,G$6),"")</f>
        <v/>
      </c>
      <c r="H65" s="246" t="str">
        <f t="shared" si="7"/>
        <v/>
      </c>
      <c r="I65" s="246" t="str">
        <f>IF(B65&lt;&gt;"",VLOOKUP(B65,Summary!C79:E99,3,0),"")</f>
        <v/>
      </c>
      <c r="J65" s="62" t="str">
        <f t="shared" si="8"/>
        <v/>
      </c>
      <c r="K65" s="63" t="str">
        <f t="shared" si="5"/>
        <v/>
      </c>
      <c r="L65" s="211" t="str">
        <f t="shared" si="9"/>
        <v/>
      </c>
    </row>
    <row r="66" spans="2:12" ht="16.5" thickTop="1" thickBot="1" x14ac:dyDescent="0.3">
      <c r="B66" s="61" t="str">
        <f>IF(C66&lt;&gt;"",INDEX('Employee Details'!$A$7:$A69,MATCH(AttendanceSheet!$C66,'Employee Details'!$B$7:$B75,0)),"")</f>
        <v/>
      </c>
      <c r="C66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'!$J$1:J60))),""))</f>
        <v/>
      </c>
      <c r="D66" s="245" t="str">
        <f>IF(B66&lt;&gt;"",AttendanceSheet!$AL66,"")</f>
        <v/>
      </c>
      <c r="E66" s="246" t="str">
        <f>IF(B66&lt;&gt;"",COUNTIFS('Mark Leave'!$D:$D,"&gt;="&amp;'Leave Credit Sheet'!$F$1,'Mark Leave'!$D:$D,"&lt;="&amp;'Leave Credit Sheet'!$I$1,'Mark Leave'!$B:$B,'Leave Credit Sheet'!$B66,'Mark Leave'!$E:$E,E$6),"")</f>
        <v/>
      </c>
      <c r="F66" s="246" t="str">
        <f>IF(B66&lt;&gt;"",COUNTIFS('Mark Leave'!$D:$D,"&gt;="&amp;'Leave Credit Sheet'!$F$1,'Mark Leave'!$D:$D,"&lt;="&amp;'Leave Credit Sheet'!$I$1,'Mark Leave'!$B:$B,'Leave Credit Sheet'!$B66,'Mark Leave'!$E:$E,F$6),"")</f>
        <v/>
      </c>
      <c r="G66" s="246" t="str">
        <f>IF(B66&lt;&gt;"",COUNTIFS('Mark Leave'!$D:$D,"&gt;="&amp;'Leave Credit Sheet'!$F$1,'Mark Leave'!$D:$D,"&lt;="&amp;'Leave Credit Sheet'!$I$1,'Mark Leave'!$B:$B,'Leave Credit Sheet'!$B66,'Mark Leave'!$E:$E,G$6),"")</f>
        <v/>
      </c>
      <c r="H66" s="246" t="str">
        <f t="shared" si="7"/>
        <v/>
      </c>
      <c r="I66" s="246" t="str">
        <f>IF(B66&lt;&gt;"",VLOOKUP(B66,Summary!C80:E100,3,0),"")</f>
        <v/>
      </c>
      <c r="J66" s="62" t="str">
        <f t="shared" si="8"/>
        <v/>
      </c>
      <c r="K66" s="63" t="str">
        <f t="shared" si="5"/>
        <v/>
      </c>
      <c r="L66" s="211" t="str">
        <f t="shared" si="9"/>
        <v/>
      </c>
    </row>
    <row r="67" spans="2:12" ht="16.5" thickTop="1" thickBot="1" x14ac:dyDescent="0.3">
      <c r="B67" s="61" t="str">
        <f>IF(C67&lt;&gt;"",INDEX('Employee Details'!$A$7:$A70,MATCH(AttendanceSheet!$C67,'Employee Details'!$B$7:$B76,0)),"")</f>
        <v/>
      </c>
      <c r="C6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'!$J$1:J61))),""))</f>
        <v/>
      </c>
      <c r="D67" s="245" t="str">
        <f>IF(B67&lt;&gt;"",AttendanceSheet!$AL67,"")</f>
        <v/>
      </c>
      <c r="E67" s="246" t="str">
        <f>IF(B67&lt;&gt;"",COUNTIFS('Mark Leave'!$D:$D,"&gt;="&amp;'Leave Credit Sheet'!$F$1,'Mark Leave'!$D:$D,"&lt;="&amp;'Leave Credit Sheet'!$I$1,'Mark Leave'!$B:$B,'Leave Credit Sheet'!$B67,'Mark Leave'!$E:$E,E$6),"")</f>
        <v/>
      </c>
      <c r="F67" s="246" t="str">
        <f>IF(B67&lt;&gt;"",COUNTIFS('Mark Leave'!$D:$D,"&gt;="&amp;'Leave Credit Sheet'!$F$1,'Mark Leave'!$D:$D,"&lt;="&amp;'Leave Credit Sheet'!$I$1,'Mark Leave'!$B:$B,'Leave Credit Sheet'!$B67,'Mark Leave'!$E:$E,F$6),"")</f>
        <v/>
      </c>
      <c r="G67" s="246" t="str">
        <f>IF(B67&lt;&gt;"",COUNTIFS('Mark Leave'!$D:$D,"&gt;="&amp;'Leave Credit Sheet'!$F$1,'Mark Leave'!$D:$D,"&lt;="&amp;'Leave Credit Sheet'!$I$1,'Mark Leave'!$B:$B,'Leave Credit Sheet'!$B67,'Mark Leave'!$E:$E,G$6),"")</f>
        <v/>
      </c>
      <c r="H67" s="246" t="str">
        <f t="shared" si="7"/>
        <v/>
      </c>
      <c r="I67" s="246" t="str">
        <f>IF(B67&lt;&gt;"",VLOOKUP(B67,Summary!C81:E101,3,0),"")</f>
        <v/>
      </c>
      <c r="J67" s="62" t="str">
        <f t="shared" si="8"/>
        <v/>
      </c>
      <c r="K67" s="63" t="str">
        <f t="shared" si="5"/>
        <v/>
      </c>
      <c r="L67" s="211" t="str">
        <f t="shared" si="9"/>
        <v/>
      </c>
    </row>
    <row r="68" spans="2:12" ht="16.5" thickTop="1" thickBot="1" x14ac:dyDescent="0.3">
      <c r="B68" s="61" t="str">
        <f>IF(C68&lt;&gt;"",INDEX('Employee Details'!$A$7:$A71,MATCH(AttendanceSheet!$C68,'Employee Details'!$B$7:$B77,0)),"")</f>
        <v/>
      </c>
      <c r="C6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'!$J$1:J62))),""))</f>
        <v/>
      </c>
      <c r="D68" s="245" t="str">
        <f>IF(B68&lt;&gt;"",AttendanceSheet!$AL68,"")</f>
        <v/>
      </c>
      <c r="E68" s="246" t="str">
        <f>IF(B68&lt;&gt;"",COUNTIFS('Mark Leave'!$D:$D,"&gt;="&amp;'Leave Credit Sheet'!$F$1,'Mark Leave'!$D:$D,"&lt;="&amp;'Leave Credit Sheet'!$I$1,'Mark Leave'!$B:$B,'Leave Credit Sheet'!$B68,'Mark Leave'!$E:$E,E$6),"")</f>
        <v/>
      </c>
      <c r="F68" s="246" t="str">
        <f>IF(B68&lt;&gt;"",COUNTIFS('Mark Leave'!$D:$D,"&gt;="&amp;'Leave Credit Sheet'!$F$1,'Mark Leave'!$D:$D,"&lt;="&amp;'Leave Credit Sheet'!$I$1,'Mark Leave'!$B:$B,'Leave Credit Sheet'!$B68,'Mark Leave'!$E:$E,F$6),"")</f>
        <v/>
      </c>
      <c r="G68" s="246" t="str">
        <f>IF(B68&lt;&gt;"",COUNTIFS('Mark Leave'!$D:$D,"&gt;="&amp;'Leave Credit Sheet'!$F$1,'Mark Leave'!$D:$D,"&lt;="&amp;'Leave Credit Sheet'!$I$1,'Mark Leave'!$B:$B,'Leave Credit Sheet'!$B68,'Mark Leave'!$E:$E,G$6),"")</f>
        <v/>
      </c>
      <c r="H68" s="246" t="str">
        <f t="shared" si="7"/>
        <v/>
      </c>
      <c r="I68" s="246" t="str">
        <f>IF(B68&lt;&gt;"",VLOOKUP(B68,Summary!C82:E102,3,0),"")</f>
        <v/>
      </c>
      <c r="J68" s="62" t="str">
        <f t="shared" si="8"/>
        <v/>
      </c>
      <c r="K68" s="63" t="str">
        <f t="shared" si="5"/>
        <v/>
      </c>
      <c r="L68" s="211" t="str">
        <f t="shared" si="9"/>
        <v/>
      </c>
    </row>
    <row r="69" spans="2:12" ht="16.5" thickTop="1" thickBot="1" x14ac:dyDescent="0.3">
      <c r="B69" s="61" t="str">
        <f>IF(C69&lt;&gt;"",INDEX('Employee Details'!$A$7:$A72,MATCH(AttendanceSheet!$C69,'Employee Details'!$B$7:$B78,0)),"")</f>
        <v/>
      </c>
      <c r="C6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'!$J$1:J63))),""))</f>
        <v/>
      </c>
      <c r="D69" s="245" t="str">
        <f>IF(B69&lt;&gt;"",AttendanceSheet!$AL69,"")</f>
        <v/>
      </c>
      <c r="E69" s="246" t="str">
        <f>IF(B69&lt;&gt;"",COUNTIFS('Mark Leave'!$D:$D,"&gt;="&amp;'Leave Credit Sheet'!$F$1,'Mark Leave'!$D:$D,"&lt;="&amp;'Leave Credit Sheet'!$I$1,'Mark Leave'!$B:$B,'Leave Credit Sheet'!$B69,'Mark Leave'!$E:$E,E$6),"")</f>
        <v/>
      </c>
      <c r="F69" s="246" t="str">
        <f>IF(B69&lt;&gt;"",COUNTIFS('Mark Leave'!$D:$D,"&gt;="&amp;'Leave Credit Sheet'!$F$1,'Mark Leave'!$D:$D,"&lt;="&amp;'Leave Credit Sheet'!$I$1,'Mark Leave'!$B:$B,'Leave Credit Sheet'!$B69,'Mark Leave'!$E:$E,F$6),"")</f>
        <v/>
      </c>
      <c r="G69" s="246" t="str">
        <f>IF(B69&lt;&gt;"",COUNTIFS('Mark Leave'!$D:$D,"&gt;="&amp;'Leave Credit Sheet'!$F$1,'Mark Leave'!$D:$D,"&lt;="&amp;'Leave Credit Sheet'!$I$1,'Mark Leave'!$B:$B,'Leave Credit Sheet'!$B69,'Mark Leave'!$E:$E,G$6),"")</f>
        <v/>
      </c>
      <c r="H69" s="246" t="str">
        <f t="shared" si="7"/>
        <v/>
      </c>
      <c r="I69" s="246" t="str">
        <f>IF(B69&lt;&gt;"",VLOOKUP(B69,Summary!C83:E103,3,0),"")</f>
        <v/>
      </c>
      <c r="J69" s="62" t="str">
        <f t="shared" si="8"/>
        <v/>
      </c>
      <c r="K69" s="63" t="str">
        <f t="shared" si="5"/>
        <v/>
      </c>
      <c r="L69" s="211" t="str">
        <f t="shared" si="9"/>
        <v/>
      </c>
    </row>
    <row r="70" spans="2:12" ht="16.5" thickTop="1" thickBot="1" x14ac:dyDescent="0.3">
      <c r="B70" s="61" t="str">
        <f>IF(C70&lt;&gt;"",INDEX('Employee Details'!$A$7:$A73,MATCH(AttendanceSheet!$C70,'Employee Details'!$B$7:$B79,0)),"")</f>
        <v/>
      </c>
      <c r="C7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'!$J$1:J64))),""))</f>
        <v/>
      </c>
      <c r="D70" s="245" t="str">
        <f>IF(B70&lt;&gt;"",AttendanceSheet!$AL70,"")</f>
        <v/>
      </c>
      <c r="E70" s="246" t="str">
        <f>IF(B70&lt;&gt;"",COUNTIFS('Mark Leave'!$D:$D,"&gt;="&amp;'Leave Credit Sheet'!$F$1,'Mark Leave'!$D:$D,"&lt;="&amp;'Leave Credit Sheet'!$I$1,'Mark Leave'!$B:$B,'Leave Credit Sheet'!$B70,'Mark Leave'!$E:$E,E$6),"")</f>
        <v/>
      </c>
      <c r="F70" s="246" t="str">
        <f>IF(B70&lt;&gt;"",COUNTIFS('Mark Leave'!$D:$D,"&gt;="&amp;'Leave Credit Sheet'!$F$1,'Mark Leave'!$D:$D,"&lt;="&amp;'Leave Credit Sheet'!$I$1,'Mark Leave'!$B:$B,'Leave Credit Sheet'!$B70,'Mark Leave'!$E:$E,F$6),"")</f>
        <v/>
      </c>
      <c r="G70" s="246" t="str">
        <f>IF(B70&lt;&gt;"",COUNTIFS('Mark Leave'!$D:$D,"&gt;="&amp;'Leave Credit Sheet'!$F$1,'Mark Leave'!$D:$D,"&lt;="&amp;'Leave Credit Sheet'!$I$1,'Mark Leave'!$B:$B,'Leave Credit Sheet'!$B70,'Mark Leave'!$E:$E,G$6),"")</f>
        <v/>
      </c>
      <c r="H70" s="246" t="str">
        <f t="shared" si="7"/>
        <v/>
      </c>
      <c r="I70" s="246" t="str">
        <f>IF(B70&lt;&gt;"",VLOOKUP(B70,Summary!C84:E104,3,0),"")</f>
        <v/>
      </c>
      <c r="J70" s="62" t="str">
        <f t="shared" si="8"/>
        <v/>
      </c>
      <c r="K70" s="63" t="str">
        <f t="shared" si="5"/>
        <v/>
      </c>
      <c r="L70" s="211" t="str">
        <f t="shared" si="9"/>
        <v/>
      </c>
    </row>
    <row r="71" spans="2:12" ht="16.5" thickTop="1" thickBot="1" x14ac:dyDescent="0.3">
      <c r="B71" s="61" t="str">
        <f>IF(C71&lt;&gt;"",INDEX('Employee Details'!$A$7:$A74,MATCH(AttendanceSheet!$C71,'Employee Details'!$B$7:$B80,0)),"")</f>
        <v/>
      </c>
      <c r="C71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'!$J$1:J65))),""))</f>
        <v/>
      </c>
      <c r="D71" s="245" t="str">
        <f>IF(B71&lt;&gt;"",AttendanceSheet!$AL71,"")</f>
        <v/>
      </c>
      <c r="E71" s="246" t="str">
        <f>IF(B71&lt;&gt;"",COUNTIFS('Mark Leave'!$D:$D,"&gt;="&amp;'Leave Credit Sheet'!$F$1,'Mark Leave'!$D:$D,"&lt;="&amp;'Leave Credit Sheet'!$I$1,'Mark Leave'!$B:$B,'Leave Credit Sheet'!$B71,'Mark Leave'!$E:$E,E$6),"")</f>
        <v/>
      </c>
      <c r="F71" s="246" t="str">
        <f>IF(B71&lt;&gt;"",COUNTIFS('Mark Leave'!$D:$D,"&gt;="&amp;'Leave Credit Sheet'!$F$1,'Mark Leave'!$D:$D,"&lt;="&amp;'Leave Credit Sheet'!$I$1,'Mark Leave'!$B:$B,'Leave Credit Sheet'!$B71,'Mark Leave'!$E:$E,F$6),"")</f>
        <v/>
      </c>
      <c r="G71" s="246" t="str">
        <f>IF(B71&lt;&gt;"",COUNTIFS('Mark Leave'!$D:$D,"&gt;="&amp;'Leave Credit Sheet'!$F$1,'Mark Leave'!$D:$D,"&lt;="&amp;'Leave Credit Sheet'!$I$1,'Mark Leave'!$B:$B,'Leave Credit Sheet'!$B71,'Mark Leave'!$E:$E,G$6),"")</f>
        <v/>
      </c>
      <c r="H71" s="246" t="str">
        <f t="shared" ref="H71:H100" si="10">IF(B71&lt;&gt;"",($E71+($F71/2)),"")</f>
        <v/>
      </c>
      <c r="I71" s="246" t="str">
        <f>IF(B71&lt;&gt;"",VLOOKUP(B71,Summary!C85:E105,3,0),"")</f>
        <v/>
      </c>
      <c r="J71" s="62" t="str">
        <f t="shared" ref="J71:J100" si="11">IF(B71&lt;&gt;"",$I$3+$G71+$I71,"")</f>
        <v/>
      </c>
      <c r="K71" s="63" t="str">
        <f t="shared" si="5"/>
        <v/>
      </c>
      <c r="L71" s="211" t="str">
        <f t="shared" si="9"/>
        <v/>
      </c>
    </row>
    <row r="72" spans="2:12" ht="16.5" thickTop="1" thickBot="1" x14ac:dyDescent="0.3">
      <c r="B72" s="61" t="str">
        <f>IF(C72&lt;&gt;"",INDEX('Employee Details'!$A$7:$A75,MATCH(AttendanceSheet!$C72,'Employee Details'!$B$7:$B81,0)),"")</f>
        <v/>
      </c>
      <c r="C72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'!$J$1:J66))),""))</f>
        <v/>
      </c>
      <c r="D72" s="245" t="str">
        <f>IF(B72&lt;&gt;"",AttendanceSheet!$AL72,"")</f>
        <v/>
      </c>
      <c r="E72" s="246" t="str">
        <f>IF(B72&lt;&gt;"",COUNTIFS('Mark Leave'!$D:$D,"&gt;="&amp;'Leave Credit Sheet'!$F$1,'Mark Leave'!$D:$D,"&lt;="&amp;'Leave Credit Sheet'!$I$1,'Mark Leave'!$B:$B,'Leave Credit Sheet'!$B72,'Mark Leave'!$E:$E,E$6),"")</f>
        <v/>
      </c>
      <c r="F72" s="246" t="str">
        <f>IF(B72&lt;&gt;"",COUNTIFS('Mark Leave'!$D:$D,"&gt;="&amp;'Leave Credit Sheet'!$F$1,'Mark Leave'!$D:$D,"&lt;="&amp;'Leave Credit Sheet'!$I$1,'Mark Leave'!$B:$B,'Leave Credit Sheet'!$B72,'Mark Leave'!$E:$E,F$6),"")</f>
        <v/>
      </c>
      <c r="G72" s="246" t="str">
        <f>IF(B72&lt;&gt;"",COUNTIFS('Mark Leave'!$D:$D,"&gt;="&amp;'Leave Credit Sheet'!$F$1,'Mark Leave'!$D:$D,"&lt;="&amp;'Leave Credit Sheet'!$I$1,'Mark Leave'!$B:$B,'Leave Credit Sheet'!$B72,'Mark Leave'!$E:$E,G$6),"")</f>
        <v/>
      </c>
      <c r="H72" s="246" t="str">
        <f t="shared" si="10"/>
        <v/>
      </c>
      <c r="I72" s="246" t="str">
        <f>IF(B72&lt;&gt;"",VLOOKUP(B72,Summary!C86:E106,3,0),"")</f>
        <v/>
      </c>
      <c r="J72" s="62" t="str">
        <f t="shared" si="11"/>
        <v/>
      </c>
      <c r="K72" s="63" t="str">
        <f t="shared" ref="K72:K100" si="12">IF(B72&lt;&gt;"",IF(H72&lt;=J72,0,D72-J72),"")</f>
        <v/>
      </c>
      <c r="L72" s="211" t="str">
        <f t="shared" si="9"/>
        <v/>
      </c>
    </row>
    <row r="73" spans="2:12" ht="16.5" thickTop="1" thickBot="1" x14ac:dyDescent="0.3">
      <c r="B73" s="61" t="str">
        <f>IF(C73&lt;&gt;"",INDEX('Employee Details'!$A$7:$A76,MATCH(AttendanceSheet!$C73,'Employee Details'!$B$7:$B82,0)),"")</f>
        <v/>
      </c>
      <c r="C73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'!$J$1:J67))),""))</f>
        <v/>
      </c>
      <c r="D73" s="245" t="str">
        <f>IF(B73&lt;&gt;"",AttendanceSheet!$AL73,"")</f>
        <v/>
      </c>
      <c r="E73" s="246" t="str">
        <f>IF(B73&lt;&gt;"",COUNTIFS('Mark Leave'!$D:$D,"&gt;="&amp;'Leave Credit Sheet'!$F$1,'Mark Leave'!$D:$D,"&lt;="&amp;'Leave Credit Sheet'!$I$1,'Mark Leave'!$B:$B,'Leave Credit Sheet'!$B73,'Mark Leave'!$E:$E,E$6),"")</f>
        <v/>
      </c>
      <c r="F73" s="246" t="str">
        <f>IF(B73&lt;&gt;"",COUNTIFS('Mark Leave'!$D:$D,"&gt;="&amp;'Leave Credit Sheet'!$F$1,'Mark Leave'!$D:$D,"&lt;="&amp;'Leave Credit Sheet'!$I$1,'Mark Leave'!$B:$B,'Leave Credit Sheet'!$B73,'Mark Leave'!$E:$E,F$6),"")</f>
        <v/>
      </c>
      <c r="G73" s="246" t="str">
        <f>IF(B73&lt;&gt;"",COUNTIFS('Mark Leave'!$D:$D,"&gt;="&amp;'Leave Credit Sheet'!$F$1,'Mark Leave'!$D:$D,"&lt;="&amp;'Leave Credit Sheet'!$I$1,'Mark Leave'!$B:$B,'Leave Credit Sheet'!$B73,'Mark Leave'!$E:$E,G$6),"")</f>
        <v/>
      </c>
      <c r="H73" s="246" t="str">
        <f t="shared" si="10"/>
        <v/>
      </c>
      <c r="I73" s="246" t="str">
        <f>IF(B73&lt;&gt;"",VLOOKUP(B73,Summary!C87:E107,3,0),"")</f>
        <v/>
      </c>
      <c r="J73" s="62" t="str">
        <f t="shared" si="11"/>
        <v/>
      </c>
      <c r="K73" s="63" t="str">
        <f t="shared" si="12"/>
        <v/>
      </c>
      <c r="L73" s="211" t="str">
        <f t="shared" si="9"/>
        <v/>
      </c>
    </row>
    <row r="74" spans="2:12" ht="16.5" thickTop="1" thickBot="1" x14ac:dyDescent="0.3">
      <c r="B74" s="61" t="str">
        <f>IF(C74&lt;&gt;"",INDEX('Employee Details'!$A$7:$A77,MATCH(AttendanceSheet!$C74,'Employee Details'!$B$7:$B83,0)),"")</f>
        <v/>
      </c>
      <c r="C74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'!$J$1:J68))),""))</f>
        <v/>
      </c>
      <c r="D74" s="245" t="str">
        <f>IF(B74&lt;&gt;"",AttendanceSheet!$AL74,"")</f>
        <v/>
      </c>
      <c r="E74" s="246" t="str">
        <f>IF(B74&lt;&gt;"",COUNTIFS('Mark Leave'!$D:$D,"&gt;="&amp;'Leave Credit Sheet'!$F$1,'Mark Leave'!$D:$D,"&lt;="&amp;'Leave Credit Sheet'!$I$1,'Mark Leave'!$B:$B,'Leave Credit Sheet'!$B74,'Mark Leave'!$E:$E,E$6),"")</f>
        <v/>
      </c>
      <c r="F74" s="246" t="str">
        <f>IF(B74&lt;&gt;"",COUNTIFS('Mark Leave'!$D:$D,"&gt;="&amp;'Leave Credit Sheet'!$F$1,'Mark Leave'!$D:$D,"&lt;="&amp;'Leave Credit Sheet'!$I$1,'Mark Leave'!$B:$B,'Leave Credit Sheet'!$B74,'Mark Leave'!$E:$E,F$6),"")</f>
        <v/>
      </c>
      <c r="G74" s="246" t="str">
        <f>IF(B74&lt;&gt;"",COUNTIFS('Mark Leave'!$D:$D,"&gt;="&amp;'Leave Credit Sheet'!$F$1,'Mark Leave'!$D:$D,"&lt;="&amp;'Leave Credit Sheet'!$I$1,'Mark Leave'!$B:$B,'Leave Credit Sheet'!$B74,'Mark Leave'!$E:$E,G$6),"")</f>
        <v/>
      </c>
      <c r="H74" s="246" t="str">
        <f t="shared" si="10"/>
        <v/>
      </c>
      <c r="I74" s="246" t="str">
        <f>IF(B74&lt;&gt;"",VLOOKUP(B74,Summary!C88:E108,3,0),"")</f>
        <v/>
      </c>
      <c r="J74" s="62" t="str">
        <f t="shared" si="11"/>
        <v/>
      </c>
      <c r="K74" s="63" t="str">
        <f t="shared" si="12"/>
        <v/>
      </c>
      <c r="L74" s="211" t="str">
        <f t="shared" si="9"/>
        <v/>
      </c>
    </row>
    <row r="75" spans="2:12" ht="16.5" thickTop="1" thickBot="1" x14ac:dyDescent="0.3">
      <c r="B75" s="61" t="str">
        <f>IF(C75&lt;&gt;"",INDEX('Employee Details'!$A$7:$A78,MATCH(AttendanceSheet!$C75,'Employee Details'!$B$7:$B84,0)),"")</f>
        <v/>
      </c>
      <c r="C75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'!$J$1:J69))),""))</f>
        <v/>
      </c>
      <c r="D75" s="245" t="str">
        <f>IF(B75&lt;&gt;"",AttendanceSheet!$AL75,"")</f>
        <v/>
      </c>
      <c r="E75" s="246" t="str">
        <f>IF(B75&lt;&gt;"",COUNTIFS('Mark Leave'!$D:$D,"&gt;="&amp;'Leave Credit Sheet'!$F$1,'Mark Leave'!$D:$D,"&lt;="&amp;'Leave Credit Sheet'!$I$1,'Mark Leave'!$B:$B,'Leave Credit Sheet'!$B75,'Mark Leave'!$E:$E,E$6),"")</f>
        <v/>
      </c>
      <c r="F75" s="246" t="str">
        <f>IF(B75&lt;&gt;"",COUNTIFS('Mark Leave'!$D:$D,"&gt;="&amp;'Leave Credit Sheet'!$F$1,'Mark Leave'!$D:$D,"&lt;="&amp;'Leave Credit Sheet'!$I$1,'Mark Leave'!$B:$B,'Leave Credit Sheet'!$B75,'Mark Leave'!$E:$E,F$6),"")</f>
        <v/>
      </c>
      <c r="G75" s="246" t="str">
        <f>IF(B75&lt;&gt;"",COUNTIFS('Mark Leave'!$D:$D,"&gt;="&amp;'Leave Credit Sheet'!$F$1,'Mark Leave'!$D:$D,"&lt;="&amp;'Leave Credit Sheet'!$I$1,'Mark Leave'!$B:$B,'Leave Credit Sheet'!$B75,'Mark Leave'!$E:$E,G$6),"")</f>
        <v/>
      </c>
      <c r="H75" s="246" t="str">
        <f t="shared" si="10"/>
        <v/>
      </c>
      <c r="I75" s="246" t="str">
        <f>IF(B75&lt;&gt;"",VLOOKUP(B75,Summary!C89:E109,3,0),"")</f>
        <v/>
      </c>
      <c r="J75" s="62" t="str">
        <f t="shared" si="11"/>
        <v/>
      </c>
      <c r="K75" s="63" t="str">
        <f t="shared" si="12"/>
        <v/>
      </c>
      <c r="L75" s="211" t="str">
        <f t="shared" si="9"/>
        <v/>
      </c>
    </row>
    <row r="76" spans="2:12" ht="16.5" thickTop="1" thickBot="1" x14ac:dyDescent="0.3">
      <c r="B76" s="61" t="str">
        <f>IF(C76&lt;&gt;"",INDEX('Employee Details'!$A$7:$A79,MATCH(AttendanceSheet!$C76,'Employee Details'!$B$7:$B85,0)),"")</f>
        <v/>
      </c>
      <c r="C76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'!$J$1:J70))),""))</f>
        <v/>
      </c>
      <c r="D76" s="245" t="str">
        <f>IF(B76&lt;&gt;"",AttendanceSheet!$AL76,"")</f>
        <v/>
      </c>
      <c r="E76" s="246" t="str">
        <f>IF(B76&lt;&gt;"",COUNTIFS('Mark Leave'!$D:$D,"&gt;="&amp;'Leave Credit Sheet'!$F$1,'Mark Leave'!$D:$D,"&lt;="&amp;'Leave Credit Sheet'!$I$1,'Mark Leave'!$B:$B,'Leave Credit Sheet'!$B76,'Mark Leave'!$E:$E,E$6),"")</f>
        <v/>
      </c>
      <c r="F76" s="246" t="str">
        <f>IF(B76&lt;&gt;"",COUNTIFS('Mark Leave'!$D:$D,"&gt;="&amp;'Leave Credit Sheet'!$F$1,'Mark Leave'!$D:$D,"&lt;="&amp;'Leave Credit Sheet'!$I$1,'Mark Leave'!$B:$B,'Leave Credit Sheet'!$B76,'Mark Leave'!$E:$E,F$6),"")</f>
        <v/>
      </c>
      <c r="G76" s="246" t="str">
        <f>IF(B76&lt;&gt;"",COUNTIFS('Mark Leave'!$D:$D,"&gt;="&amp;'Leave Credit Sheet'!$F$1,'Mark Leave'!$D:$D,"&lt;="&amp;'Leave Credit Sheet'!$I$1,'Mark Leave'!$B:$B,'Leave Credit Sheet'!$B76,'Mark Leave'!$E:$E,G$6),"")</f>
        <v/>
      </c>
      <c r="H76" s="246" t="str">
        <f t="shared" si="10"/>
        <v/>
      </c>
      <c r="I76" s="246" t="str">
        <f>IF(B76&lt;&gt;"",VLOOKUP(B76,Summary!C90:E110,3,0),"")</f>
        <v/>
      </c>
      <c r="J76" s="62" t="str">
        <f t="shared" si="11"/>
        <v/>
      </c>
      <c r="K76" s="63" t="str">
        <f t="shared" si="12"/>
        <v/>
      </c>
      <c r="L76" s="211" t="str">
        <f t="shared" si="9"/>
        <v/>
      </c>
    </row>
    <row r="77" spans="2:12" ht="16.5" thickTop="1" thickBot="1" x14ac:dyDescent="0.3">
      <c r="B77" s="61" t="str">
        <f>IF(C77&lt;&gt;"",INDEX('Employee Details'!$A$7:$A80,MATCH(AttendanceSheet!$C77,'Employee Details'!$B$7:$B86,0)),"")</f>
        <v/>
      </c>
      <c r="C7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'!$J$1:J71))),""))</f>
        <v/>
      </c>
      <c r="D77" s="245" t="str">
        <f>IF(B77&lt;&gt;"",AttendanceSheet!$AL77,"")</f>
        <v/>
      </c>
      <c r="E77" s="246" t="str">
        <f>IF(B77&lt;&gt;"",COUNTIFS('Mark Leave'!$D:$D,"&gt;="&amp;'Leave Credit Sheet'!$F$1,'Mark Leave'!$D:$D,"&lt;="&amp;'Leave Credit Sheet'!$I$1,'Mark Leave'!$B:$B,'Leave Credit Sheet'!$B77,'Mark Leave'!$E:$E,E$6),"")</f>
        <v/>
      </c>
      <c r="F77" s="246" t="str">
        <f>IF(B77&lt;&gt;"",COUNTIFS('Mark Leave'!$D:$D,"&gt;="&amp;'Leave Credit Sheet'!$F$1,'Mark Leave'!$D:$D,"&lt;="&amp;'Leave Credit Sheet'!$I$1,'Mark Leave'!$B:$B,'Leave Credit Sheet'!$B77,'Mark Leave'!$E:$E,F$6),"")</f>
        <v/>
      </c>
      <c r="G77" s="246" t="str">
        <f>IF(B77&lt;&gt;"",COUNTIFS('Mark Leave'!$D:$D,"&gt;="&amp;'Leave Credit Sheet'!$F$1,'Mark Leave'!$D:$D,"&lt;="&amp;'Leave Credit Sheet'!$I$1,'Mark Leave'!$B:$B,'Leave Credit Sheet'!$B77,'Mark Leave'!$E:$E,G$6),"")</f>
        <v/>
      </c>
      <c r="H77" s="246" t="str">
        <f t="shared" si="10"/>
        <v/>
      </c>
      <c r="I77" s="246" t="str">
        <f>IF(B77&lt;&gt;"",VLOOKUP(B77,Summary!C91:E111,3,0),"")</f>
        <v/>
      </c>
      <c r="J77" s="62" t="str">
        <f t="shared" si="11"/>
        <v/>
      </c>
      <c r="K77" s="63" t="str">
        <f t="shared" si="12"/>
        <v/>
      </c>
      <c r="L77" s="211" t="str">
        <f t="shared" si="9"/>
        <v/>
      </c>
    </row>
    <row r="78" spans="2:12" ht="16.5" thickTop="1" thickBot="1" x14ac:dyDescent="0.3">
      <c r="B78" s="61" t="str">
        <f>IF(C78&lt;&gt;"",INDEX('Employee Details'!$A$7:$A81,MATCH(AttendanceSheet!$C78,'Employee Details'!$B$7:$B87,0)),"")</f>
        <v/>
      </c>
      <c r="C7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'!$J$1:J72))),""))</f>
        <v/>
      </c>
      <c r="D78" s="245" t="str">
        <f>IF(B78&lt;&gt;"",AttendanceSheet!$AL78,"")</f>
        <v/>
      </c>
      <c r="E78" s="246" t="str">
        <f>IF(B78&lt;&gt;"",COUNTIFS('Mark Leave'!$D:$D,"&gt;="&amp;'Leave Credit Sheet'!$F$1,'Mark Leave'!$D:$D,"&lt;="&amp;'Leave Credit Sheet'!$I$1,'Mark Leave'!$B:$B,'Leave Credit Sheet'!$B78,'Mark Leave'!$E:$E,E$6),"")</f>
        <v/>
      </c>
      <c r="F78" s="246" t="str">
        <f>IF(B78&lt;&gt;"",COUNTIFS('Mark Leave'!$D:$D,"&gt;="&amp;'Leave Credit Sheet'!$F$1,'Mark Leave'!$D:$D,"&lt;="&amp;'Leave Credit Sheet'!$I$1,'Mark Leave'!$B:$B,'Leave Credit Sheet'!$B78,'Mark Leave'!$E:$E,F$6),"")</f>
        <v/>
      </c>
      <c r="G78" s="246" t="str">
        <f>IF(B78&lt;&gt;"",COUNTIFS('Mark Leave'!$D:$D,"&gt;="&amp;'Leave Credit Sheet'!$F$1,'Mark Leave'!$D:$D,"&lt;="&amp;'Leave Credit Sheet'!$I$1,'Mark Leave'!$B:$B,'Leave Credit Sheet'!$B78,'Mark Leave'!$E:$E,G$6),"")</f>
        <v/>
      </c>
      <c r="H78" s="246" t="str">
        <f t="shared" si="10"/>
        <v/>
      </c>
      <c r="I78" s="246" t="str">
        <f>IF(B78&lt;&gt;"",VLOOKUP(B78,Summary!C92:E112,3,0),"")</f>
        <v/>
      </c>
      <c r="J78" s="62" t="str">
        <f t="shared" si="11"/>
        <v/>
      </c>
      <c r="K78" s="63" t="str">
        <f t="shared" si="12"/>
        <v/>
      </c>
      <c r="L78" s="211" t="str">
        <f t="shared" ref="L78:L100" si="13">IF(B78&lt;&gt;"",IF(K78="",J78-H78,""),"")</f>
        <v/>
      </c>
    </row>
    <row r="79" spans="2:12" ht="16.5" thickTop="1" thickBot="1" x14ac:dyDescent="0.3">
      <c r="B79" s="61" t="str">
        <f>IF(C79&lt;&gt;"",INDEX('Employee Details'!$A$7:$A82,MATCH(AttendanceSheet!$C79,'Employee Details'!$B$7:$B88,0)),"")</f>
        <v/>
      </c>
      <c r="C7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'!$J$1:J73))),""))</f>
        <v/>
      </c>
      <c r="D79" s="245" t="str">
        <f>IF(B79&lt;&gt;"",AttendanceSheet!$AL79,"")</f>
        <v/>
      </c>
      <c r="E79" s="246" t="str">
        <f>IF(B79&lt;&gt;"",COUNTIFS('Mark Leave'!$D:$D,"&gt;="&amp;'Leave Credit Sheet'!$F$1,'Mark Leave'!$D:$D,"&lt;="&amp;'Leave Credit Sheet'!$I$1,'Mark Leave'!$B:$B,'Leave Credit Sheet'!$B79,'Mark Leave'!$E:$E,E$6),"")</f>
        <v/>
      </c>
      <c r="F79" s="246" t="str">
        <f>IF(B79&lt;&gt;"",COUNTIFS('Mark Leave'!$D:$D,"&gt;="&amp;'Leave Credit Sheet'!$F$1,'Mark Leave'!$D:$D,"&lt;="&amp;'Leave Credit Sheet'!$I$1,'Mark Leave'!$B:$B,'Leave Credit Sheet'!$B79,'Mark Leave'!$E:$E,F$6),"")</f>
        <v/>
      </c>
      <c r="G79" s="246" t="str">
        <f>IF(B79&lt;&gt;"",COUNTIFS('Mark Leave'!$D:$D,"&gt;="&amp;'Leave Credit Sheet'!$F$1,'Mark Leave'!$D:$D,"&lt;="&amp;'Leave Credit Sheet'!$I$1,'Mark Leave'!$B:$B,'Leave Credit Sheet'!$B79,'Mark Leave'!$E:$E,G$6),"")</f>
        <v/>
      </c>
      <c r="H79" s="246" t="str">
        <f t="shared" si="10"/>
        <v/>
      </c>
      <c r="I79" s="246" t="str">
        <f>IF(B79&lt;&gt;"",VLOOKUP(B79,Summary!C93:E113,3,0),"")</f>
        <v/>
      </c>
      <c r="J79" s="62" t="str">
        <f t="shared" si="11"/>
        <v/>
      </c>
      <c r="K79" s="63" t="str">
        <f t="shared" si="12"/>
        <v/>
      </c>
      <c r="L79" s="211" t="str">
        <f t="shared" si="13"/>
        <v/>
      </c>
    </row>
    <row r="80" spans="2:12" ht="16.5" thickTop="1" thickBot="1" x14ac:dyDescent="0.3">
      <c r="B80" s="61" t="str">
        <f>IF(C80&lt;&gt;"",INDEX('Employee Details'!$A$7:$A83,MATCH(AttendanceSheet!$C80,'Employee Details'!$B$7:$B89,0)),"")</f>
        <v/>
      </c>
      <c r="C8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'!$J$1:J74))),""))</f>
        <v/>
      </c>
      <c r="D80" s="245" t="str">
        <f>IF(B80&lt;&gt;"",AttendanceSheet!$AL80,"")</f>
        <v/>
      </c>
      <c r="E80" s="246" t="str">
        <f>IF(B80&lt;&gt;"",COUNTIFS('Mark Leave'!$D:$D,"&gt;="&amp;'Leave Credit Sheet'!$F$1,'Mark Leave'!$D:$D,"&lt;="&amp;'Leave Credit Sheet'!$I$1,'Mark Leave'!$B:$B,'Leave Credit Sheet'!$B80,'Mark Leave'!$E:$E,E$6),"")</f>
        <v/>
      </c>
      <c r="F80" s="246" t="str">
        <f>IF(B80&lt;&gt;"",COUNTIFS('Mark Leave'!$D:$D,"&gt;="&amp;'Leave Credit Sheet'!$F$1,'Mark Leave'!$D:$D,"&lt;="&amp;'Leave Credit Sheet'!$I$1,'Mark Leave'!$B:$B,'Leave Credit Sheet'!$B80,'Mark Leave'!$E:$E,F$6),"")</f>
        <v/>
      </c>
      <c r="G80" s="246" t="str">
        <f>IF(B80&lt;&gt;"",COUNTIFS('Mark Leave'!$D:$D,"&gt;="&amp;'Leave Credit Sheet'!$F$1,'Mark Leave'!$D:$D,"&lt;="&amp;'Leave Credit Sheet'!$I$1,'Mark Leave'!$B:$B,'Leave Credit Sheet'!$B80,'Mark Leave'!$E:$E,G$6),"")</f>
        <v/>
      </c>
      <c r="H80" s="246" t="str">
        <f t="shared" si="10"/>
        <v/>
      </c>
      <c r="I80" s="246" t="str">
        <f>IF(B80&lt;&gt;"",VLOOKUP(B80,Summary!C94:E114,3,0),"")</f>
        <v/>
      </c>
      <c r="J80" s="62" t="str">
        <f t="shared" si="11"/>
        <v/>
      </c>
      <c r="K80" s="63" t="str">
        <f t="shared" si="12"/>
        <v/>
      </c>
      <c r="L80" s="211" t="str">
        <f t="shared" si="13"/>
        <v/>
      </c>
    </row>
    <row r="81" spans="2:12" ht="16.5" thickTop="1" thickBot="1" x14ac:dyDescent="0.3">
      <c r="B81" s="61" t="str">
        <f>IF(C81&lt;&gt;"",INDEX('Employee Details'!$A$7:$A84,MATCH(AttendanceSheet!$C81,'Employee Details'!$B$7:$B90,0)),"")</f>
        <v/>
      </c>
      <c r="C81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'!$J$1:J75))),""))</f>
        <v/>
      </c>
      <c r="D81" s="245" t="str">
        <f>IF(B81&lt;&gt;"",AttendanceSheet!$AL81,"")</f>
        <v/>
      </c>
      <c r="E81" s="246" t="str">
        <f>IF(B81&lt;&gt;"",COUNTIFS('Mark Leave'!$D:$D,"&gt;="&amp;'Leave Credit Sheet'!$F$1,'Mark Leave'!$D:$D,"&lt;="&amp;'Leave Credit Sheet'!$I$1,'Mark Leave'!$B:$B,'Leave Credit Sheet'!$B81,'Mark Leave'!$E:$E,E$6),"")</f>
        <v/>
      </c>
      <c r="F81" s="246" t="str">
        <f>IF(B81&lt;&gt;"",COUNTIFS('Mark Leave'!$D:$D,"&gt;="&amp;'Leave Credit Sheet'!$F$1,'Mark Leave'!$D:$D,"&lt;="&amp;'Leave Credit Sheet'!$I$1,'Mark Leave'!$B:$B,'Leave Credit Sheet'!$B81,'Mark Leave'!$E:$E,F$6),"")</f>
        <v/>
      </c>
      <c r="G81" s="246" t="str">
        <f>IF(B81&lt;&gt;"",COUNTIFS('Mark Leave'!$D:$D,"&gt;="&amp;'Leave Credit Sheet'!$F$1,'Mark Leave'!$D:$D,"&lt;="&amp;'Leave Credit Sheet'!$I$1,'Mark Leave'!$B:$B,'Leave Credit Sheet'!$B81,'Mark Leave'!$E:$E,G$6),"")</f>
        <v/>
      </c>
      <c r="H81" s="246" t="str">
        <f t="shared" si="10"/>
        <v/>
      </c>
      <c r="I81" s="246" t="str">
        <f>IF(B81&lt;&gt;"",VLOOKUP(B81,Summary!C95:E115,3,0),"")</f>
        <v/>
      </c>
      <c r="J81" s="62" t="str">
        <f t="shared" si="11"/>
        <v/>
      </c>
      <c r="K81" s="63" t="str">
        <f t="shared" si="12"/>
        <v/>
      </c>
      <c r="L81" s="211" t="str">
        <f t="shared" si="13"/>
        <v/>
      </c>
    </row>
    <row r="82" spans="2:12" ht="16.5" thickTop="1" thickBot="1" x14ac:dyDescent="0.3">
      <c r="B82" s="61" t="str">
        <f>IF(C82&lt;&gt;"",INDEX('Employee Details'!$A$7:$A85,MATCH(AttendanceSheet!$C82,'Employee Details'!$B$7:$B91,0)),"")</f>
        <v/>
      </c>
      <c r="C82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'!$J$1:J76))),""))</f>
        <v/>
      </c>
      <c r="D82" s="245" t="str">
        <f>IF(B82&lt;&gt;"",AttendanceSheet!$AL82,"")</f>
        <v/>
      </c>
      <c r="E82" s="246" t="str">
        <f>IF(B82&lt;&gt;"",COUNTIFS('Mark Leave'!$D:$D,"&gt;="&amp;'Leave Credit Sheet'!$F$1,'Mark Leave'!$D:$D,"&lt;="&amp;'Leave Credit Sheet'!$I$1,'Mark Leave'!$B:$B,'Leave Credit Sheet'!$B82,'Mark Leave'!$E:$E,E$6),"")</f>
        <v/>
      </c>
      <c r="F82" s="246" t="str">
        <f>IF(B82&lt;&gt;"",COUNTIFS('Mark Leave'!$D:$D,"&gt;="&amp;'Leave Credit Sheet'!$F$1,'Mark Leave'!$D:$D,"&lt;="&amp;'Leave Credit Sheet'!$I$1,'Mark Leave'!$B:$B,'Leave Credit Sheet'!$B82,'Mark Leave'!$E:$E,F$6),"")</f>
        <v/>
      </c>
      <c r="G82" s="246" t="str">
        <f>IF(B82&lt;&gt;"",COUNTIFS('Mark Leave'!$D:$D,"&gt;="&amp;'Leave Credit Sheet'!$F$1,'Mark Leave'!$D:$D,"&lt;="&amp;'Leave Credit Sheet'!$I$1,'Mark Leave'!$B:$B,'Leave Credit Sheet'!$B82,'Mark Leave'!$E:$E,G$6),"")</f>
        <v/>
      </c>
      <c r="H82" s="246" t="str">
        <f t="shared" si="10"/>
        <v/>
      </c>
      <c r="I82" s="246" t="str">
        <f>IF(B82&lt;&gt;"",VLOOKUP(B82,Summary!C96:E116,3,0),"")</f>
        <v/>
      </c>
      <c r="J82" s="62" t="str">
        <f t="shared" si="11"/>
        <v/>
      </c>
      <c r="K82" s="63" t="str">
        <f t="shared" si="12"/>
        <v/>
      </c>
      <c r="L82" s="211" t="str">
        <f t="shared" si="13"/>
        <v/>
      </c>
    </row>
    <row r="83" spans="2:12" ht="16.5" thickTop="1" thickBot="1" x14ac:dyDescent="0.3">
      <c r="B83" s="61" t="str">
        <f>IF(C83&lt;&gt;"",INDEX('Employee Details'!$A$7:$A86,MATCH(AttendanceSheet!$C83,'Employee Details'!$B$7:$B92,0)),"")</f>
        <v/>
      </c>
      <c r="C83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'!$J$1:J77))),""))</f>
        <v/>
      </c>
      <c r="D83" s="245" t="str">
        <f>IF(B83&lt;&gt;"",AttendanceSheet!$AL83,"")</f>
        <v/>
      </c>
      <c r="E83" s="246" t="str">
        <f>IF(B83&lt;&gt;"",COUNTIFS('Mark Leave'!$D:$D,"&gt;="&amp;'Leave Credit Sheet'!$F$1,'Mark Leave'!$D:$D,"&lt;="&amp;'Leave Credit Sheet'!$I$1,'Mark Leave'!$B:$B,'Leave Credit Sheet'!$B83,'Mark Leave'!$E:$E,E$6),"")</f>
        <v/>
      </c>
      <c r="F83" s="246" t="str">
        <f>IF(B83&lt;&gt;"",COUNTIFS('Mark Leave'!$D:$D,"&gt;="&amp;'Leave Credit Sheet'!$F$1,'Mark Leave'!$D:$D,"&lt;="&amp;'Leave Credit Sheet'!$I$1,'Mark Leave'!$B:$B,'Leave Credit Sheet'!$B83,'Mark Leave'!$E:$E,F$6),"")</f>
        <v/>
      </c>
      <c r="G83" s="246" t="str">
        <f>IF(B83&lt;&gt;"",COUNTIFS('Mark Leave'!$D:$D,"&gt;="&amp;'Leave Credit Sheet'!$F$1,'Mark Leave'!$D:$D,"&lt;="&amp;'Leave Credit Sheet'!$I$1,'Mark Leave'!$B:$B,'Leave Credit Sheet'!$B83,'Mark Leave'!$E:$E,G$6),"")</f>
        <v/>
      </c>
      <c r="H83" s="246" t="str">
        <f t="shared" si="10"/>
        <v/>
      </c>
      <c r="I83" s="246" t="str">
        <f>IF(B83&lt;&gt;"",VLOOKUP(B83,Summary!C97:E117,3,0),"")</f>
        <v/>
      </c>
      <c r="J83" s="62" t="str">
        <f t="shared" si="11"/>
        <v/>
      </c>
      <c r="K83" s="63" t="str">
        <f t="shared" si="12"/>
        <v/>
      </c>
      <c r="L83" s="211" t="str">
        <f t="shared" si="13"/>
        <v/>
      </c>
    </row>
    <row r="84" spans="2:12" ht="16.5" thickTop="1" thickBot="1" x14ac:dyDescent="0.3">
      <c r="B84" s="61" t="str">
        <f>IF(C84&lt;&gt;"",INDEX('Employee Details'!$A$7:$A87,MATCH(AttendanceSheet!$C84,'Employee Details'!$B$7:$B93,0)),"")</f>
        <v/>
      </c>
      <c r="C84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'!$J$1:J78))),""))</f>
        <v/>
      </c>
      <c r="D84" s="245" t="str">
        <f>IF(B84&lt;&gt;"",AttendanceSheet!$AL84,"")</f>
        <v/>
      </c>
      <c r="E84" s="246" t="str">
        <f>IF(B84&lt;&gt;"",COUNTIFS('Mark Leave'!$D:$D,"&gt;="&amp;'Leave Credit Sheet'!$F$1,'Mark Leave'!$D:$D,"&lt;="&amp;'Leave Credit Sheet'!$I$1,'Mark Leave'!$B:$B,'Leave Credit Sheet'!$B84,'Mark Leave'!$E:$E,E$6),"")</f>
        <v/>
      </c>
      <c r="F84" s="246" t="str">
        <f>IF(B84&lt;&gt;"",COUNTIFS('Mark Leave'!$D:$D,"&gt;="&amp;'Leave Credit Sheet'!$F$1,'Mark Leave'!$D:$D,"&lt;="&amp;'Leave Credit Sheet'!$I$1,'Mark Leave'!$B:$B,'Leave Credit Sheet'!$B84,'Mark Leave'!$E:$E,F$6),"")</f>
        <v/>
      </c>
      <c r="G84" s="246" t="str">
        <f>IF(B84&lt;&gt;"",COUNTIFS('Mark Leave'!$D:$D,"&gt;="&amp;'Leave Credit Sheet'!$F$1,'Mark Leave'!$D:$D,"&lt;="&amp;'Leave Credit Sheet'!$I$1,'Mark Leave'!$B:$B,'Leave Credit Sheet'!$B84,'Mark Leave'!$E:$E,G$6),"")</f>
        <v/>
      </c>
      <c r="H84" s="246" t="str">
        <f t="shared" si="10"/>
        <v/>
      </c>
      <c r="I84" s="246" t="str">
        <f>IF(B84&lt;&gt;"",VLOOKUP(B84,Summary!C98:E118,3,0),"")</f>
        <v/>
      </c>
      <c r="J84" s="62" t="str">
        <f t="shared" si="11"/>
        <v/>
      </c>
      <c r="K84" s="63" t="str">
        <f t="shared" si="12"/>
        <v/>
      </c>
      <c r="L84" s="211" t="str">
        <f t="shared" si="13"/>
        <v/>
      </c>
    </row>
    <row r="85" spans="2:12" ht="16.5" thickTop="1" thickBot="1" x14ac:dyDescent="0.3">
      <c r="B85" s="61" t="str">
        <f>IF(C85&lt;&gt;"",INDEX('Employee Details'!$A$7:$A88,MATCH(AttendanceSheet!$C85,'Employee Details'!$B$7:$B94,0)),"")</f>
        <v/>
      </c>
      <c r="C85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'!$J$1:J79))),""))</f>
        <v/>
      </c>
      <c r="D85" s="245" t="str">
        <f>IF(B85&lt;&gt;"",AttendanceSheet!$AL85,"")</f>
        <v/>
      </c>
      <c r="E85" s="246" t="str">
        <f>IF(B85&lt;&gt;"",COUNTIFS('Mark Leave'!$D:$D,"&gt;="&amp;'Leave Credit Sheet'!$F$1,'Mark Leave'!$D:$D,"&lt;="&amp;'Leave Credit Sheet'!$I$1,'Mark Leave'!$B:$B,'Leave Credit Sheet'!$B85,'Mark Leave'!$E:$E,E$6),"")</f>
        <v/>
      </c>
      <c r="F85" s="246" t="str">
        <f>IF(B85&lt;&gt;"",COUNTIFS('Mark Leave'!$D:$D,"&gt;="&amp;'Leave Credit Sheet'!$F$1,'Mark Leave'!$D:$D,"&lt;="&amp;'Leave Credit Sheet'!$I$1,'Mark Leave'!$B:$B,'Leave Credit Sheet'!$B85,'Mark Leave'!$E:$E,F$6),"")</f>
        <v/>
      </c>
      <c r="G85" s="246" t="str">
        <f>IF(B85&lt;&gt;"",COUNTIFS('Mark Leave'!$D:$D,"&gt;="&amp;'Leave Credit Sheet'!$F$1,'Mark Leave'!$D:$D,"&lt;="&amp;'Leave Credit Sheet'!$I$1,'Mark Leave'!$B:$B,'Leave Credit Sheet'!$B85,'Mark Leave'!$E:$E,G$6),"")</f>
        <v/>
      </c>
      <c r="H85" s="246" t="str">
        <f t="shared" si="10"/>
        <v/>
      </c>
      <c r="I85" s="246" t="str">
        <f>IF(B85&lt;&gt;"",VLOOKUP(B85,Summary!C99:E119,3,0),"")</f>
        <v/>
      </c>
      <c r="J85" s="62" t="str">
        <f t="shared" si="11"/>
        <v/>
      </c>
      <c r="K85" s="63" t="str">
        <f t="shared" si="12"/>
        <v/>
      </c>
      <c r="L85" s="211" t="str">
        <f t="shared" si="13"/>
        <v/>
      </c>
    </row>
    <row r="86" spans="2:12" ht="16.5" thickTop="1" thickBot="1" x14ac:dyDescent="0.3">
      <c r="B86" s="61" t="str">
        <f>IF(C86&lt;&gt;"",INDEX('Employee Details'!$A$7:$A89,MATCH(AttendanceSheet!$C86,'Employee Details'!$B$7:$B95,0)),"")</f>
        <v/>
      </c>
      <c r="C86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'!$J$1:J80))),""))</f>
        <v/>
      </c>
      <c r="D86" s="245" t="str">
        <f>IF(B86&lt;&gt;"",AttendanceSheet!$AL86,"")</f>
        <v/>
      </c>
      <c r="E86" s="246" t="str">
        <f>IF(B86&lt;&gt;"",COUNTIFS('Mark Leave'!$D:$D,"&gt;="&amp;'Leave Credit Sheet'!$F$1,'Mark Leave'!$D:$D,"&lt;="&amp;'Leave Credit Sheet'!$I$1,'Mark Leave'!$B:$B,'Leave Credit Sheet'!$B86,'Mark Leave'!$E:$E,E$6),"")</f>
        <v/>
      </c>
      <c r="F86" s="246" t="str">
        <f>IF(B86&lt;&gt;"",COUNTIFS('Mark Leave'!$D:$D,"&gt;="&amp;'Leave Credit Sheet'!$F$1,'Mark Leave'!$D:$D,"&lt;="&amp;'Leave Credit Sheet'!$I$1,'Mark Leave'!$B:$B,'Leave Credit Sheet'!$B86,'Mark Leave'!$E:$E,F$6),"")</f>
        <v/>
      </c>
      <c r="G86" s="246" t="str">
        <f>IF(B86&lt;&gt;"",COUNTIFS('Mark Leave'!$D:$D,"&gt;="&amp;'Leave Credit Sheet'!$F$1,'Mark Leave'!$D:$D,"&lt;="&amp;'Leave Credit Sheet'!$I$1,'Mark Leave'!$B:$B,'Leave Credit Sheet'!$B86,'Mark Leave'!$E:$E,G$6),"")</f>
        <v/>
      </c>
      <c r="H86" s="246" t="str">
        <f t="shared" si="10"/>
        <v/>
      </c>
      <c r="I86" s="246" t="str">
        <f>IF(B86&lt;&gt;"",VLOOKUP(B86,Summary!C100:E120,3,0),"")</f>
        <v/>
      </c>
      <c r="J86" s="62" t="str">
        <f t="shared" si="11"/>
        <v/>
      </c>
      <c r="K86" s="63" t="str">
        <f t="shared" si="12"/>
        <v/>
      </c>
      <c r="L86" s="211" t="str">
        <f t="shared" si="13"/>
        <v/>
      </c>
    </row>
    <row r="87" spans="2:12" ht="16.5" thickTop="1" thickBot="1" x14ac:dyDescent="0.3">
      <c r="B87" s="61" t="str">
        <f>IF(C87&lt;&gt;"",INDEX('Employee Details'!$A$7:$A90,MATCH(AttendanceSheet!$C87,'Employee Details'!$B$7:$B96,0)),"")</f>
        <v/>
      </c>
      <c r="C8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'!$J$1:J81))),""))</f>
        <v/>
      </c>
      <c r="D87" s="245" t="str">
        <f>IF(B87&lt;&gt;"",AttendanceSheet!$AL87,"")</f>
        <v/>
      </c>
      <c r="E87" s="246" t="str">
        <f>IF(B87&lt;&gt;"",COUNTIFS('Mark Leave'!$D:$D,"&gt;="&amp;'Leave Credit Sheet'!$F$1,'Mark Leave'!$D:$D,"&lt;="&amp;'Leave Credit Sheet'!$I$1,'Mark Leave'!$B:$B,'Leave Credit Sheet'!$B87,'Mark Leave'!$E:$E,E$6),"")</f>
        <v/>
      </c>
      <c r="F87" s="246" t="str">
        <f>IF(B87&lt;&gt;"",COUNTIFS('Mark Leave'!$D:$D,"&gt;="&amp;'Leave Credit Sheet'!$F$1,'Mark Leave'!$D:$D,"&lt;="&amp;'Leave Credit Sheet'!$I$1,'Mark Leave'!$B:$B,'Leave Credit Sheet'!$B87,'Mark Leave'!$E:$E,F$6),"")</f>
        <v/>
      </c>
      <c r="G87" s="246" t="str">
        <f>IF(B87&lt;&gt;"",COUNTIFS('Mark Leave'!$D:$D,"&gt;="&amp;'Leave Credit Sheet'!$F$1,'Mark Leave'!$D:$D,"&lt;="&amp;'Leave Credit Sheet'!$I$1,'Mark Leave'!$B:$B,'Leave Credit Sheet'!$B87,'Mark Leave'!$E:$E,G$6),"")</f>
        <v/>
      </c>
      <c r="H87" s="246" t="str">
        <f t="shared" si="10"/>
        <v/>
      </c>
      <c r="I87" s="246" t="str">
        <f>IF(B87&lt;&gt;"",VLOOKUP(B87,Summary!C101:E121,3,0),"")</f>
        <v/>
      </c>
      <c r="J87" s="62" t="str">
        <f t="shared" si="11"/>
        <v/>
      </c>
      <c r="K87" s="63" t="str">
        <f t="shared" si="12"/>
        <v/>
      </c>
      <c r="L87" s="211" t="str">
        <f t="shared" si="13"/>
        <v/>
      </c>
    </row>
    <row r="88" spans="2:12" ht="16.5" thickTop="1" thickBot="1" x14ac:dyDescent="0.3">
      <c r="B88" s="61" t="str">
        <f>IF(C88&lt;&gt;"",INDEX('Employee Details'!$A$7:$A91,MATCH(AttendanceSheet!$C88,'Employee Details'!$B$7:$B97,0)),"")</f>
        <v/>
      </c>
      <c r="C8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'!$J$1:J82))),""))</f>
        <v/>
      </c>
      <c r="D88" s="245" t="str">
        <f>IF(B88&lt;&gt;"",AttendanceSheet!$AL88,"")</f>
        <v/>
      </c>
      <c r="E88" s="246" t="str">
        <f>IF(B88&lt;&gt;"",COUNTIFS('Mark Leave'!$D:$D,"&gt;="&amp;'Leave Credit Sheet'!$F$1,'Mark Leave'!$D:$D,"&lt;="&amp;'Leave Credit Sheet'!$I$1,'Mark Leave'!$B:$B,'Leave Credit Sheet'!$B88,'Mark Leave'!$E:$E,E$6),"")</f>
        <v/>
      </c>
      <c r="F88" s="246" t="str">
        <f>IF(B88&lt;&gt;"",COUNTIFS('Mark Leave'!$D:$D,"&gt;="&amp;'Leave Credit Sheet'!$F$1,'Mark Leave'!$D:$D,"&lt;="&amp;'Leave Credit Sheet'!$I$1,'Mark Leave'!$B:$B,'Leave Credit Sheet'!$B88,'Mark Leave'!$E:$E,F$6),"")</f>
        <v/>
      </c>
      <c r="G88" s="246" t="str">
        <f>IF(B88&lt;&gt;"",COUNTIFS('Mark Leave'!$D:$D,"&gt;="&amp;'Leave Credit Sheet'!$F$1,'Mark Leave'!$D:$D,"&lt;="&amp;'Leave Credit Sheet'!$I$1,'Mark Leave'!$B:$B,'Leave Credit Sheet'!$B88,'Mark Leave'!$E:$E,G$6),"")</f>
        <v/>
      </c>
      <c r="H88" s="246" t="str">
        <f t="shared" si="10"/>
        <v/>
      </c>
      <c r="I88" s="246" t="str">
        <f>IF(B88&lt;&gt;"",VLOOKUP(B88,Summary!C102:E122,3,0),"")</f>
        <v/>
      </c>
      <c r="J88" s="62" t="str">
        <f t="shared" si="11"/>
        <v/>
      </c>
      <c r="K88" s="63" t="str">
        <f t="shared" si="12"/>
        <v/>
      </c>
      <c r="L88" s="211" t="str">
        <f t="shared" si="13"/>
        <v/>
      </c>
    </row>
    <row r="89" spans="2:12" ht="16.5" thickTop="1" thickBot="1" x14ac:dyDescent="0.3">
      <c r="B89" s="61" t="str">
        <f>IF(C89&lt;&gt;"",INDEX('Employee Details'!$A$7:$A92,MATCH(AttendanceSheet!$C89,'Employee Details'!$B$7:$B98,0)),"")</f>
        <v/>
      </c>
      <c r="C8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'!$J$1:J83))),""))</f>
        <v/>
      </c>
      <c r="D89" s="245" t="str">
        <f>IF(B89&lt;&gt;"",AttendanceSheet!$AL89,"")</f>
        <v/>
      </c>
      <c r="E89" s="246" t="str">
        <f>IF(B89&lt;&gt;"",COUNTIFS('Mark Leave'!$D:$D,"&gt;="&amp;'Leave Credit Sheet'!$F$1,'Mark Leave'!$D:$D,"&lt;="&amp;'Leave Credit Sheet'!$I$1,'Mark Leave'!$B:$B,'Leave Credit Sheet'!$B89,'Mark Leave'!$E:$E,E$6),"")</f>
        <v/>
      </c>
      <c r="F89" s="246" t="str">
        <f>IF(B89&lt;&gt;"",COUNTIFS('Mark Leave'!$D:$D,"&gt;="&amp;'Leave Credit Sheet'!$F$1,'Mark Leave'!$D:$D,"&lt;="&amp;'Leave Credit Sheet'!$I$1,'Mark Leave'!$B:$B,'Leave Credit Sheet'!$B89,'Mark Leave'!$E:$E,F$6),"")</f>
        <v/>
      </c>
      <c r="G89" s="246" t="str">
        <f>IF(B89&lt;&gt;"",COUNTIFS('Mark Leave'!$D:$D,"&gt;="&amp;'Leave Credit Sheet'!$F$1,'Mark Leave'!$D:$D,"&lt;="&amp;'Leave Credit Sheet'!$I$1,'Mark Leave'!$B:$B,'Leave Credit Sheet'!$B89,'Mark Leave'!$E:$E,G$6),"")</f>
        <v/>
      </c>
      <c r="H89" s="246" t="str">
        <f t="shared" si="10"/>
        <v/>
      </c>
      <c r="I89" s="246" t="str">
        <f>IF(B89&lt;&gt;"",VLOOKUP(B89,Summary!C103:E123,3,0),"")</f>
        <v/>
      </c>
      <c r="J89" s="62" t="str">
        <f t="shared" si="11"/>
        <v/>
      </c>
      <c r="K89" s="63" t="str">
        <f t="shared" si="12"/>
        <v/>
      </c>
      <c r="L89" s="211" t="str">
        <f t="shared" si="13"/>
        <v/>
      </c>
    </row>
    <row r="90" spans="2:12" ht="16.5" thickTop="1" thickBot="1" x14ac:dyDescent="0.3">
      <c r="B90" s="61" t="str">
        <f>IF(C90&lt;&gt;"",INDEX('Employee Details'!$A$7:$A93,MATCH(AttendanceSheet!$C90,'Employee Details'!$B$7:$B99,0)),"")</f>
        <v/>
      </c>
      <c r="C9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'!$J$1:J84))),""))</f>
        <v/>
      </c>
      <c r="D90" s="245" t="str">
        <f>IF(B90&lt;&gt;"",AttendanceSheet!$AL90,"")</f>
        <v/>
      </c>
      <c r="E90" s="246" t="str">
        <f>IF(B90&lt;&gt;"",COUNTIFS('Mark Leave'!$D:$D,"&gt;="&amp;'Leave Credit Sheet'!$F$1,'Mark Leave'!$D:$D,"&lt;="&amp;'Leave Credit Sheet'!$I$1,'Mark Leave'!$B:$B,'Leave Credit Sheet'!$B90,'Mark Leave'!$E:$E,E$6),"")</f>
        <v/>
      </c>
      <c r="F90" s="246" t="str">
        <f>IF(B90&lt;&gt;"",COUNTIFS('Mark Leave'!$D:$D,"&gt;="&amp;'Leave Credit Sheet'!$F$1,'Mark Leave'!$D:$D,"&lt;="&amp;'Leave Credit Sheet'!$I$1,'Mark Leave'!$B:$B,'Leave Credit Sheet'!$B90,'Mark Leave'!$E:$E,F$6),"")</f>
        <v/>
      </c>
      <c r="G90" s="246" t="str">
        <f>IF(B90&lt;&gt;"",COUNTIFS('Mark Leave'!$D:$D,"&gt;="&amp;'Leave Credit Sheet'!$F$1,'Mark Leave'!$D:$D,"&lt;="&amp;'Leave Credit Sheet'!$I$1,'Mark Leave'!$B:$B,'Leave Credit Sheet'!$B90,'Mark Leave'!$E:$E,G$6),"")</f>
        <v/>
      </c>
      <c r="H90" s="246" t="str">
        <f t="shared" si="10"/>
        <v/>
      </c>
      <c r="I90" s="246" t="str">
        <f>IF(B90&lt;&gt;"",VLOOKUP(B90,Summary!C104:E124,3,0),"")</f>
        <v/>
      </c>
      <c r="J90" s="62" t="str">
        <f t="shared" si="11"/>
        <v/>
      </c>
      <c r="K90" s="63" t="str">
        <f t="shared" si="12"/>
        <v/>
      </c>
      <c r="L90" s="211" t="str">
        <f t="shared" si="13"/>
        <v/>
      </c>
    </row>
    <row r="91" spans="2:12" ht="16.5" thickTop="1" thickBot="1" x14ac:dyDescent="0.3">
      <c r="B91" s="61" t="str">
        <f>IF(C91&lt;&gt;"",INDEX('Employee Details'!$A$7:$A94,MATCH(AttendanceSheet!$C91,'Employee Details'!$B$7:$B100,0)),"")</f>
        <v/>
      </c>
      <c r="C91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'!$J$1:J85))),""))</f>
        <v/>
      </c>
      <c r="D91" s="245" t="str">
        <f>IF(B91&lt;&gt;"",AttendanceSheet!$AL91,"")</f>
        <v/>
      </c>
      <c r="E91" s="246" t="str">
        <f>IF(B91&lt;&gt;"",COUNTIFS('Mark Leave'!$D:$D,"&gt;="&amp;'Leave Credit Sheet'!$F$1,'Mark Leave'!$D:$D,"&lt;="&amp;'Leave Credit Sheet'!$I$1,'Mark Leave'!$B:$B,'Leave Credit Sheet'!$B91,'Mark Leave'!$E:$E,E$6),"")</f>
        <v/>
      </c>
      <c r="F91" s="246" t="str">
        <f>IF(B91&lt;&gt;"",COUNTIFS('Mark Leave'!$D:$D,"&gt;="&amp;'Leave Credit Sheet'!$F$1,'Mark Leave'!$D:$D,"&lt;="&amp;'Leave Credit Sheet'!$I$1,'Mark Leave'!$B:$B,'Leave Credit Sheet'!$B91,'Mark Leave'!$E:$E,F$6),"")</f>
        <v/>
      </c>
      <c r="G91" s="246" t="str">
        <f>IF(B91&lt;&gt;"",COUNTIFS('Mark Leave'!$D:$D,"&gt;="&amp;'Leave Credit Sheet'!$F$1,'Mark Leave'!$D:$D,"&lt;="&amp;'Leave Credit Sheet'!$I$1,'Mark Leave'!$B:$B,'Leave Credit Sheet'!$B91,'Mark Leave'!$E:$E,G$6),"")</f>
        <v/>
      </c>
      <c r="H91" s="246" t="str">
        <f t="shared" si="10"/>
        <v/>
      </c>
      <c r="I91" s="246" t="str">
        <f>IF(B91&lt;&gt;"",VLOOKUP(B91,Summary!C105:E125,3,0),"")</f>
        <v/>
      </c>
      <c r="J91" s="62" t="str">
        <f t="shared" si="11"/>
        <v/>
      </c>
      <c r="K91" s="63" t="str">
        <f t="shared" si="12"/>
        <v/>
      </c>
      <c r="L91" s="211" t="str">
        <f t="shared" si="13"/>
        <v/>
      </c>
    </row>
    <row r="92" spans="2:12" ht="16.5" thickTop="1" thickBot="1" x14ac:dyDescent="0.3">
      <c r="B92" s="61" t="str">
        <f>IF(C92&lt;&gt;"",INDEX('Employee Details'!$A$7:$A95,MATCH(AttendanceSheet!$C92,'Employee Details'!$B$7:$B100,0)),"")</f>
        <v/>
      </c>
      <c r="C92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'!$J$1:J86))),""))</f>
        <v/>
      </c>
      <c r="D92" s="245" t="str">
        <f>IF(B92&lt;&gt;"",AttendanceSheet!$AL92,"")</f>
        <v/>
      </c>
      <c r="E92" s="246" t="str">
        <f>IF(B92&lt;&gt;"",COUNTIFS('Mark Leave'!$D:$D,"&gt;="&amp;'Leave Credit Sheet'!$F$1,'Mark Leave'!$D:$D,"&lt;="&amp;'Leave Credit Sheet'!$I$1,'Mark Leave'!$B:$B,'Leave Credit Sheet'!$B92,'Mark Leave'!$E:$E,E$6),"")</f>
        <v/>
      </c>
      <c r="F92" s="246" t="str">
        <f>IF(B92&lt;&gt;"",COUNTIFS('Mark Leave'!$D:$D,"&gt;="&amp;'Leave Credit Sheet'!$F$1,'Mark Leave'!$D:$D,"&lt;="&amp;'Leave Credit Sheet'!$I$1,'Mark Leave'!$B:$B,'Leave Credit Sheet'!$B92,'Mark Leave'!$E:$E,F$6),"")</f>
        <v/>
      </c>
      <c r="G92" s="246" t="str">
        <f>IF(B92&lt;&gt;"",COUNTIFS('Mark Leave'!$D:$D,"&gt;="&amp;'Leave Credit Sheet'!$F$1,'Mark Leave'!$D:$D,"&lt;="&amp;'Leave Credit Sheet'!$I$1,'Mark Leave'!$B:$B,'Leave Credit Sheet'!$B92,'Mark Leave'!$E:$E,G$6),"")</f>
        <v/>
      </c>
      <c r="H92" s="246" t="str">
        <f t="shared" si="10"/>
        <v/>
      </c>
      <c r="I92" s="246" t="str">
        <f>IF(B92&lt;&gt;"",VLOOKUP(B92,Summary!C106:E126,3,0),"")</f>
        <v/>
      </c>
      <c r="J92" s="62" t="str">
        <f t="shared" si="11"/>
        <v/>
      </c>
      <c r="K92" s="63" t="str">
        <f t="shared" si="12"/>
        <v/>
      </c>
      <c r="L92" s="211" t="str">
        <f t="shared" si="13"/>
        <v/>
      </c>
    </row>
    <row r="93" spans="2:12" ht="16.5" thickTop="1" thickBot="1" x14ac:dyDescent="0.3">
      <c r="B93" s="61" t="str">
        <f>IF(C93&lt;&gt;"",INDEX('Employee Details'!$A$7:$A96,MATCH(AttendanceSheet!$C93,'Employee Details'!$B$7:$B100,0)),"")</f>
        <v/>
      </c>
      <c r="C93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'!$J$1:J87))),""))</f>
        <v/>
      </c>
      <c r="D93" s="245" t="str">
        <f>IF(B93&lt;&gt;"",AttendanceSheet!$AL93,"")</f>
        <v/>
      </c>
      <c r="E93" s="246" t="str">
        <f>IF(B93&lt;&gt;"",COUNTIFS('Mark Leave'!$D:$D,"&gt;="&amp;'Leave Credit Sheet'!$F$1,'Mark Leave'!$D:$D,"&lt;="&amp;'Leave Credit Sheet'!$I$1,'Mark Leave'!$B:$B,'Leave Credit Sheet'!$B93,'Mark Leave'!$E:$E,E$6),"")</f>
        <v/>
      </c>
      <c r="F93" s="246" t="str">
        <f>IF(B93&lt;&gt;"",COUNTIFS('Mark Leave'!$D:$D,"&gt;="&amp;'Leave Credit Sheet'!$F$1,'Mark Leave'!$D:$D,"&lt;="&amp;'Leave Credit Sheet'!$I$1,'Mark Leave'!$B:$B,'Leave Credit Sheet'!$B93,'Mark Leave'!$E:$E,F$6),"")</f>
        <v/>
      </c>
      <c r="G93" s="246" t="str">
        <f>IF(B93&lt;&gt;"",COUNTIFS('Mark Leave'!$D:$D,"&gt;="&amp;'Leave Credit Sheet'!$F$1,'Mark Leave'!$D:$D,"&lt;="&amp;'Leave Credit Sheet'!$I$1,'Mark Leave'!$B:$B,'Leave Credit Sheet'!$B93,'Mark Leave'!$E:$E,G$6),"")</f>
        <v/>
      </c>
      <c r="H93" s="246" t="str">
        <f t="shared" si="10"/>
        <v/>
      </c>
      <c r="I93" s="246" t="str">
        <f>IF(B93&lt;&gt;"",VLOOKUP(B93,Summary!C107:E127,3,0),"")</f>
        <v/>
      </c>
      <c r="J93" s="62" t="str">
        <f t="shared" si="11"/>
        <v/>
      </c>
      <c r="K93" s="63" t="str">
        <f t="shared" si="12"/>
        <v/>
      </c>
      <c r="L93" s="211" t="str">
        <f t="shared" si="13"/>
        <v/>
      </c>
    </row>
    <row r="94" spans="2:12" ht="16.5" thickTop="1" thickBot="1" x14ac:dyDescent="0.3">
      <c r="B94" s="61" t="str">
        <f>IF(C94&lt;&gt;"",INDEX('Employee Details'!$A$7:$A97,MATCH(AttendanceSheet!$C94,'Employee Details'!$B$7:$B100,0)),"")</f>
        <v/>
      </c>
      <c r="C94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'!$J$1:J88))),""))</f>
        <v/>
      </c>
      <c r="D94" s="245" t="str">
        <f>IF(B94&lt;&gt;"",AttendanceSheet!$AL94,"")</f>
        <v/>
      </c>
      <c r="E94" s="246" t="str">
        <f>IF(B94&lt;&gt;"",COUNTIFS('Mark Leave'!$D:$D,"&gt;="&amp;'Leave Credit Sheet'!$F$1,'Mark Leave'!$D:$D,"&lt;="&amp;'Leave Credit Sheet'!$I$1,'Mark Leave'!$B:$B,'Leave Credit Sheet'!$B94,'Mark Leave'!$E:$E,E$6),"")</f>
        <v/>
      </c>
      <c r="F94" s="246" t="str">
        <f>IF(B94&lt;&gt;"",COUNTIFS('Mark Leave'!$D:$D,"&gt;="&amp;'Leave Credit Sheet'!$F$1,'Mark Leave'!$D:$D,"&lt;="&amp;'Leave Credit Sheet'!$I$1,'Mark Leave'!$B:$B,'Leave Credit Sheet'!$B94,'Mark Leave'!$E:$E,F$6),"")</f>
        <v/>
      </c>
      <c r="G94" s="246" t="str">
        <f>IF(B94&lt;&gt;"",COUNTIFS('Mark Leave'!$D:$D,"&gt;="&amp;'Leave Credit Sheet'!$F$1,'Mark Leave'!$D:$D,"&lt;="&amp;'Leave Credit Sheet'!$I$1,'Mark Leave'!$B:$B,'Leave Credit Sheet'!$B94,'Mark Leave'!$E:$E,G$6),"")</f>
        <v/>
      </c>
      <c r="H94" s="246" t="str">
        <f t="shared" si="10"/>
        <v/>
      </c>
      <c r="I94" s="246" t="str">
        <f>IF(B94&lt;&gt;"",VLOOKUP(B94,Summary!C108:E128,3,0),"")</f>
        <v/>
      </c>
      <c r="J94" s="62" t="str">
        <f t="shared" si="11"/>
        <v/>
      </c>
      <c r="K94" s="63" t="str">
        <f t="shared" si="12"/>
        <v/>
      </c>
      <c r="L94" s="211" t="str">
        <f t="shared" si="13"/>
        <v/>
      </c>
    </row>
    <row r="95" spans="2:12" ht="16.5" thickTop="1" thickBot="1" x14ac:dyDescent="0.3">
      <c r="B95" s="61" t="str">
        <f>IF(C95&lt;&gt;"",INDEX('Employee Details'!$A$7:$A98,MATCH(AttendanceSheet!$C95,'Employee Details'!$B$7:$B100,0)),"")</f>
        <v/>
      </c>
      <c r="C95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'!$J$1:J89))),""))</f>
        <v/>
      </c>
      <c r="D95" s="245" t="str">
        <f>IF(B95&lt;&gt;"",AttendanceSheet!$AL95,"")</f>
        <v/>
      </c>
      <c r="E95" s="246" t="str">
        <f>IF(B95&lt;&gt;"",COUNTIFS('Mark Leave'!$D:$D,"&gt;="&amp;'Leave Credit Sheet'!$F$1,'Mark Leave'!$D:$D,"&lt;="&amp;'Leave Credit Sheet'!$I$1,'Mark Leave'!$B:$B,'Leave Credit Sheet'!$B95,'Mark Leave'!$E:$E,E$6),"")</f>
        <v/>
      </c>
      <c r="F95" s="246" t="str">
        <f>IF(B95&lt;&gt;"",COUNTIFS('Mark Leave'!$D:$D,"&gt;="&amp;'Leave Credit Sheet'!$F$1,'Mark Leave'!$D:$D,"&lt;="&amp;'Leave Credit Sheet'!$I$1,'Mark Leave'!$B:$B,'Leave Credit Sheet'!$B95,'Mark Leave'!$E:$E,F$6),"")</f>
        <v/>
      </c>
      <c r="G95" s="246" t="str">
        <f>IF(B95&lt;&gt;"",COUNTIFS('Mark Leave'!$D:$D,"&gt;="&amp;'Leave Credit Sheet'!$F$1,'Mark Leave'!$D:$D,"&lt;="&amp;'Leave Credit Sheet'!$I$1,'Mark Leave'!$B:$B,'Leave Credit Sheet'!$B95,'Mark Leave'!$E:$E,G$6),"")</f>
        <v/>
      </c>
      <c r="H95" s="246" t="str">
        <f t="shared" si="10"/>
        <v/>
      </c>
      <c r="I95" s="246" t="str">
        <f>IF(B95&lt;&gt;"",VLOOKUP(B95,Summary!C109:E129,3,0),"")</f>
        <v/>
      </c>
      <c r="J95" s="62" t="str">
        <f t="shared" si="11"/>
        <v/>
      </c>
      <c r="K95" s="63" t="str">
        <f t="shared" si="12"/>
        <v/>
      </c>
      <c r="L95" s="211" t="str">
        <f t="shared" si="13"/>
        <v/>
      </c>
    </row>
    <row r="96" spans="2:12" ht="16.5" thickTop="1" thickBot="1" x14ac:dyDescent="0.3">
      <c r="B96" s="61" t="str">
        <f>IF(C96&lt;&gt;"",INDEX('Employee Details'!$A$7:$A99,MATCH(AttendanceSheet!$C96,'Employee Details'!$B$7:$B100,0)),"")</f>
        <v/>
      </c>
      <c r="C96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'!$J$1:J90))),""))</f>
        <v/>
      </c>
      <c r="D96" s="245" t="str">
        <f>IF(B96&lt;&gt;"",AttendanceSheet!$AL96,"")</f>
        <v/>
      </c>
      <c r="E96" s="246" t="str">
        <f>IF(B96&lt;&gt;"",COUNTIFS('Mark Leave'!$D:$D,"&gt;="&amp;'Leave Credit Sheet'!$F$1,'Mark Leave'!$D:$D,"&lt;="&amp;'Leave Credit Sheet'!$I$1,'Mark Leave'!$B:$B,'Leave Credit Sheet'!$B96,'Mark Leave'!$E:$E,E$6),"")</f>
        <v/>
      </c>
      <c r="F96" s="246" t="str">
        <f>IF(B96&lt;&gt;"",COUNTIFS('Mark Leave'!$D:$D,"&gt;="&amp;'Leave Credit Sheet'!$F$1,'Mark Leave'!$D:$D,"&lt;="&amp;'Leave Credit Sheet'!$I$1,'Mark Leave'!$B:$B,'Leave Credit Sheet'!$B96,'Mark Leave'!$E:$E,F$6),"")</f>
        <v/>
      </c>
      <c r="G96" s="246" t="str">
        <f>IF(B96&lt;&gt;"",COUNTIFS('Mark Leave'!$D:$D,"&gt;="&amp;'Leave Credit Sheet'!$F$1,'Mark Leave'!$D:$D,"&lt;="&amp;'Leave Credit Sheet'!$I$1,'Mark Leave'!$B:$B,'Leave Credit Sheet'!$B96,'Mark Leave'!$E:$E,G$6),"")</f>
        <v/>
      </c>
      <c r="H96" s="246" t="str">
        <f t="shared" si="10"/>
        <v/>
      </c>
      <c r="I96" s="246" t="str">
        <f>IF(B96&lt;&gt;"",VLOOKUP(B96,Summary!C110:E130,3,0),"")</f>
        <v/>
      </c>
      <c r="J96" s="62" t="str">
        <f t="shared" si="11"/>
        <v/>
      </c>
      <c r="K96" s="63" t="str">
        <f t="shared" si="12"/>
        <v/>
      </c>
      <c r="L96" s="211" t="str">
        <f t="shared" si="13"/>
        <v/>
      </c>
    </row>
    <row r="97" spans="2:12" ht="16.5" thickTop="1" thickBot="1" x14ac:dyDescent="0.3">
      <c r="B97" s="61" t="str">
        <f>IF(C97&lt;&gt;"",INDEX('Employee Details'!$A$7:$A100,MATCH(AttendanceSheet!$C97,'Employee Details'!$B$7:$B100,0)),"")</f>
        <v/>
      </c>
      <c r="C97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'!$J$1:J91))),""))</f>
        <v/>
      </c>
      <c r="D97" s="245" t="str">
        <f>IF(B97&lt;&gt;"",AttendanceSheet!$AL97,"")</f>
        <v/>
      </c>
      <c r="E97" s="246" t="str">
        <f>IF(B97&lt;&gt;"",COUNTIFS('Mark Leave'!$D:$D,"&gt;="&amp;'Leave Credit Sheet'!$F$1,'Mark Leave'!$D:$D,"&lt;="&amp;'Leave Credit Sheet'!$I$1,'Mark Leave'!$B:$B,'Leave Credit Sheet'!$B97,'Mark Leave'!$E:$E,E$6),"")</f>
        <v/>
      </c>
      <c r="F97" s="246" t="str">
        <f>IF(B97&lt;&gt;"",COUNTIFS('Mark Leave'!$D:$D,"&gt;="&amp;'Leave Credit Sheet'!$F$1,'Mark Leave'!$D:$D,"&lt;="&amp;'Leave Credit Sheet'!$I$1,'Mark Leave'!$B:$B,'Leave Credit Sheet'!$B97,'Mark Leave'!$E:$E,F$6),"")</f>
        <v/>
      </c>
      <c r="G97" s="246" t="str">
        <f>IF(B97&lt;&gt;"",COUNTIFS('Mark Leave'!$D:$D,"&gt;="&amp;'Leave Credit Sheet'!$F$1,'Mark Leave'!$D:$D,"&lt;="&amp;'Leave Credit Sheet'!$I$1,'Mark Leave'!$B:$B,'Leave Credit Sheet'!$B97,'Mark Leave'!$E:$E,G$6),"")</f>
        <v/>
      </c>
      <c r="H97" s="246" t="str">
        <f t="shared" si="10"/>
        <v/>
      </c>
      <c r="I97" s="246" t="str">
        <f>IF(B97&lt;&gt;"",VLOOKUP(B97,Summary!C111:E131,3,0),"")</f>
        <v/>
      </c>
      <c r="J97" s="62" t="str">
        <f t="shared" si="11"/>
        <v/>
      </c>
      <c r="K97" s="63" t="str">
        <f t="shared" si="12"/>
        <v/>
      </c>
      <c r="L97" s="211" t="str">
        <f t="shared" si="13"/>
        <v/>
      </c>
    </row>
    <row r="98" spans="2:12" ht="16.5" thickTop="1" thickBot="1" x14ac:dyDescent="0.3">
      <c r="B98" s="61" t="str">
        <f>IF(C98&lt;&gt;"",INDEX('Employee Details'!$A$7:$A100,MATCH(AttendanceSheet!$C98,'Employee Details'!$B$7:$B100,0)),"")</f>
        <v/>
      </c>
      <c r="C98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'!$J$1:J92))),""))</f>
        <v/>
      </c>
      <c r="D98" s="245" t="str">
        <f>IF(B98&lt;&gt;"",AttendanceSheet!$AL98,"")</f>
        <v/>
      </c>
      <c r="E98" s="246" t="str">
        <f>IF(B98&lt;&gt;"",COUNTIFS('Mark Leave'!$D:$D,"&gt;="&amp;'Leave Credit Sheet'!$F$1,'Mark Leave'!$D:$D,"&lt;="&amp;'Leave Credit Sheet'!$I$1,'Mark Leave'!$B:$B,'Leave Credit Sheet'!$B98,'Mark Leave'!$E:$E,E$6),"")</f>
        <v/>
      </c>
      <c r="F98" s="246" t="str">
        <f>IF(B98&lt;&gt;"",COUNTIFS('Mark Leave'!$D:$D,"&gt;="&amp;'Leave Credit Sheet'!$F$1,'Mark Leave'!$D:$D,"&lt;="&amp;'Leave Credit Sheet'!$I$1,'Mark Leave'!$B:$B,'Leave Credit Sheet'!$B98,'Mark Leave'!$E:$E,F$6),"")</f>
        <v/>
      </c>
      <c r="G98" s="246" t="str">
        <f>IF(B98&lt;&gt;"",COUNTIFS('Mark Leave'!$D:$D,"&gt;="&amp;'Leave Credit Sheet'!$F$1,'Mark Leave'!$D:$D,"&lt;="&amp;'Leave Credit Sheet'!$I$1,'Mark Leave'!$B:$B,'Leave Credit Sheet'!$B98,'Mark Leave'!$E:$E,G$6),"")</f>
        <v/>
      </c>
      <c r="H98" s="246" t="str">
        <f t="shared" si="10"/>
        <v/>
      </c>
      <c r="I98" s="246" t="str">
        <f>IF(B98&lt;&gt;"",VLOOKUP(B98,Summary!C112:E132,3,0),"")</f>
        <v/>
      </c>
      <c r="J98" s="62" t="str">
        <f t="shared" si="11"/>
        <v/>
      </c>
      <c r="K98" s="63" t="str">
        <f t="shared" si="12"/>
        <v/>
      </c>
      <c r="L98" s="211" t="str">
        <f t="shared" si="13"/>
        <v/>
      </c>
    </row>
    <row r="99" spans="2:12" ht="16.5" thickTop="1" thickBot="1" x14ac:dyDescent="0.3">
      <c r="B99" s="61" t="str">
        <f>IF(C99&lt;&gt;"",INDEX('Employee Details'!$A$7:$A100,MATCH(AttendanceSheet!$C99,'Employee Details'!$B$7:$B100,0)),"")</f>
        <v/>
      </c>
      <c r="C99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'!$J$1:J93))),""))</f>
        <v/>
      </c>
      <c r="D99" s="245" t="str">
        <f>IF(B99&lt;&gt;"",AttendanceSheet!$AL99,"")</f>
        <v/>
      </c>
      <c r="E99" s="246" t="str">
        <f>IF(B99&lt;&gt;"",COUNTIFS('Mark Leave'!$D:$D,"&gt;="&amp;'Leave Credit Sheet'!$F$1,'Mark Leave'!$D:$D,"&lt;="&amp;'Leave Credit Sheet'!$I$1,'Mark Leave'!$B:$B,'Leave Credit Sheet'!$B99,'Mark Leave'!$E:$E,E$6),"")</f>
        <v/>
      </c>
      <c r="F99" s="246" t="str">
        <f>IF(B99&lt;&gt;"",COUNTIFS('Mark Leave'!$D:$D,"&gt;="&amp;'Leave Credit Sheet'!$F$1,'Mark Leave'!$D:$D,"&lt;="&amp;'Leave Credit Sheet'!$I$1,'Mark Leave'!$B:$B,'Leave Credit Sheet'!$B99,'Mark Leave'!$E:$E,F$6),"")</f>
        <v/>
      </c>
      <c r="G99" s="246" t="str">
        <f>IF(B99&lt;&gt;"",COUNTIFS('Mark Leave'!$D:$D,"&gt;="&amp;'Leave Credit Sheet'!$F$1,'Mark Leave'!$D:$D,"&lt;="&amp;'Leave Credit Sheet'!$I$1,'Mark Leave'!$B:$B,'Leave Credit Sheet'!$B99,'Mark Leave'!$E:$E,G$6),"")</f>
        <v/>
      </c>
      <c r="H99" s="246" t="str">
        <f t="shared" si="10"/>
        <v/>
      </c>
      <c r="I99" s="246" t="str">
        <f>IF(B99&lt;&gt;"",VLOOKUP(B99,Summary!C113:E133,3,0),"")</f>
        <v/>
      </c>
      <c r="J99" s="62" t="str">
        <f t="shared" si="11"/>
        <v/>
      </c>
      <c r="K99" s="63" t="str">
        <f t="shared" si="12"/>
        <v/>
      </c>
      <c r="L99" s="211" t="str">
        <f t="shared" si="13"/>
        <v/>
      </c>
    </row>
    <row r="100" spans="2:12" ht="16.5" thickTop="1" thickBot="1" x14ac:dyDescent="0.3">
      <c r="B100" s="61" t="str">
        <f>IF(C100&lt;&gt;"",INDEX('Employee Details'!$A$7:$A100,MATCH(AttendanceSheet!$C100,'Employee Details'!$B$7:$B100,0)),"")</f>
        <v/>
      </c>
      <c r="C100" s="60" t="str">
        <f>(IF(AttendanceSheet!$BJ$7:$BJ$100="ONROLL",INDEX('Employee Details'!$B$7:$B$100,_xlfn.AGGREGATE(15,3,('Employee Details'!$F$7:$F$100='Setting '!$F$2)/('Employee Details'!$F$7:$F$100='Setting '!$F$2)*ROW('Employee Details'!$F$7:$F$100)-ROW('Employee Details'!$F$6),ROWS('Setting '!$J$1:J94))),""))</f>
        <v/>
      </c>
      <c r="D100" s="245" t="str">
        <f>IF(B100&lt;&gt;"",AttendanceSheet!$AL100,"")</f>
        <v/>
      </c>
      <c r="E100" s="246" t="str">
        <f>IF(B100&lt;&gt;"",COUNTIFS('Mark Leave'!$D:$D,"&gt;="&amp;'Leave Credit Sheet'!$F$1,'Mark Leave'!$D:$D,"&lt;="&amp;'Leave Credit Sheet'!$I$1,'Mark Leave'!$B:$B,'Leave Credit Sheet'!$B100,'Mark Leave'!$E:$E,E$6),"")</f>
        <v/>
      </c>
      <c r="F100" s="246" t="str">
        <f>IF(B100&lt;&gt;"",COUNTIFS('Mark Leave'!$D:$D,"&gt;="&amp;'Leave Credit Sheet'!$F$1,'Mark Leave'!$D:$D,"&lt;="&amp;'Leave Credit Sheet'!$I$1,'Mark Leave'!$B:$B,'Leave Credit Sheet'!$B100,'Mark Leave'!$E:$E,F$6),"")</f>
        <v/>
      </c>
      <c r="G100" s="246" t="str">
        <f>IF(B100&lt;&gt;"",COUNTIFS('Mark Leave'!$D:$D,"&gt;="&amp;'Leave Credit Sheet'!$F$1,'Mark Leave'!$D:$D,"&lt;="&amp;'Leave Credit Sheet'!$I$1,'Mark Leave'!$B:$B,'Leave Credit Sheet'!$B100,'Mark Leave'!$E:$E,G$6),"")</f>
        <v/>
      </c>
      <c r="H100" s="246" t="str">
        <f t="shared" si="10"/>
        <v/>
      </c>
      <c r="I100" s="246" t="str">
        <f>IF(B100&lt;&gt;"",VLOOKUP(B100,Summary!C114:E134,3,0),"")</f>
        <v/>
      </c>
      <c r="J100" s="62" t="str">
        <f t="shared" si="11"/>
        <v/>
      </c>
      <c r="K100" s="63" t="str">
        <f t="shared" si="12"/>
        <v/>
      </c>
      <c r="L100" s="211" t="str">
        <f t="shared" si="13"/>
        <v/>
      </c>
    </row>
    <row r="101" spans="2:12" ht="15.75" thickTop="1" x14ac:dyDescent="0.25"/>
  </sheetData>
  <mergeCells count="15">
    <mergeCell ref="I3:I4"/>
    <mergeCell ref="G1:H2"/>
    <mergeCell ref="D1:E2"/>
    <mergeCell ref="C5:C6"/>
    <mergeCell ref="K5:K6"/>
    <mergeCell ref="F1:F2"/>
    <mergeCell ref="I1:I2"/>
    <mergeCell ref="D3:H4"/>
    <mergeCell ref="M5:M6"/>
    <mergeCell ref="L5:L6"/>
    <mergeCell ref="B5:B6"/>
    <mergeCell ref="J5:J6"/>
    <mergeCell ref="I5:I6"/>
    <mergeCell ref="H5:H6"/>
    <mergeCell ref="D5:D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theme="7"/>
  </sheetPr>
  <dimension ref="A1:X1048565"/>
  <sheetViews>
    <sheetView zoomScale="85" zoomScaleNormal="85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T17" sqref="T17"/>
    </sheetView>
  </sheetViews>
  <sheetFormatPr defaultRowHeight="15" x14ac:dyDescent="0.25"/>
  <cols>
    <col min="1" max="1" width="14.7109375" customWidth="1"/>
    <col min="2" max="2" width="29.140625" customWidth="1"/>
    <col min="3" max="3" width="23" bestFit="1" customWidth="1"/>
    <col min="4" max="4" width="14.85546875" bestFit="1" customWidth="1"/>
    <col min="5" max="5" width="16.28515625" customWidth="1"/>
    <col min="6" max="6" width="8.140625" customWidth="1"/>
    <col min="7" max="7" width="14" style="1" customWidth="1"/>
    <col min="8" max="8" width="13.42578125" style="179" bestFit="1" customWidth="1"/>
    <col min="9" max="9" width="12" bestFit="1" customWidth="1"/>
    <col min="10" max="10" width="4.85546875" customWidth="1"/>
    <col min="11" max="11" width="11.5703125" customWidth="1"/>
    <col min="12" max="12" width="12.42578125" style="1" customWidth="1"/>
    <col min="13" max="13" width="22.42578125" customWidth="1"/>
    <col min="14" max="14" width="12.85546875" bestFit="1" customWidth="1"/>
    <col min="15" max="15" width="16" bestFit="1" customWidth="1"/>
    <col min="16" max="16" width="17.85546875" customWidth="1"/>
    <col min="20" max="20" width="11.5703125" bestFit="1" customWidth="1"/>
  </cols>
  <sheetData>
    <row r="1" spans="1:24" ht="15" customHeight="1" x14ac:dyDescent="0.25">
      <c r="L1" s="314" t="s">
        <v>179</v>
      </c>
      <c r="M1" s="314"/>
      <c r="N1" s="314"/>
      <c r="O1" s="314"/>
      <c r="P1" s="314"/>
      <c r="Q1" s="314"/>
      <c r="R1" s="314"/>
      <c r="S1" s="314"/>
      <c r="T1" s="314"/>
      <c r="U1" s="314"/>
      <c r="V1" s="314"/>
      <c r="W1" s="314"/>
      <c r="X1" s="314"/>
    </row>
    <row r="2" spans="1:24" s="2" customFormat="1" ht="58.5" customHeight="1" x14ac:dyDescent="0.25">
      <c r="E2" s="315" t="s">
        <v>22</v>
      </c>
      <c r="F2" s="315"/>
      <c r="G2" s="315"/>
      <c r="H2" s="315"/>
      <c r="I2" s="313">
        <f>COUNTIF(F6:F100,"Active")</f>
        <v>36</v>
      </c>
      <c r="J2" s="313"/>
      <c r="K2" s="313"/>
      <c r="L2" s="314"/>
      <c r="M2" s="314"/>
      <c r="N2" s="314"/>
      <c r="O2" s="314"/>
      <c r="P2" s="314"/>
      <c r="Q2" s="314"/>
      <c r="R2" s="314"/>
      <c r="S2" s="314"/>
      <c r="T2" s="314"/>
      <c r="U2" s="314"/>
      <c r="V2" s="314"/>
      <c r="W2" s="314"/>
      <c r="X2" s="314"/>
    </row>
    <row r="3" spans="1:24" s="2" customFormat="1" ht="20.25" customHeight="1" x14ac:dyDescent="0.25">
      <c r="E3" s="5"/>
      <c r="F3" s="4"/>
      <c r="G3" s="135"/>
      <c r="H3" s="180"/>
      <c r="L3" s="314"/>
      <c r="M3" s="314"/>
      <c r="N3" s="314"/>
      <c r="O3" s="314"/>
      <c r="P3" s="314"/>
      <c r="Q3" s="314"/>
      <c r="R3" s="314"/>
      <c r="S3" s="314"/>
      <c r="T3" s="314"/>
      <c r="U3" s="314"/>
      <c r="V3" s="314"/>
      <c r="W3" s="314"/>
      <c r="X3" s="314"/>
    </row>
    <row r="4" spans="1:24" s="2" customFormat="1" ht="19.5" customHeight="1" x14ac:dyDescent="0.25">
      <c r="E4" s="5"/>
      <c r="F4" s="4"/>
      <c r="G4" s="135"/>
      <c r="H4" s="180"/>
      <c r="L4" s="314"/>
      <c r="M4" s="314"/>
      <c r="N4" s="314"/>
      <c r="O4" s="314"/>
      <c r="P4" s="314"/>
      <c r="Q4" s="314"/>
      <c r="R4" s="314"/>
      <c r="S4" s="314"/>
      <c r="T4" s="314"/>
      <c r="U4" s="314"/>
      <c r="V4" s="314"/>
      <c r="W4" s="314"/>
      <c r="X4" s="314"/>
    </row>
    <row r="5" spans="1:24" ht="15" customHeight="1" thickBot="1" x14ac:dyDescent="0.3"/>
    <row r="6" spans="1:24" s="3" customFormat="1" ht="16.5" customHeight="1" thickTop="1" thickBot="1" x14ac:dyDescent="0.35">
      <c r="A6" s="52" t="s">
        <v>10</v>
      </c>
      <c r="B6" s="52" t="s">
        <v>11</v>
      </c>
      <c r="C6" s="53" t="s">
        <v>12</v>
      </c>
      <c r="D6" s="52" t="s">
        <v>208</v>
      </c>
      <c r="E6" s="52" t="s">
        <v>13</v>
      </c>
      <c r="F6" s="52" t="s">
        <v>14</v>
      </c>
      <c r="G6" s="136" t="s">
        <v>36</v>
      </c>
      <c r="H6" s="181" t="s">
        <v>15</v>
      </c>
      <c r="I6" s="52" t="s">
        <v>16</v>
      </c>
      <c r="J6" s="52" t="s">
        <v>17</v>
      </c>
      <c r="K6" s="52" t="s">
        <v>18</v>
      </c>
      <c r="L6" s="136" t="s">
        <v>35</v>
      </c>
      <c r="M6" s="52" t="s">
        <v>19</v>
      </c>
      <c r="N6" s="52" t="s">
        <v>20</v>
      </c>
      <c r="O6" s="52" t="s">
        <v>21</v>
      </c>
      <c r="P6" s="52" t="s">
        <v>34</v>
      </c>
      <c r="Q6" s="94" t="s">
        <v>170</v>
      </c>
      <c r="R6" s="52" t="s">
        <v>169</v>
      </c>
      <c r="S6" s="52" t="s">
        <v>173</v>
      </c>
      <c r="T6" s="52" t="s">
        <v>231</v>
      </c>
      <c r="U6" s="52" t="s">
        <v>239</v>
      </c>
    </row>
    <row r="7" spans="1:24" ht="16.5" thickTop="1" thickBot="1" x14ac:dyDescent="0.3">
      <c r="A7" s="38" t="s">
        <v>23</v>
      </c>
      <c r="B7" s="38" t="s">
        <v>97</v>
      </c>
      <c r="C7" s="38" t="s">
        <v>189</v>
      </c>
      <c r="D7" s="38" t="s">
        <v>206</v>
      </c>
      <c r="E7" s="38" t="s">
        <v>199</v>
      </c>
      <c r="F7" s="38" t="str">
        <f t="shared" ref="F7:F38" si="0">IF(A7&lt;&gt;"",IF(NOT(ISBLANK($P7)),"Inactive","Active"),"")</f>
        <v>Active</v>
      </c>
      <c r="G7" s="50"/>
      <c r="H7" s="50"/>
      <c r="I7" s="50"/>
      <c r="J7" s="38"/>
      <c r="K7" s="50"/>
      <c r="L7" s="50"/>
      <c r="M7" s="50"/>
      <c r="N7" s="50"/>
      <c r="O7" s="50"/>
      <c r="P7" s="50"/>
      <c r="Q7" s="95" t="s">
        <v>168</v>
      </c>
      <c r="R7" s="95" t="s">
        <v>168</v>
      </c>
      <c r="S7" s="38" t="s">
        <v>162</v>
      </c>
      <c r="T7" s="38" t="s">
        <v>241</v>
      </c>
      <c r="U7" s="38" t="s">
        <v>167</v>
      </c>
    </row>
    <row r="8" spans="1:24" ht="16.5" thickTop="1" thickBot="1" x14ac:dyDescent="0.3">
      <c r="A8" s="38" t="s">
        <v>24</v>
      </c>
      <c r="B8" s="38" t="s">
        <v>95</v>
      </c>
      <c r="C8" s="38" t="s">
        <v>190</v>
      </c>
      <c r="D8" s="38" t="s">
        <v>206</v>
      </c>
      <c r="E8" s="38" t="s">
        <v>199</v>
      </c>
      <c r="F8" s="38" t="str">
        <f t="shared" si="0"/>
        <v>Active</v>
      </c>
      <c r="G8" s="50"/>
      <c r="H8" s="50"/>
      <c r="I8" s="50"/>
      <c r="J8" s="38"/>
      <c r="K8" s="50"/>
      <c r="L8" s="50"/>
      <c r="M8" s="50"/>
      <c r="N8" s="50"/>
      <c r="O8" s="50"/>
      <c r="P8" s="50"/>
      <c r="Q8" s="95" t="s">
        <v>168</v>
      </c>
      <c r="R8" s="95" t="s">
        <v>168</v>
      </c>
      <c r="S8" s="38" t="s">
        <v>172</v>
      </c>
      <c r="T8" s="38" t="s">
        <v>241</v>
      </c>
      <c r="U8" s="38" t="s">
        <v>167</v>
      </c>
    </row>
    <row r="9" spans="1:24" ht="16.5" thickTop="1" thickBot="1" x14ac:dyDescent="0.3">
      <c r="A9" s="38" t="s">
        <v>26</v>
      </c>
      <c r="B9" s="38" t="s">
        <v>117</v>
      </c>
      <c r="C9" s="38" t="s">
        <v>191</v>
      </c>
      <c r="D9" s="38" t="s">
        <v>206</v>
      </c>
      <c r="E9" s="38" t="s">
        <v>201</v>
      </c>
      <c r="F9" s="38" t="str">
        <f t="shared" si="0"/>
        <v>Active</v>
      </c>
      <c r="G9" s="50"/>
      <c r="H9" s="50"/>
      <c r="I9" s="50"/>
      <c r="J9" s="38"/>
      <c r="K9" s="50"/>
      <c r="L9" s="50"/>
      <c r="M9" s="50"/>
      <c r="N9" s="50"/>
      <c r="O9" s="50"/>
      <c r="P9" s="38"/>
      <c r="Q9" s="95" t="s">
        <v>171</v>
      </c>
      <c r="R9" s="95" t="s">
        <v>171</v>
      </c>
      <c r="S9" s="38" t="s">
        <v>162</v>
      </c>
      <c r="T9" s="38" t="s">
        <v>241</v>
      </c>
      <c r="U9" s="38" t="s">
        <v>167</v>
      </c>
    </row>
    <row r="10" spans="1:24" ht="16.5" thickTop="1" thickBot="1" x14ac:dyDescent="0.3">
      <c r="A10" s="38" t="s">
        <v>30</v>
      </c>
      <c r="B10" s="38" t="s">
        <v>121</v>
      </c>
      <c r="C10" s="38" t="s">
        <v>192</v>
      </c>
      <c r="D10" s="38" t="s">
        <v>206</v>
      </c>
      <c r="E10" s="38" t="s">
        <v>201</v>
      </c>
      <c r="F10" s="38" t="str">
        <f t="shared" si="0"/>
        <v>Active</v>
      </c>
      <c r="G10" s="50"/>
      <c r="H10" s="50"/>
      <c r="I10" s="50"/>
      <c r="J10" s="38"/>
      <c r="K10" s="50"/>
      <c r="L10" s="50"/>
      <c r="M10" s="50"/>
      <c r="N10" s="50"/>
      <c r="O10" s="50"/>
      <c r="P10" s="38"/>
      <c r="Q10" s="95" t="s">
        <v>171</v>
      </c>
      <c r="R10" s="95" t="s">
        <v>171</v>
      </c>
      <c r="S10" s="38" t="s">
        <v>162</v>
      </c>
      <c r="T10" s="38" t="s">
        <v>241</v>
      </c>
      <c r="U10" s="38" t="s">
        <v>167</v>
      </c>
    </row>
    <row r="11" spans="1:24" ht="16.5" thickTop="1" thickBot="1" x14ac:dyDescent="0.3">
      <c r="A11" s="38" t="s">
        <v>76</v>
      </c>
      <c r="B11" s="38" t="s">
        <v>96</v>
      </c>
      <c r="C11" s="38" t="s">
        <v>193</v>
      </c>
      <c r="D11" s="38" t="s">
        <v>206</v>
      </c>
      <c r="E11" s="38" t="s">
        <v>199</v>
      </c>
      <c r="F11" s="38" t="str">
        <f t="shared" si="0"/>
        <v>Active</v>
      </c>
      <c r="G11" s="50"/>
      <c r="H11" s="50"/>
      <c r="I11" s="50"/>
      <c r="J11" s="38"/>
      <c r="K11" s="50"/>
      <c r="L11" s="50"/>
      <c r="M11" s="50"/>
      <c r="N11" s="50"/>
      <c r="O11" s="50"/>
      <c r="P11" s="38"/>
      <c r="Q11" s="95" t="s">
        <v>168</v>
      </c>
      <c r="R11" s="95" t="s">
        <v>168</v>
      </c>
      <c r="S11" s="38" t="s">
        <v>162</v>
      </c>
      <c r="T11" s="38" t="s">
        <v>241</v>
      </c>
      <c r="U11" s="38" t="s">
        <v>167</v>
      </c>
    </row>
    <row r="12" spans="1:24" ht="16.5" thickTop="1" thickBot="1" x14ac:dyDescent="0.3">
      <c r="A12" s="38" t="s">
        <v>77</v>
      </c>
      <c r="B12" s="38" t="s">
        <v>119</v>
      </c>
      <c r="C12" s="38" t="s">
        <v>194</v>
      </c>
      <c r="D12" s="38" t="s">
        <v>206</v>
      </c>
      <c r="E12" s="38" t="s">
        <v>201</v>
      </c>
      <c r="F12" s="38" t="str">
        <f t="shared" si="0"/>
        <v>Active</v>
      </c>
      <c r="G12" s="50"/>
      <c r="H12" s="50"/>
      <c r="I12" s="50"/>
      <c r="J12" s="38"/>
      <c r="K12" s="50"/>
      <c r="L12" s="50"/>
      <c r="M12" s="50"/>
      <c r="N12" s="50"/>
      <c r="O12" s="50"/>
      <c r="P12" s="38"/>
      <c r="Q12" s="95" t="s">
        <v>171</v>
      </c>
      <c r="R12" s="95" t="s">
        <v>171</v>
      </c>
      <c r="S12" s="38" t="s">
        <v>162</v>
      </c>
      <c r="T12" s="38" t="s">
        <v>241</v>
      </c>
      <c r="U12" s="38" t="s">
        <v>167</v>
      </c>
    </row>
    <row r="13" spans="1:24" ht="16.5" thickTop="1" thickBot="1" x14ac:dyDescent="0.3">
      <c r="A13" s="38" t="s">
        <v>78</v>
      </c>
      <c r="B13" s="38" t="s">
        <v>122</v>
      </c>
      <c r="C13" s="38" t="s">
        <v>195</v>
      </c>
      <c r="D13" s="38" t="s">
        <v>206</v>
      </c>
      <c r="E13" s="38" t="s">
        <v>201</v>
      </c>
      <c r="F13" s="38" t="str">
        <f t="shared" si="0"/>
        <v>Active</v>
      </c>
      <c r="G13" s="50"/>
      <c r="H13" s="50"/>
      <c r="I13" s="50"/>
      <c r="J13" s="38"/>
      <c r="K13" s="50"/>
      <c r="L13" s="50"/>
      <c r="M13" s="50"/>
      <c r="N13" s="50"/>
      <c r="O13" s="50"/>
      <c r="P13" s="38"/>
      <c r="Q13" s="95" t="s">
        <v>171</v>
      </c>
      <c r="R13" s="95" t="s">
        <v>171</v>
      </c>
      <c r="S13" s="38" t="s">
        <v>162</v>
      </c>
      <c r="T13" s="38" t="s">
        <v>241</v>
      </c>
      <c r="U13" s="38" t="s">
        <v>167</v>
      </c>
    </row>
    <row r="14" spans="1:24" ht="16.5" thickTop="1" thickBot="1" x14ac:dyDescent="0.3">
      <c r="A14" s="38" t="s">
        <v>79</v>
      </c>
      <c r="B14" s="38" t="s">
        <v>118</v>
      </c>
      <c r="C14" s="38" t="s">
        <v>194</v>
      </c>
      <c r="D14" s="38" t="s">
        <v>206</v>
      </c>
      <c r="E14" s="38" t="s">
        <v>201</v>
      </c>
      <c r="F14" s="38" t="str">
        <f t="shared" si="0"/>
        <v>Active</v>
      </c>
      <c r="G14" s="50"/>
      <c r="H14" s="50"/>
      <c r="I14" s="50"/>
      <c r="J14" s="38"/>
      <c r="K14" s="50"/>
      <c r="L14" s="50"/>
      <c r="M14" s="50"/>
      <c r="N14" s="50"/>
      <c r="O14" s="50"/>
      <c r="P14" s="50"/>
      <c r="Q14" s="95" t="s">
        <v>171</v>
      </c>
      <c r="R14" s="95" t="s">
        <v>171</v>
      </c>
      <c r="S14" s="38" t="s">
        <v>162</v>
      </c>
      <c r="T14" s="38" t="s">
        <v>241</v>
      </c>
      <c r="U14" s="38" t="s">
        <v>167</v>
      </c>
    </row>
    <row r="15" spans="1:24" ht="16.5" thickTop="1" thickBot="1" x14ac:dyDescent="0.3">
      <c r="A15" s="38" t="s">
        <v>80</v>
      </c>
      <c r="B15" s="38" t="s">
        <v>180</v>
      </c>
      <c r="C15" s="38" t="s">
        <v>196</v>
      </c>
      <c r="D15" s="38" t="s">
        <v>206</v>
      </c>
      <c r="E15" s="38" t="s">
        <v>201</v>
      </c>
      <c r="F15" s="38" t="str">
        <f t="shared" si="0"/>
        <v>Inactive</v>
      </c>
      <c r="G15" s="50"/>
      <c r="H15" s="50"/>
      <c r="I15" s="50"/>
      <c r="J15" s="38"/>
      <c r="K15" s="50"/>
      <c r="L15" s="50"/>
      <c r="M15" s="38"/>
      <c r="N15" s="38"/>
      <c r="O15" s="38"/>
      <c r="P15" s="50">
        <v>44500</v>
      </c>
      <c r="Q15" s="95" t="s">
        <v>171</v>
      </c>
      <c r="R15" s="95" t="s">
        <v>171</v>
      </c>
      <c r="S15" s="38" t="s">
        <v>172</v>
      </c>
      <c r="T15" s="38" t="s">
        <v>241</v>
      </c>
      <c r="U15" s="38" t="s">
        <v>167</v>
      </c>
    </row>
    <row r="16" spans="1:24" ht="16.5" thickTop="1" thickBot="1" x14ac:dyDescent="0.3">
      <c r="A16" s="38" t="s">
        <v>81</v>
      </c>
      <c r="B16" s="38" t="s">
        <v>120</v>
      </c>
      <c r="C16" s="38" t="s">
        <v>197</v>
      </c>
      <c r="D16" s="38" t="s">
        <v>206</v>
      </c>
      <c r="E16" s="38" t="s">
        <v>201</v>
      </c>
      <c r="F16" s="38" t="str">
        <f t="shared" si="0"/>
        <v>Active</v>
      </c>
      <c r="G16" s="50"/>
      <c r="H16" s="50"/>
      <c r="I16" s="50"/>
      <c r="J16" s="38"/>
      <c r="K16" s="50"/>
      <c r="L16" s="50"/>
      <c r="M16" s="50"/>
      <c r="N16" s="50"/>
      <c r="O16" s="50"/>
      <c r="P16" s="38"/>
      <c r="Q16" s="95" t="s">
        <v>171</v>
      </c>
      <c r="R16" s="95" t="s">
        <v>171</v>
      </c>
      <c r="S16" s="38" t="s">
        <v>172</v>
      </c>
      <c r="T16" s="38" t="s">
        <v>241</v>
      </c>
      <c r="U16" s="38" t="s">
        <v>167</v>
      </c>
    </row>
    <row r="17" spans="1:21" ht="16.5" thickTop="1" thickBot="1" x14ac:dyDescent="0.3">
      <c r="A17" s="38" t="s">
        <v>84</v>
      </c>
      <c r="B17" s="38" t="s">
        <v>31</v>
      </c>
      <c r="C17" s="38" t="s">
        <v>191</v>
      </c>
      <c r="D17" s="38" t="s">
        <v>206</v>
      </c>
      <c r="E17" s="38" t="s">
        <v>201</v>
      </c>
      <c r="F17" s="38" t="str">
        <f t="shared" si="0"/>
        <v>Active</v>
      </c>
      <c r="G17" s="50"/>
      <c r="H17" s="182"/>
      <c r="I17" s="38"/>
      <c r="J17" s="38"/>
      <c r="K17" s="50"/>
      <c r="L17" s="50"/>
      <c r="M17" s="183"/>
      <c r="N17" s="38"/>
      <c r="O17" s="178"/>
      <c r="P17" s="54"/>
      <c r="Q17" s="95" t="s">
        <v>167</v>
      </c>
      <c r="R17" s="95" t="s">
        <v>171</v>
      </c>
      <c r="S17" s="38" t="s">
        <v>162</v>
      </c>
      <c r="T17" s="38"/>
      <c r="U17" s="38" t="s">
        <v>167</v>
      </c>
    </row>
    <row r="18" spans="1:21" ht="16.5" thickTop="1" thickBot="1" x14ac:dyDescent="0.3">
      <c r="A18" s="38" t="s">
        <v>123</v>
      </c>
      <c r="B18" s="38" t="s">
        <v>163</v>
      </c>
      <c r="C18" s="38" t="s">
        <v>202</v>
      </c>
      <c r="D18" s="38" t="s">
        <v>206</v>
      </c>
      <c r="E18" s="38" t="s">
        <v>201</v>
      </c>
      <c r="F18" s="38" t="str">
        <f t="shared" si="0"/>
        <v>Active</v>
      </c>
      <c r="G18" s="50"/>
      <c r="H18" s="50"/>
      <c r="I18" s="50"/>
      <c r="J18" s="50"/>
      <c r="K18" s="50"/>
      <c r="L18" s="50"/>
      <c r="M18" s="50"/>
      <c r="N18" s="50"/>
      <c r="O18" s="50"/>
      <c r="P18" s="38"/>
      <c r="Q18" s="95" t="s">
        <v>171</v>
      </c>
      <c r="R18" s="95" t="s">
        <v>171</v>
      </c>
      <c r="S18" s="38" t="s">
        <v>162</v>
      </c>
      <c r="T18" s="38" t="s">
        <v>241</v>
      </c>
      <c r="U18" s="38" t="s">
        <v>167</v>
      </c>
    </row>
    <row r="19" spans="1:21" ht="16.5" thickTop="1" thickBot="1" x14ac:dyDescent="0.3">
      <c r="A19" s="38" t="s">
        <v>124</v>
      </c>
      <c r="B19" s="38" t="s">
        <v>91</v>
      </c>
      <c r="C19" s="38" t="s">
        <v>198</v>
      </c>
      <c r="D19" s="38" t="s">
        <v>206</v>
      </c>
      <c r="E19" s="38" t="s">
        <v>199</v>
      </c>
      <c r="F19" s="38" t="str">
        <f t="shared" si="0"/>
        <v>Active</v>
      </c>
      <c r="G19" s="50"/>
      <c r="H19" s="50"/>
      <c r="I19" s="50"/>
      <c r="J19" s="50"/>
      <c r="K19" s="50"/>
      <c r="L19" s="50"/>
      <c r="M19" s="50"/>
      <c r="N19" s="50"/>
      <c r="O19" s="50"/>
      <c r="P19" s="38"/>
      <c r="Q19" s="95" t="s">
        <v>168</v>
      </c>
      <c r="R19" s="95" t="s">
        <v>168</v>
      </c>
      <c r="S19" s="38" t="s">
        <v>162</v>
      </c>
      <c r="T19" s="38" t="s">
        <v>241</v>
      </c>
      <c r="U19" s="38" t="s">
        <v>167</v>
      </c>
    </row>
    <row r="20" spans="1:21" ht="16.5" thickTop="1" thickBot="1" x14ac:dyDescent="0.3">
      <c r="A20" s="38" t="s">
        <v>125</v>
      </c>
      <c r="B20" s="38" t="s">
        <v>25</v>
      </c>
      <c r="C20" s="38" t="s">
        <v>198</v>
      </c>
      <c r="D20" s="38" t="s">
        <v>206</v>
      </c>
      <c r="E20" s="38" t="s">
        <v>199</v>
      </c>
      <c r="F20" s="38" t="str">
        <f t="shared" si="0"/>
        <v>Active</v>
      </c>
      <c r="G20" s="50"/>
      <c r="H20" s="50"/>
      <c r="I20" s="50"/>
      <c r="J20" s="50"/>
      <c r="K20" s="50"/>
      <c r="L20" s="50"/>
      <c r="M20" s="50"/>
      <c r="N20" s="50"/>
      <c r="O20" s="50"/>
      <c r="P20" s="38"/>
      <c r="Q20" s="95" t="s">
        <v>167</v>
      </c>
      <c r="R20" s="95" t="s">
        <v>167</v>
      </c>
      <c r="S20" s="38" t="s">
        <v>162</v>
      </c>
      <c r="T20" s="38" t="s">
        <v>241</v>
      </c>
      <c r="U20" s="38" t="s">
        <v>167</v>
      </c>
    </row>
    <row r="21" spans="1:21" ht="16.5" thickTop="1" thickBot="1" x14ac:dyDescent="0.3">
      <c r="A21" s="38" t="s">
        <v>126</v>
      </c>
      <c r="B21" s="38" t="s">
        <v>27</v>
      </c>
      <c r="C21" s="38" t="s">
        <v>198</v>
      </c>
      <c r="D21" s="38" t="s">
        <v>206</v>
      </c>
      <c r="E21" s="38" t="s">
        <v>199</v>
      </c>
      <c r="F21" s="38" t="str">
        <f t="shared" si="0"/>
        <v>Active</v>
      </c>
      <c r="G21" s="50"/>
      <c r="H21" s="50"/>
      <c r="I21" s="50"/>
      <c r="J21" s="50"/>
      <c r="K21" s="50"/>
      <c r="L21" s="50"/>
      <c r="M21" s="50"/>
      <c r="N21" s="50"/>
      <c r="O21" s="50"/>
      <c r="P21" s="38"/>
      <c r="Q21" s="95" t="s">
        <v>167</v>
      </c>
      <c r="R21" s="95" t="s">
        <v>167</v>
      </c>
      <c r="S21" s="38" t="s">
        <v>162</v>
      </c>
      <c r="T21" s="38" t="s">
        <v>241</v>
      </c>
      <c r="U21" s="38" t="s">
        <v>167</v>
      </c>
    </row>
    <row r="22" spans="1:21" ht="16.5" thickTop="1" thickBot="1" x14ac:dyDescent="0.3">
      <c r="A22" s="38" t="s">
        <v>127</v>
      </c>
      <c r="B22" s="38" t="s">
        <v>92</v>
      </c>
      <c r="C22" s="38" t="s">
        <v>198</v>
      </c>
      <c r="D22" s="38" t="s">
        <v>206</v>
      </c>
      <c r="E22" s="38" t="s">
        <v>199</v>
      </c>
      <c r="F22" s="38" t="str">
        <f t="shared" si="0"/>
        <v>Active</v>
      </c>
      <c r="G22" s="50"/>
      <c r="H22" s="50"/>
      <c r="I22" s="50"/>
      <c r="J22" s="50"/>
      <c r="K22" s="50"/>
      <c r="L22" s="50"/>
      <c r="M22" s="50"/>
      <c r="N22" s="50"/>
      <c r="O22" s="50"/>
      <c r="P22" s="38"/>
      <c r="Q22" s="95" t="s">
        <v>167</v>
      </c>
      <c r="R22" s="95" t="s">
        <v>167</v>
      </c>
      <c r="S22" s="38" t="s">
        <v>162</v>
      </c>
      <c r="T22" s="38" t="s">
        <v>241</v>
      </c>
      <c r="U22" s="38" t="s">
        <v>167</v>
      </c>
    </row>
    <row r="23" spans="1:21" ht="16.5" thickTop="1" thickBot="1" x14ac:dyDescent="0.3">
      <c r="A23" s="38" t="s">
        <v>128</v>
      </c>
      <c r="B23" s="38" t="s">
        <v>94</v>
      </c>
      <c r="C23" s="38" t="s">
        <v>198</v>
      </c>
      <c r="D23" s="38" t="s">
        <v>206</v>
      </c>
      <c r="E23" s="38" t="s">
        <v>199</v>
      </c>
      <c r="F23" s="38" t="str">
        <f t="shared" si="0"/>
        <v>Active</v>
      </c>
      <c r="G23" s="50"/>
      <c r="H23" s="50"/>
      <c r="I23" s="50"/>
      <c r="J23" s="50"/>
      <c r="K23" s="50"/>
      <c r="L23" s="50"/>
      <c r="M23" s="50"/>
      <c r="N23" s="50"/>
      <c r="O23" s="50"/>
      <c r="P23" s="38"/>
      <c r="Q23" s="95" t="s">
        <v>167</v>
      </c>
      <c r="R23" s="95" t="s">
        <v>167</v>
      </c>
      <c r="S23" s="38" t="s">
        <v>172</v>
      </c>
      <c r="T23" s="38" t="s">
        <v>241</v>
      </c>
      <c r="U23" s="38" t="s">
        <v>167</v>
      </c>
    </row>
    <row r="24" spans="1:21" ht="16.5" thickTop="1" thickBot="1" x14ac:dyDescent="0.3">
      <c r="A24" s="38" t="s">
        <v>129</v>
      </c>
      <c r="B24" s="38" t="s">
        <v>93</v>
      </c>
      <c r="C24" s="38" t="s">
        <v>199</v>
      </c>
      <c r="D24" s="38" t="s">
        <v>206</v>
      </c>
      <c r="E24" s="38" t="s">
        <v>199</v>
      </c>
      <c r="F24" s="38" t="str">
        <f t="shared" si="0"/>
        <v>Active</v>
      </c>
      <c r="G24" s="50"/>
      <c r="H24" s="50"/>
      <c r="I24" s="50"/>
      <c r="J24" s="50"/>
      <c r="K24" s="50"/>
      <c r="L24" s="50"/>
      <c r="M24" s="50"/>
      <c r="N24" s="50"/>
      <c r="O24" s="50"/>
      <c r="P24" s="38"/>
      <c r="Q24" s="95" t="s">
        <v>168</v>
      </c>
      <c r="R24" s="95" t="s">
        <v>168</v>
      </c>
      <c r="S24" s="38" t="s">
        <v>172</v>
      </c>
      <c r="T24" s="38" t="s">
        <v>241</v>
      </c>
      <c r="U24" s="38" t="s">
        <v>167</v>
      </c>
    </row>
    <row r="25" spans="1:21" ht="16.5" thickTop="1" thickBot="1" x14ac:dyDescent="0.3">
      <c r="A25" s="38" t="s">
        <v>130</v>
      </c>
      <c r="B25" s="38" t="s">
        <v>90</v>
      </c>
      <c r="C25" s="38" t="s">
        <v>198</v>
      </c>
      <c r="D25" s="38" t="s">
        <v>206</v>
      </c>
      <c r="E25" s="38" t="s">
        <v>199</v>
      </c>
      <c r="F25" s="38" t="str">
        <f t="shared" si="0"/>
        <v>Active</v>
      </c>
      <c r="G25" s="50"/>
      <c r="H25" s="50"/>
      <c r="I25" s="50"/>
      <c r="J25" s="50"/>
      <c r="K25" s="50"/>
      <c r="L25" s="50"/>
      <c r="M25" s="50"/>
      <c r="N25" s="50"/>
      <c r="O25" s="50"/>
      <c r="P25" s="38"/>
      <c r="Q25" s="95" t="s">
        <v>167</v>
      </c>
      <c r="R25" s="95" t="s">
        <v>167</v>
      </c>
      <c r="S25" s="38" t="s">
        <v>162</v>
      </c>
      <c r="T25" s="38" t="s">
        <v>241</v>
      </c>
      <c r="U25" s="38" t="s">
        <v>167</v>
      </c>
    </row>
    <row r="26" spans="1:21" ht="16.5" thickTop="1" thickBot="1" x14ac:dyDescent="0.3">
      <c r="A26" s="38" t="s">
        <v>131</v>
      </c>
      <c r="B26" s="38" t="s">
        <v>98</v>
      </c>
      <c r="C26" s="38" t="s">
        <v>200</v>
      </c>
      <c r="D26" s="38" t="s">
        <v>207</v>
      </c>
      <c r="E26" s="38" t="s">
        <v>204</v>
      </c>
      <c r="F26" s="38" t="str">
        <f t="shared" si="0"/>
        <v>Active</v>
      </c>
      <c r="G26" s="50"/>
      <c r="H26" s="50"/>
      <c r="I26" s="50"/>
      <c r="J26" s="50"/>
      <c r="K26" s="50"/>
      <c r="L26" s="50"/>
      <c r="M26" s="50"/>
      <c r="N26" s="50"/>
      <c r="O26" s="50"/>
      <c r="P26" s="38"/>
      <c r="Q26" s="95" t="s">
        <v>168</v>
      </c>
      <c r="R26" s="95" t="s">
        <v>168</v>
      </c>
      <c r="S26" s="38" t="s">
        <v>162</v>
      </c>
      <c r="T26" s="38" t="s">
        <v>241</v>
      </c>
      <c r="U26" s="38" t="s">
        <v>168</v>
      </c>
    </row>
    <row r="27" spans="1:21" ht="16.5" thickTop="1" thickBot="1" x14ac:dyDescent="0.3">
      <c r="A27" s="38" t="s">
        <v>132</v>
      </c>
      <c r="B27" s="38" t="s">
        <v>99</v>
      </c>
      <c r="C27" s="38" t="s">
        <v>200</v>
      </c>
      <c r="D27" s="38" t="s">
        <v>207</v>
      </c>
      <c r="E27" s="38" t="s">
        <v>204</v>
      </c>
      <c r="F27" s="38" t="str">
        <f t="shared" si="0"/>
        <v>Active</v>
      </c>
      <c r="G27" s="50"/>
      <c r="H27" s="50"/>
      <c r="I27" s="50"/>
      <c r="J27" s="50"/>
      <c r="K27" s="50"/>
      <c r="L27" s="50"/>
      <c r="M27" s="50"/>
      <c r="N27" s="50"/>
      <c r="O27" s="50"/>
      <c r="P27" s="38"/>
      <c r="Q27" s="95" t="s">
        <v>168</v>
      </c>
      <c r="R27" s="95" t="s">
        <v>168</v>
      </c>
      <c r="S27" s="38" t="s">
        <v>162</v>
      </c>
      <c r="T27" s="38" t="s">
        <v>241</v>
      </c>
      <c r="U27" s="38" t="s">
        <v>168</v>
      </c>
    </row>
    <row r="28" spans="1:21" ht="16.5" thickTop="1" thickBot="1" x14ac:dyDescent="0.3">
      <c r="A28" s="38" t="s">
        <v>133</v>
      </c>
      <c r="B28" s="38" t="s">
        <v>100</v>
      </c>
      <c r="C28" s="38" t="s">
        <v>200</v>
      </c>
      <c r="D28" s="38" t="s">
        <v>207</v>
      </c>
      <c r="E28" s="38" t="s">
        <v>204</v>
      </c>
      <c r="F28" s="38" t="str">
        <f t="shared" si="0"/>
        <v>Active</v>
      </c>
      <c r="G28" s="50"/>
      <c r="H28" s="50"/>
      <c r="I28" s="50"/>
      <c r="J28" s="50"/>
      <c r="K28" s="50"/>
      <c r="L28" s="50"/>
      <c r="M28" s="50"/>
      <c r="N28" s="50"/>
      <c r="O28" s="50"/>
      <c r="P28" s="38"/>
      <c r="Q28" s="95" t="s">
        <v>168</v>
      </c>
      <c r="R28" s="95" t="s">
        <v>168</v>
      </c>
      <c r="S28" s="38" t="s">
        <v>162</v>
      </c>
      <c r="T28" s="38" t="s">
        <v>241</v>
      </c>
      <c r="U28" s="38" t="s">
        <v>168</v>
      </c>
    </row>
    <row r="29" spans="1:21" ht="16.5" thickTop="1" thickBot="1" x14ac:dyDescent="0.3">
      <c r="A29" s="38" t="s">
        <v>134</v>
      </c>
      <c r="B29" s="38" t="s">
        <v>101</v>
      </c>
      <c r="C29" s="38" t="s">
        <v>200</v>
      </c>
      <c r="D29" s="38" t="s">
        <v>207</v>
      </c>
      <c r="E29" s="38" t="s">
        <v>204</v>
      </c>
      <c r="F29" s="38" t="str">
        <f t="shared" si="0"/>
        <v>Active</v>
      </c>
      <c r="G29" s="50"/>
      <c r="H29" s="50"/>
      <c r="I29" s="50"/>
      <c r="J29" s="50"/>
      <c r="K29" s="50"/>
      <c r="L29" s="50"/>
      <c r="M29" s="50"/>
      <c r="N29" s="50"/>
      <c r="O29" s="50"/>
      <c r="P29" s="38"/>
      <c r="Q29" s="95" t="s">
        <v>168</v>
      </c>
      <c r="R29" s="95" t="s">
        <v>168</v>
      </c>
      <c r="S29" s="38" t="s">
        <v>172</v>
      </c>
      <c r="T29" s="38" t="s">
        <v>241</v>
      </c>
      <c r="U29" s="38" t="s">
        <v>168</v>
      </c>
    </row>
    <row r="30" spans="1:21" ht="16.5" thickTop="1" thickBot="1" x14ac:dyDescent="0.3">
      <c r="A30" s="38" t="s">
        <v>135</v>
      </c>
      <c r="B30" s="38" t="s">
        <v>102</v>
      </c>
      <c r="C30" s="38" t="s">
        <v>200</v>
      </c>
      <c r="D30" s="38" t="s">
        <v>207</v>
      </c>
      <c r="E30" s="38" t="s">
        <v>204</v>
      </c>
      <c r="F30" s="38" t="str">
        <f t="shared" si="0"/>
        <v>Inactive</v>
      </c>
      <c r="G30" s="50"/>
      <c r="H30" s="50"/>
      <c r="I30" s="50"/>
      <c r="J30" s="50"/>
      <c r="K30" s="50"/>
      <c r="L30" s="50"/>
      <c r="M30" s="50"/>
      <c r="N30" s="50"/>
      <c r="O30" s="50"/>
      <c r="P30" s="50">
        <v>44470</v>
      </c>
      <c r="Q30" s="95" t="s">
        <v>168</v>
      </c>
      <c r="R30" s="95" t="s">
        <v>168</v>
      </c>
      <c r="S30" s="38" t="s">
        <v>162</v>
      </c>
      <c r="T30" s="38" t="s">
        <v>241</v>
      </c>
      <c r="U30" s="38" t="s">
        <v>168</v>
      </c>
    </row>
    <row r="31" spans="1:21" ht="16.5" thickTop="1" thickBot="1" x14ac:dyDescent="0.3">
      <c r="A31" s="38" t="s">
        <v>136</v>
      </c>
      <c r="B31" s="38" t="s">
        <v>103</v>
      </c>
      <c r="C31" s="38" t="s">
        <v>200</v>
      </c>
      <c r="D31" s="38" t="s">
        <v>207</v>
      </c>
      <c r="E31" s="38" t="s">
        <v>204</v>
      </c>
      <c r="F31" s="38" t="str">
        <f t="shared" si="0"/>
        <v>Active</v>
      </c>
      <c r="G31" s="50"/>
      <c r="H31" s="50"/>
      <c r="I31" s="50"/>
      <c r="J31" s="50"/>
      <c r="K31" s="50"/>
      <c r="L31" s="50"/>
      <c r="M31" s="50"/>
      <c r="N31" s="50"/>
      <c r="O31" s="50"/>
      <c r="P31" s="38"/>
      <c r="Q31" s="95" t="s">
        <v>168</v>
      </c>
      <c r="R31" s="95" t="s">
        <v>168</v>
      </c>
      <c r="S31" s="38" t="s">
        <v>162</v>
      </c>
      <c r="T31" s="38" t="s">
        <v>241</v>
      </c>
      <c r="U31" s="38" t="s">
        <v>168</v>
      </c>
    </row>
    <row r="32" spans="1:21" ht="16.5" thickTop="1" thickBot="1" x14ac:dyDescent="0.3">
      <c r="A32" s="38" t="s">
        <v>137</v>
      </c>
      <c r="B32" s="38" t="s">
        <v>104</v>
      </c>
      <c r="C32" s="38" t="s">
        <v>200</v>
      </c>
      <c r="D32" s="38" t="s">
        <v>207</v>
      </c>
      <c r="E32" s="38" t="s">
        <v>204</v>
      </c>
      <c r="F32" s="38" t="str">
        <f t="shared" si="0"/>
        <v>Active</v>
      </c>
      <c r="G32" s="50"/>
      <c r="H32" s="50"/>
      <c r="I32" s="50"/>
      <c r="J32" s="50"/>
      <c r="K32" s="50"/>
      <c r="L32" s="50"/>
      <c r="M32" s="50"/>
      <c r="N32" s="50"/>
      <c r="O32" s="50"/>
      <c r="P32" s="38"/>
      <c r="Q32" s="95" t="s">
        <v>168</v>
      </c>
      <c r="R32" s="95" t="s">
        <v>168</v>
      </c>
      <c r="S32" s="38" t="s">
        <v>162</v>
      </c>
      <c r="T32" s="38" t="s">
        <v>241</v>
      </c>
      <c r="U32" s="38" t="s">
        <v>168</v>
      </c>
    </row>
    <row r="33" spans="1:21" ht="16.5" thickTop="1" thickBot="1" x14ac:dyDescent="0.3">
      <c r="A33" s="38" t="s">
        <v>138</v>
      </c>
      <c r="B33" s="38" t="s">
        <v>105</v>
      </c>
      <c r="C33" s="38" t="s">
        <v>200</v>
      </c>
      <c r="D33" s="38" t="s">
        <v>207</v>
      </c>
      <c r="E33" s="38" t="s">
        <v>204</v>
      </c>
      <c r="F33" s="38" t="str">
        <f t="shared" si="0"/>
        <v>Active</v>
      </c>
      <c r="G33" s="50"/>
      <c r="H33" s="50"/>
      <c r="I33" s="50"/>
      <c r="J33" s="50"/>
      <c r="K33" s="50"/>
      <c r="L33" s="50"/>
      <c r="M33" s="50"/>
      <c r="N33" s="50"/>
      <c r="O33" s="50"/>
      <c r="P33" s="38"/>
      <c r="Q33" s="95" t="s">
        <v>168</v>
      </c>
      <c r="R33" s="95" t="s">
        <v>168</v>
      </c>
      <c r="S33" s="38" t="s">
        <v>162</v>
      </c>
      <c r="T33" s="38" t="s">
        <v>241</v>
      </c>
      <c r="U33" s="38" t="s">
        <v>168</v>
      </c>
    </row>
    <row r="34" spans="1:21" ht="16.5" thickTop="1" thickBot="1" x14ac:dyDescent="0.3">
      <c r="A34" s="38" t="s">
        <v>139</v>
      </c>
      <c r="B34" s="38" t="s">
        <v>106</v>
      </c>
      <c r="C34" s="38" t="s">
        <v>200</v>
      </c>
      <c r="D34" s="38" t="s">
        <v>207</v>
      </c>
      <c r="E34" s="38" t="s">
        <v>204</v>
      </c>
      <c r="F34" s="38" t="str">
        <f t="shared" si="0"/>
        <v>Active</v>
      </c>
      <c r="G34" s="50"/>
      <c r="H34" s="50"/>
      <c r="I34" s="50"/>
      <c r="J34" s="50"/>
      <c r="K34" s="50"/>
      <c r="L34" s="50"/>
      <c r="M34" s="50"/>
      <c r="N34" s="50"/>
      <c r="O34" s="50"/>
      <c r="P34" s="38"/>
      <c r="Q34" s="95" t="s">
        <v>168</v>
      </c>
      <c r="R34" s="95" t="s">
        <v>168</v>
      </c>
      <c r="S34" s="38" t="s">
        <v>162</v>
      </c>
      <c r="T34" s="38" t="s">
        <v>241</v>
      </c>
      <c r="U34" s="38" t="s">
        <v>168</v>
      </c>
    </row>
    <row r="35" spans="1:21" ht="16.5" thickTop="1" thickBot="1" x14ac:dyDescent="0.3">
      <c r="A35" s="38" t="s">
        <v>140</v>
      </c>
      <c r="B35" s="38" t="s">
        <v>107</v>
      </c>
      <c r="C35" s="38" t="s">
        <v>200</v>
      </c>
      <c r="D35" s="38" t="s">
        <v>207</v>
      </c>
      <c r="E35" s="38" t="s">
        <v>204</v>
      </c>
      <c r="F35" s="38" t="str">
        <f t="shared" si="0"/>
        <v>Active</v>
      </c>
      <c r="G35" s="50"/>
      <c r="H35" s="50"/>
      <c r="I35" s="50"/>
      <c r="J35" s="50"/>
      <c r="K35" s="50"/>
      <c r="L35" s="50"/>
      <c r="M35" s="50"/>
      <c r="N35" s="50"/>
      <c r="O35" s="50"/>
      <c r="P35" s="38"/>
      <c r="Q35" s="95" t="s">
        <v>168</v>
      </c>
      <c r="R35" s="95" t="s">
        <v>168</v>
      </c>
      <c r="S35" s="38" t="s">
        <v>162</v>
      </c>
      <c r="T35" s="38" t="s">
        <v>241</v>
      </c>
      <c r="U35" s="38" t="s">
        <v>168</v>
      </c>
    </row>
    <row r="36" spans="1:21" ht="16.5" thickTop="1" thickBot="1" x14ac:dyDescent="0.3">
      <c r="A36" s="38" t="s">
        <v>141</v>
      </c>
      <c r="B36" s="38" t="s">
        <v>238</v>
      </c>
      <c r="C36" s="38" t="s">
        <v>200</v>
      </c>
      <c r="D36" s="38" t="s">
        <v>207</v>
      </c>
      <c r="E36" s="38" t="s">
        <v>204</v>
      </c>
      <c r="F36" s="38" t="str">
        <f t="shared" si="0"/>
        <v>Active</v>
      </c>
      <c r="G36" s="50"/>
      <c r="H36" s="50"/>
      <c r="I36" s="50"/>
      <c r="J36" s="50"/>
      <c r="K36" s="50"/>
      <c r="L36" s="50"/>
      <c r="M36" s="50"/>
      <c r="N36" s="50"/>
      <c r="O36" s="50"/>
      <c r="P36" s="38"/>
      <c r="Q36" s="95" t="s">
        <v>168</v>
      </c>
      <c r="R36" s="95" t="s">
        <v>168</v>
      </c>
      <c r="S36" s="38" t="s">
        <v>162</v>
      </c>
      <c r="T36" s="38" t="s">
        <v>241</v>
      </c>
      <c r="U36" s="38" t="s">
        <v>168</v>
      </c>
    </row>
    <row r="37" spans="1:21" ht="16.5" thickTop="1" thickBot="1" x14ac:dyDescent="0.3">
      <c r="A37" s="38" t="s">
        <v>142</v>
      </c>
      <c r="B37" s="38" t="s">
        <v>108</v>
      </c>
      <c r="C37" s="38" t="s">
        <v>200</v>
      </c>
      <c r="D37" s="38" t="s">
        <v>207</v>
      </c>
      <c r="E37" s="38" t="s">
        <v>204</v>
      </c>
      <c r="F37" s="38" t="str">
        <f t="shared" si="0"/>
        <v>Active</v>
      </c>
      <c r="G37" s="50"/>
      <c r="H37" s="50"/>
      <c r="I37" s="50"/>
      <c r="J37" s="50"/>
      <c r="K37" s="50"/>
      <c r="L37" s="50"/>
      <c r="M37" s="50"/>
      <c r="N37" s="50"/>
      <c r="O37" s="50"/>
      <c r="P37" s="38"/>
      <c r="Q37" s="95" t="s">
        <v>168</v>
      </c>
      <c r="R37" s="95" t="s">
        <v>168</v>
      </c>
      <c r="S37" s="38" t="s">
        <v>162</v>
      </c>
      <c r="T37" s="38" t="s">
        <v>241</v>
      </c>
      <c r="U37" s="38" t="s">
        <v>168</v>
      </c>
    </row>
    <row r="38" spans="1:21" ht="16.5" thickTop="1" thickBot="1" x14ac:dyDescent="0.3">
      <c r="A38" s="38" t="s">
        <v>143</v>
      </c>
      <c r="B38" s="38" t="s">
        <v>109</v>
      </c>
      <c r="C38" s="38" t="s">
        <v>200</v>
      </c>
      <c r="D38" s="38" t="s">
        <v>207</v>
      </c>
      <c r="E38" s="38" t="s">
        <v>204</v>
      </c>
      <c r="F38" s="38" t="str">
        <f t="shared" si="0"/>
        <v>Active</v>
      </c>
      <c r="G38" s="50"/>
      <c r="H38" s="50"/>
      <c r="I38" s="50"/>
      <c r="J38" s="50"/>
      <c r="K38" s="50"/>
      <c r="L38" s="50"/>
      <c r="M38" s="50"/>
      <c r="N38" s="50"/>
      <c r="O38" s="50"/>
      <c r="P38" s="38"/>
      <c r="Q38" s="95" t="s">
        <v>168</v>
      </c>
      <c r="R38" s="95" t="s">
        <v>168</v>
      </c>
      <c r="S38" s="38" t="s">
        <v>162</v>
      </c>
      <c r="T38" s="38" t="s">
        <v>241</v>
      </c>
      <c r="U38" s="38" t="s">
        <v>168</v>
      </c>
    </row>
    <row r="39" spans="1:21" ht="16.5" thickTop="1" thickBot="1" x14ac:dyDescent="0.3">
      <c r="A39" s="38" t="s">
        <v>144</v>
      </c>
      <c r="B39" s="38" t="s">
        <v>110</v>
      </c>
      <c r="C39" s="38" t="s">
        <v>200</v>
      </c>
      <c r="D39" s="38" t="s">
        <v>207</v>
      </c>
      <c r="E39" s="38" t="s">
        <v>204</v>
      </c>
      <c r="F39" s="38" t="str">
        <f t="shared" ref="F39:F74" si="1">IF(A39&lt;&gt;"",IF(NOT(ISBLANK($P39)),"Inactive","Active"),"")</f>
        <v>Active</v>
      </c>
      <c r="G39" s="50"/>
      <c r="H39" s="50"/>
      <c r="I39" s="50"/>
      <c r="J39" s="50"/>
      <c r="K39" s="50"/>
      <c r="L39" s="50"/>
      <c r="M39" s="50"/>
      <c r="N39" s="50"/>
      <c r="O39" s="50"/>
      <c r="P39" s="38"/>
      <c r="Q39" s="95" t="s">
        <v>168</v>
      </c>
      <c r="R39" s="95" t="s">
        <v>168</v>
      </c>
      <c r="S39" s="38" t="s">
        <v>162</v>
      </c>
      <c r="T39" s="38" t="s">
        <v>241</v>
      </c>
      <c r="U39" s="38" t="s">
        <v>168</v>
      </c>
    </row>
    <row r="40" spans="1:21" ht="16.5" thickTop="1" thickBot="1" x14ac:dyDescent="0.3">
      <c r="A40" s="38" t="s">
        <v>145</v>
      </c>
      <c r="B40" s="38" t="s">
        <v>111</v>
      </c>
      <c r="C40" s="38" t="s">
        <v>200</v>
      </c>
      <c r="D40" s="38" t="s">
        <v>207</v>
      </c>
      <c r="E40" s="38" t="s">
        <v>204</v>
      </c>
      <c r="F40" s="38" t="str">
        <f t="shared" si="1"/>
        <v>Active</v>
      </c>
      <c r="G40" s="50"/>
      <c r="H40" s="50"/>
      <c r="I40" s="50"/>
      <c r="J40" s="50"/>
      <c r="K40" s="50"/>
      <c r="L40" s="50"/>
      <c r="M40" s="50"/>
      <c r="N40" s="50"/>
      <c r="O40" s="50"/>
      <c r="P40" s="38"/>
      <c r="Q40" s="95" t="s">
        <v>168</v>
      </c>
      <c r="R40" s="95" t="s">
        <v>168</v>
      </c>
      <c r="S40" s="38" t="s">
        <v>162</v>
      </c>
      <c r="T40" s="38" t="s">
        <v>241</v>
      </c>
      <c r="U40" s="38" t="s">
        <v>168</v>
      </c>
    </row>
    <row r="41" spans="1:21" ht="16.5" thickTop="1" thickBot="1" x14ac:dyDescent="0.3">
      <c r="A41" s="38" t="s">
        <v>146</v>
      </c>
      <c r="B41" s="38" t="s">
        <v>112</v>
      </c>
      <c r="C41" s="38" t="s">
        <v>200</v>
      </c>
      <c r="D41" s="38" t="s">
        <v>207</v>
      </c>
      <c r="E41" s="38" t="s">
        <v>204</v>
      </c>
      <c r="F41" s="38" t="str">
        <f t="shared" si="1"/>
        <v>Active</v>
      </c>
      <c r="G41" s="50"/>
      <c r="H41" s="50"/>
      <c r="I41" s="50"/>
      <c r="J41" s="50"/>
      <c r="K41" s="50"/>
      <c r="L41" s="50"/>
      <c r="M41" s="50"/>
      <c r="N41" s="50"/>
      <c r="O41" s="50"/>
      <c r="P41" s="38"/>
      <c r="Q41" s="95" t="s">
        <v>168</v>
      </c>
      <c r="R41" s="95" t="s">
        <v>168</v>
      </c>
      <c r="S41" s="38" t="s">
        <v>162</v>
      </c>
      <c r="T41" s="38" t="s">
        <v>241</v>
      </c>
      <c r="U41" s="38" t="s">
        <v>168</v>
      </c>
    </row>
    <row r="42" spans="1:21" ht="16.5" thickTop="1" thickBot="1" x14ac:dyDescent="0.3">
      <c r="A42" s="38" t="s">
        <v>147</v>
      </c>
      <c r="B42" s="38" t="s">
        <v>113</v>
      </c>
      <c r="C42" s="38" t="s">
        <v>200</v>
      </c>
      <c r="D42" s="38" t="s">
        <v>207</v>
      </c>
      <c r="E42" s="38" t="s">
        <v>204</v>
      </c>
      <c r="F42" s="38" t="str">
        <f t="shared" si="1"/>
        <v>Active</v>
      </c>
      <c r="G42" s="50"/>
      <c r="H42" s="50"/>
      <c r="I42" s="50"/>
      <c r="J42" s="50"/>
      <c r="K42" s="50"/>
      <c r="L42" s="50"/>
      <c r="M42" s="50"/>
      <c r="N42" s="50"/>
      <c r="O42" s="50"/>
      <c r="P42" s="38"/>
      <c r="Q42" s="95" t="s">
        <v>168</v>
      </c>
      <c r="R42" s="95" t="s">
        <v>168</v>
      </c>
      <c r="S42" s="38" t="s">
        <v>162</v>
      </c>
      <c r="T42" s="38" t="s">
        <v>241</v>
      </c>
      <c r="U42" s="38" t="s">
        <v>168</v>
      </c>
    </row>
    <row r="43" spans="1:21" ht="16.5" thickTop="1" thickBot="1" x14ac:dyDescent="0.3">
      <c r="A43" s="38" t="s">
        <v>148</v>
      </c>
      <c r="B43" s="38" t="s">
        <v>114</v>
      </c>
      <c r="C43" s="38" t="s">
        <v>200</v>
      </c>
      <c r="D43" s="38" t="s">
        <v>207</v>
      </c>
      <c r="E43" s="38" t="s">
        <v>205</v>
      </c>
      <c r="F43" s="38" t="str">
        <f t="shared" si="1"/>
        <v>Active</v>
      </c>
      <c r="G43" s="50"/>
      <c r="H43" s="50"/>
      <c r="I43" s="50"/>
      <c r="J43" s="50"/>
      <c r="K43" s="50"/>
      <c r="L43" s="50"/>
      <c r="M43" s="50"/>
      <c r="N43" s="50"/>
      <c r="O43" s="50"/>
      <c r="P43" s="38"/>
      <c r="Q43" s="95" t="s">
        <v>168</v>
      </c>
      <c r="R43" s="95" t="s">
        <v>168</v>
      </c>
      <c r="S43" s="38" t="s">
        <v>162</v>
      </c>
      <c r="T43" s="38" t="s">
        <v>241</v>
      </c>
      <c r="U43" s="38" t="s">
        <v>168</v>
      </c>
    </row>
    <row r="44" spans="1:21" ht="16.5" thickTop="1" thickBot="1" x14ac:dyDescent="0.3">
      <c r="A44" s="38" t="s">
        <v>149</v>
      </c>
      <c r="B44" s="38" t="s">
        <v>115</v>
      </c>
      <c r="C44" s="38" t="s">
        <v>200</v>
      </c>
      <c r="D44" s="38" t="s">
        <v>207</v>
      </c>
      <c r="E44" s="38" t="s">
        <v>205</v>
      </c>
      <c r="F44" s="38" t="str">
        <f t="shared" si="1"/>
        <v>Inactive</v>
      </c>
      <c r="G44" s="50"/>
      <c r="H44" s="50"/>
      <c r="I44" s="50"/>
      <c r="J44" s="50"/>
      <c r="K44" s="50"/>
      <c r="L44" s="50"/>
      <c r="M44" s="50"/>
      <c r="N44" s="50"/>
      <c r="O44" s="50"/>
      <c r="P44" s="50">
        <v>44470</v>
      </c>
      <c r="Q44" s="95" t="s">
        <v>168</v>
      </c>
      <c r="R44" s="95" t="s">
        <v>168</v>
      </c>
      <c r="S44" s="38" t="s">
        <v>162</v>
      </c>
      <c r="T44" s="38" t="s">
        <v>241</v>
      </c>
      <c r="U44" s="38" t="s">
        <v>168</v>
      </c>
    </row>
    <row r="45" spans="1:21" ht="16.5" thickTop="1" thickBot="1" x14ac:dyDescent="0.3">
      <c r="A45" s="38" t="s">
        <v>181</v>
      </c>
      <c r="B45" s="38" t="s">
        <v>116</v>
      </c>
      <c r="C45" s="38" t="s">
        <v>200</v>
      </c>
      <c r="D45" s="38" t="s">
        <v>207</v>
      </c>
      <c r="E45" s="38" t="s">
        <v>205</v>
      </c>
      <c r="F45" s="38" t="str">
        <f t="shared" si="1"/>
        <v>Active</v>
      </c>
      <c r="G45" s="50"/>
      <c r="H45" s="50"/>
      <c r="I45" s="50"/>
      <c r="J45" s="50"/>
      <c r="K45" s="50"/>
      <c r="L45" s="50"/>
      <c r="M45" s="50"/>
      <c r="N45" s="50"/>
      <c r="O45" s="50"/>
      <c r="P45" s="38"/>
      <c r="Q45" s="95" t="s">
        <v>168</v>
      </c>
      <c r="R45" s="95" t="s">
        <v>168</v>
      </c>
      <c r="S45" s="38" t="s">
        <v>162</v>
      </c>
      <c r="T45" s="38" t="s">
        <v>241</v>
      </c>
      <c r="U45" s="38" t="s">
        <v>168</v>
      </c>
    </row>
    <row r="46" spans="1:21" ht="16.5" thickTop="1" thickBot="1" x14ac:dyDescent="0.3">
      <c r="A46" s="38"/>
      <c r="B46" s="38"/>
      <c r="C46" s="38"/>
      <c r="D46" s="38"/>
      <c r="E46" s="38"/>
      <c r="F46" s="38" t="str">
        <f t="shared" si="1"/>
        <v/>
      </c>
      <c r="G46" s="50"/>
      <c r="H46" s="50"/>
      <c r="I46" s="50"/>
      <c r="J46" s="50"/>
      <c r="K46" s="50"/>
      <c r="L46" s="50"/>
      <c r="M46" s="38"/>
      <c r="N46" s="38"/>
      <c r="O46" s="38"/>
      <c r="P46" s="38"/>
      <c r="Q46" s="95"/>
      <c r="R46" s="95"/>
      <c r="S46" s="38"/>
      <c r="T46" s="38"/>
      <c r="U46" s="38"/>
    </row>
    <row r="47" spans="1:21" ht="16.5" thickTop="1" thickBot="1" x14ac:dyDescent="0.3">
      <c r="A47" s="38"/>
      <c r="B47" s="38"/>
      <c r="C47" s="38"/>
      <c r="D47" s="38"/>
      <c r="E47" s="38"/>
      <c r="F47" s="38" t="str">
        <f t="shared" si="1"/>
        <v/>
      </c>
      <c r="G47" s="50"/>
      <c r="H47" s="50"/>
      <c r="I47" s="50"/>
      <c r="J47" s="50"/>
      <c r="K47" s="50"/>
      <c r="L47" s="50"/>
      <c r="M47" s="38"/>
      <c r="N47" s="38"/>
      <c r="O47" s="38"/>
      <c r="P47" s="38"/>
      <c r="Q47" s="95"/>
      <c r="R47" s="95"/>
      <c r="S47" s="38"/>
      <c r="T47" s="38"/>
      <c r="U47" s="38"/>
    </row>
    <row r="48" spans="1:21" ht="16.5" thickTop="1" thickBot="1" x14ac:dyDescent="0.3">
      <c r="A48" s="38"/>
      <c r="B48" s="38"/>
      <c r="C48" s="38"/>
      <c r="D48" s="38"/>
      <c r="E48" s="38"/>
      <c r="F48" s="38" t="str">
        <f t="shared" si="1"/>
        <v/>
      </c>
      <c r="G48" s="50"/>
      <c r="H48" s="50"/>
      <c r="I48" s="50"/>
      <c r="J48" s="50"/>
      <c r="K48" s="50"/>
      <c r="L48" s="50"/>
      <c r="M48" s="38"/>
      <c r="N48" s="38"/>
      <c r="O48" s="38"/>
      <c r="P48" s="38"/>
      <c r="Q48" s="95"/>
      <c r="R48" s="95"/>
      <c r="S48" s="38"/>
      <c r="T48" s="38"/>
      <c r="U48" s="38"/>
    </row>
    <row r="49" spans="1:21" ht="16.5" thickTop="1" thickBot="1" x14ac:dyDescent="0.3">
      <c r="A49" s="38"/>
      <c r="B49" s="38"/>
      <c r="C49" s="38"/>
      <c r="D49" s="38"/>
      <c r="E49" s="38"/>
      <c r="F49" s="38" t="str">
        <f t="shared" si="1"/>
        <v/>
      </c>
      <c r="G49" s="50"/>
      <c r="H49" s="50"/>
      <c r="I49" s="50"/>
      <c r="J49" s="50"/>
      <c r="K49" s="50"/>
      <c r="L49" s="50"/>
      <c r="M49" s="38"/>
      <c r="N49" s="38"/>
      <c r="O49" s="38"/>
      <c r="P49" s="38"/>
      <c r="Q49" s="95"/>
      <c r="R49" s="95"/>
      <c r="S49" s="38"/>
      <c r="T49" s="38"/>
      <c r="U49" s="38"/>
    </row>
    <row r="50" spans="1:21" ht="16.5" thickTop="1" thickBot="1" x14ac:dyDescent="0.3">
      <c r="A50" s="38"/>
      <c r="B50" s="38"/>
      <c r="C50" s="38"/>
      <c r="D50" s="38"/>
      <c r="E50" s="38"/>
      <c r="F50" s="38" t="str">
        <f t="shared" si="1"/>
        <v/>
      </c>
      <c r="G50" s="50"/>
      <c r="H50" s="50"/>
      <c r="I50" s="50"/>
      <c r="J50" s="50"/>
      <c r="K50" s="50"/>
      <c r="L50" s="50"/>
      <c r="M50" s="38"/>
      <c r="N50" s="38"/>
      <c r="O50" s="38"/>
      <c r="P50" s="38"/>
      <c r="Q50" s="95"/>
      <c r="R50" s="95"/>
      <c r="S50" s="38"/>
      <c r="T50" s="38"/>
      <c r="U50" s="38"/>
    </row>
    <row r="51" spans="1:21" ht="16.5" thickTop="1" thickBot="1" x14ac:dyDescent="0.3">
      <c r="A51" s="38"/>
      <c r="B51" s="38"/>
      <c r="C51" s="38"/>
      <c r="D51" s="38"/>
      <c r="E51" s="38"/>
      <c r="F51" s="38" t="str">
        <f t="shared" si="1"/>
        <v/>
      </c>
      <c r="G51" s="50"/>
      <c r="H51" s="50"/>
      <c r="I51" s="50"/>
      <c r="J51" s="50"/>
      <c r="K51" s="50"/>
      <c r="L51" s="50"/>
      <c r="M51" s="38"/>
      <c r="N51" s="38"/>
      <c r="O51" s="38"/>
      <c r="P51" s="38"/>
      <c r="Q51" s="95"/>
      <c r="R51" s="95"/>
      <c r="S51" s="38"/>
      <c r="T51" s="38"/>
      <c r="U51" s="38"/>
    </row>
    <row r="52" spans="1:21" ht="16.5" thickTop="1" thickBot="1" x14ac:dyDescent="0.3">
      <c r="A52" s="38"/>
      <c r="B52" s="38"/>
      <c r="C52" s="38"/>
      <c r="D52" s="38"/>
      <c r="E52" s="38"/>
      <c r="F52" s="38" t="str">
        <f t="shared" si="1"/>
        <v/>
      </c>
      <c r="G52" s="50"/>
      <c r="H52" s="50"/>
      <c r="I52" s="50"/>
      <c r="J52" s="50"/>
      <c r="K52" s="50"/>
      <c r="L52" s="50"/>
      <c r="M52" s="38"/>
      <c r="N52" s="38"/>
      <c r="O52" s="38"/>
      <c r="P52" s="38"/>
      <c r="Q52" s="95"/>
      <c r="R52" s="95"/>
      <c r="S52" s="38"/>
      <c r="T52" s="38"/>
      <c r="U52" s="38"/>
    </row>
    <row r="53" spans="1:21" ht="16.5" thickTop="1" thickBot="1" x14ac:dyDescent="0.3">
      <c r="A53" s="38"/>
      <c r="B53" s="38"/>
      <c r="C53" s="38"/>
      <c r="D53" s="38"/>
      <c r="E53" s="38"/>
      <c r="F53" s="38" t="str">
        <f t="shared" si="1"/>
        <v/>
      </c>
      <c r="G53" s="50"/>
      <c r="H53" s="50"/>
      <c r="I53" s="50"/>
      <c r="J53" s="50"/>
      <c r="K53" s="50"/>
      <c r="L53" s="50"/>
      <c r="M53" s="38"/>
      <c r="N53" s="38"/>
      <c r="O53" s="38"/>
      <c r="P53" s="38"/>
      <c r="Q53" s="95"/>
      <c r="R53" s="95"/>
      <c r="S53" s="38"/>
      <c r="T53" s="38"/>
      <c r="U53" s="38"/>
    </row>
    <row r="54" spans="1:21" ht="16.5" thickTop="1" thickBot="1" x14ac:dyDescent="0.3">
      <c r="A54" s="38"/>
      <c r="B54" s="38"/>
      <c r="C54" s="38"/>
      <c r="D54" s="38"/>
      <c r="E54" s="38"/>
      <c r="F54" s="38" t="str">
        <f t="shared" si="1"/>
        <v/>
      </c>
      <c r="G54" s="50"/>
      <c r="H54" s="50"/>
      <c r="I54" s="50"/>
      <c r="J54" s="50"/>
      <c r="K54" s="50"/>
      <c r="L54" s="50"/>
      <c r="M54" s="38"/>
      <c r="N54" s="38"/>
      <c r="O54" s="38"/>
      <c r="P54" s="38"/>
      <c r="Q54" s="95"/>
      <c r="R54" s="95"/>
      <c r="S54" s="38"/>
      <c r="T54" s="38"/>
      <c r="U54" s="38"/>
    </row>
    <row r="55" spans="1:21" ht="16.5" thickTop="1" thickBot="1" x14ac:dyDescent="0.3">
      <c r="A55" s="38"/>
      <c r="B55" s="38"/>
      <c r="C55" s="38"/>
      <c r="D55" s="38"/>
      <c r="E55" s="38"/>
      <c r="F55" s="38" t="str">
        <f t="shared" si="1"/>
        <v/>
      </c>
      <c r="G55" s="50"/>
      <c r="H55" s="50"/>
      <c r="I55" s="50"/>
      <c r="J55" s="50"/>
      <c r="K55" s="50"/>
      <c r="L55" s="50"/>
      <c r="M55" s="38"/>
      <c r="N55" s="38"/>
      <c r="O55" s="38"/>
      <c r="P55" s="38"/>
      <c r="Q55" s="95"/>
      <c r="R55" s="95"/>
      <c r="S55" s="38"/>
      <c r="T55" s="38"/>
      <c r="U55" s="38"/>
    </row>
    <row r="56" spans="1:21" ht="16.5" thickTop="1" thickBot="1" x14ac:dyDescent="0.3">
      <c r="A56" s="38"/>
      <c r="B56" s="38"/>
      <c r="C56" s="38"/>
      <c r="D56" s="38"/>
      <c r="E56" s="38"/>
      <c r="F56" s="38" t="str">
        <f t="shared" si="1"/>
        <v/>
      </c>
      <c r="G56" s="50"/>
      <c r="H56" s="50"/>
      <c r="I56" s="50"/>
      <c r="J56" s="50"/>
      <c r="K56" s="50"/>
      <c r="L56" s="50"/>
      <c r="M56" s="38"/>
      <c r="N56" s="38"/>
      <c r="O56" s="38"/>
      <c r="P56" s="38"/>
      <c r="Q56" s="95"/>
      <c r="R56" s="95"/>
      <c r="S56" s="38"/>
      <c r="T56" s="38"/>
      <c r="U56" s="38"/>
    </row>
    <row r="57" spans="1:21" ht="16.5" thickTop="1" thickBot="1" x14ac:dyDescent="0.3">
      <c r="A57" s="38"/>
      <c r="B57" s="38"/>
      <c r="C57" s="38"/>
      <c r="D57" s="38"/>
      <c r="E57" s="38"/>
      <c r="F57" s="38" t="str">
        <f t="shared" si="1"/>
        <v/>
      </c>
      <c r="G57" s="50"/>
      <c r="H57" s="50"/>
      <c r="I57" s="50"/>
      <c r="J57" s="50"/>
      <c r="K57" s="50"/>
      <c r="L57" s="50"/>
      <c r="M57" s="38"/>
      <c r="N57" s="38"/>
      <c r="O57" s="38"/>
      <c r="P57" s="38"/>
      <c r="Q57" s="95"/>
      <c r="R57" s="95"/>
      <c r="S57" s="38"/>
      <c r="T57" s="38"/>
      <c r="U57" s="38"/>
    </row>
    <row r="58" spans="1:21" ht="16.5" thickTop="1" thickBot="1" x14ac:dyDescent="0.3">
      <c r="A58" s="38"/>
      <c r="B58" s="38"/>
      <c r="C58" s="38"/>
      <c r="D58" s="38"/>
      <c r="E58" s="38"/>
      <c r="F58" s="38" t="str">
        <f t="shared" si="1"/>
        <v/>
      </c>
      <c r="G58" s="50"/>
      <c r="H58" s="50"/>
      <c r="I58" s="50"/>
      <c r="J58" s="50"/>
      <c r="K58" s="50"/>
      <c r="L58" s="50"/>
      <c r="M58" s="38"/>
      <c r="N58" s="38"/>
      <c r="O58" s="38"/>
      <c r="P58" s="38"/>
      <c r="Q58" s="95"/>
      <c r="R58" s="95"/>
      <c r="S58" s="38"/>
      <c r="T58" s="38"/>
      <c r="U58" s="38"/>
    </row>
    <row r="59" spans="1:21" ht="16.5" thickTop="1" thickBot="1" x14ac:dyDescent="0.3">
      <c r="A59" s="38"/>
      <c r="B59" s="38"/>
      <c r="C59" s="38"/>
      <c r="D59" s="38"/>
      <c r="E59" s="38"/>
      <c r="F59" s="38" t="str">
        <f t="shared" si="1"/>
        <v/>
      </c>
      <c r="G59" s="50"/>
      <c r="H59" s="50"/>
      <c r="I59" s="50"/>
      <c r="J59" s="50"/>
      <c r="K59" s="50"/>
      <c r="L59" s="50"/>
      <c r="M59" s="38"/>
      <c r="N59" s="38"/>
      <c r="O59" s="38"/>
      <c r="P59" s="38"/>
      <c r="Q59" s="95"/>
      <c r="R59" s="95"/>
      <c r="S59" s="38"/>
      <c r="T59" s="38"/>
      <c r="U59" s="38"/>
    </row>
    <row r="60" spans="1:21" ht="16.5" thickTop="1" thickBot="1" x14ac:dyDescent="0.3">
      <c r="A60" s="38"/>
      <c r="B60" s="38"/>
      <c r="C60" s="38"/>
      <c r="D60" s="38"/>
      <c r="E60" s="38"/>
      <c r="F60" s="38" t="str">
        <f t="shared" si="1"/>
        <v/>
      </c>
      <c r="G60" s="50"/>
      <c r="H60" s="50"/>
      <c r="I60" s="50"/>
      <c r="J60" s="50"/>
      <c r="K60" s="50"/>
      <c r="L60" s="50"/>
      <c r="M60" s="38"/>
      <c r="N60" s="38"/>
      <c r="O60" s="38"/>
      <c r="P60" s="38"/>
      <c r="Q60" s="95"/>
      <c r="R60" s="95"/>
      <c r="S60" s="38"/>
      <c r="T60" s="38"/>
      <c r="U60" s="38"/>
    </row>
    <row r="61" spans="1:21" ht="16.5" thickTop="1" thickBot="1" x14ac:dyDescent="0.3">
      <c r="A61" s="38"/>
      <c r="B61" s="38"/>
      <c r="C61" s="38"/>
      <c r="D61" s="38"/>
      <c r="E61" s="38"/>
      <c r="F61" s="38" t="str">
        <f t="shared" si="1"/>
        <v/>
      </c>
      <c r="G61" s="50"/>
      <c r="H61" s="50"/>
      <c r="I61" s="50"/>
      <c r="J61" s="50"/>
      <c r="K61" s="50"/>
      <c r="L61" s="50"/>
      <c r="M61" s="38"/>
      <c r="N61" s="38"/>
      <c r="O61" s="38"/>
      <c r="P61" s="38"/>
      <c r="Q61" s="95"/>
      <c r="R61" s="95"/>
      <c r="S61" s="38"/>
      <c r="T61" s="38"/>
      <c r="U61" s="38"/>
    </row>
    <row r="62" spans="1:21" ht="16.5" thickTop="1" thickBot="1" x14ac:dyDescent="0.3">
      <c r="A62" s="38"/>
      <c r="B62" s="38"/>
      <c r="C62" s="38"/>
      <c r="D62" s="38"/>
      <c r="E62" s="38"/>
      <c r="F62" s="38" t="str">
        <f t="shared" si="1"/>
        <v/>
      </c>
      <c r="G62" s="50"/>
      <c r="H62" s="50"/>
      <c r="I62" s="50"/>
      <c r="J62" s="50"/>
      <c r="K62" s="50"/>
      <c r="L62" s="50"/>
      <c r="M62" s="38"/>
      <c r="N62" s="38"/>
      <c r="O62" s="38"/>
      <c r="P62" s="38"/>
      <c r="Q62" s="95"/>
      <c r="R62" s="95"/>
      <c r="S62" s="38"/>
      <c r="T62" s="38"/>
      <c r="U62" s="38"/>
    </row>
    <row r="63" spans="1:21" ht="16.5" thickTop="1" thickBot="1" x14ac:dyDescent="0.3">
      <c r="A63" s="38"/>
      <c r="B63" s="38"/>
      <c r="C63" s="38"/>
      <c r="D63" s="38"/>
      <c r="E63" s="38"/>
      <c r="F63" s="38" t="str">
        <f t="shared" si="1"/>
        <v/>
      </c>
      <c r="G63" s="50"/>
      <c r="H63" s="50"/>
      <c r="I63" s="50"/>
      <c r="J63" s="50"/>
      <c r="K63" s="50"/>
      <c r="L63" s="50"/>
      <c r="M63" s="38"/>
      <c r="N63" s="38"/>
      <c r="O63" s="38"/>
      <c r="P63" s="38"/>
      <c r="Q63" s="95"/>
      <c r="R63" s="95"/>
      <c r="S63" s="38"/>
      <c r="T63" s="38"/>
      <c r="U63" s="38"/>
    </row>
    <row r="64" spans="1:21" ht="16.5" thickTop="1" thickBot="1" x14ac:dyDescent="0.3">
      <c r="A64" s="38"/>
      <c r="B64" s="38"/>
      <c r="C64" s="38"/>
      <c r="D64" s="38"/>
      <c r="E64" s="38"/>
      <c r="F64" s="38" t="str">
        <f t="shared" si="1"/>
        <v/>
      </c>
      <c r="G64" s="50"/>
      <c r="H64" s="50"/>
      <c r="I64" s="50"/>
      <c r="J64" s="50"/>
      <c r="K64" s="50"/>
      <c r="L64" s="50"/>
      <c r="M64" s="38"/>
      <c r="N64" s="38"/>
      <c r="O64" s="38"/>
      <c r="P64" s="38"/>
      <c r="Q64" s="95"/>
      <c r="R64" s="95"/>
      <c r="S64" s="38"/>
      <c r="T64" s="38"/>
      <c r="U64" s="38"/>
    </row>
    <row r="65" spans="1:21" ht="16.5" thickTop="1" thickBot="1" x14ac:dyDescent="0.3">
      <c r="A65" s="38"/>
      <c r="B65" s="38"/>
      <c r="C65" s="38"/>
      <c r="D65" s="38"/>
      <c r="E65" s="38"/>
      <c r="F65" s="38" t="str">
        <f t="shared" si="1"/>
        <v/>
      </c>
      <c r="G65" s="50"/>
      <c r="H65" s="50"/>
      <c r="I65" s="50"/>
      <c r="J65" s="50"/>
      <c r="K65" s="50"/>
      <c r="L65" s="50"/>
      <c r="M65" s="38"/>
      <c r="N65" s="38"/>
      <c r="O65" s="38"/>
      <c r="P65" s="38"/>
      <c r="Q65" s="95"/>
      <c r="R65" s="95"/>
      <c r="S65" s="38"/>
      <c r="T65" s="38"/>
      <c r="U65" s="38"/>
    </row>
    <row r="66" spans="1:21" ht="16.5" thickTop="1" thickBot="1" x14ac:dyDescent="0.3">
      <c r="A66" s="38"/>
      <c r="B66" s="38"/>
      <c r="C66" s="38"/>
      <c r="D66" s="38"/>
      <c r="E66" s="38"/>
      <c r="F66" s="38" t="str">
        <f t="shared" si="1"/>
        <v/>
      </c>
      <c r="G66" s="50"/>
      <c r="H66" s="50"/>
      <c r="I66" s="50"/>
      <c r="J66" s="50"/>
      <c r="K66" s="50"/>
      <c r="L66" s="50"/>
      <c r="M66" s="38"/>
      <c r="N66" s="38"/>
      <c r="O66" s="38"/>
      <c r="P66" s="38"/>
      <c r="Q66" s="95"/>
      <c r="R66" s="95"/>
      <c r="S66" s="38"/>
      <c r="T66" s="38"/>
      <c r="U66" s="38"/>
    </row>
    <row r="67" spans="1:21" ht="16.5" thickTop="1" thickBot="1" x14ac:dyDescent="0.3">
      <c r="A67" s="38"/>
      <c r="B67" s="38"/>
      <c r="C67" s="38"/>
      <c r="D67" s="38"/>
      <c r="E67" s="38"/>
      <c r="F67" s="38" t="str">
        <f t="shared" si="1"/>
        <v/>
      </c>
      <c r="G67" s="50"/>
      <c r="H67" s="50"/>
      <c r="I67" s="50"/>
      <c r="J67" s="50"/>
      <c r="K67" s="50"/>
      <c r="L67" s="50"/>
      <c r="M67" s="38"/>
      <c r="N67" s="38"/>
      <c r="O67" s="38"/>
      <c r="P67" s="38"/>
      <c r="Q67" s="95"/>
      <c r="R67" s="95"/>
      <c r="S67" s="38"/>
      <c r="T67" s="38"/>
      <c r="U67" s="38"/>
    </row>
    <row r="68" spans="1:21" ht="16.5" thickTop="1" thickBot="1" x14ac:dyDescent="0.3">
      <c r="A68" s="38"/>
      <c r="B68" s="38"/>
      <c r="C68" s="38"/>
      <c r="D68" s="38"/>
      <c r="E68" s="38"/>
      <c r="F68" s="38" t="str">
        <f t="shared" si="1"/>
        <v/>
      </c>
      <c r="G68" s="50"/>
      <c r="H68" s="50"/>
      <c r="I68" s="50"/>
      <c r="J68" s="50"/>
      <c r="K68" s="50"/>
      <c r="L68" s="50"/>
      <c r="M68" s="38"/>
      <c r="N68" s="38"/>
      <c r="O68" s="38"/>
      <c r="P68" s="38"/>
      <c r="Q68" s="95"/>
      <c r="R68" s="95"/>
      <c r="S68" s="38"/>
      <c r="T68" s="38"/>
      <c r="U68" s="38"/>
    </row>
    <row r="69" spans="1:21" ht="16.5" thickTop="1" thickBot="1" x14ac:dyDescent="0.3">
      <c r="A69" s="38"/>
      <c r="B69" s="38"/>
      <c r="C69" s="38"/>
      <c r="D69" s="38"/>
      <c r="E69" s="38"/>
      <c r="F69" s="38" t="str">
        <f t="shared" si="1"/>
        <v/>
      </c>
      <c r="G69" s="50"/>
      <c r="H69" s="50"/>
      <c r="I69" s="50"/>
      <c r="J69" s="50"/>
      <c r="K69" s="50"/>
      <c r="L69" s="50"/>
      <c r="M69" s="38"/>
      <c r="N69" s="38"/>
      <c r="O69" s="38"/>
      <c r="P69" s="38"/>
      <c r="Q69" s="95"/>
      <c r="R69" s="95"/>
      <c r="S69" s="38"/>
      <c r="T69" s="38"/>
      <c r="U69" s="38"/>
    </row>
    <row r="70" spans="1:21" ht="16.5" thickTop="1" thickBot="1" x14ac:dyDescent="0.3">
      <c r="A70" s="38"/>
      <c r="B70" s="38"/>
      <c r="C70" s="38"/>
      <c r="D70" s="38"/>
      <c r="E70" s="38"/>
      <c r="F70" s="38" t="str">
        <f t="shared" si="1"/>
        <v/>
      </c>
      <c r="G70" s="50"/>
      <c r="H70" s="50"/>
      <c r="I70" s="50"/>
      <c r="J70" s="50"/>
      <c r="K70" s="50"/>
      <c r="L70" s="50"/>
      <c r="M70" s="38"/>
      <c r="N70" s="38"/>
      <c r="O70" s="38"/>
      <c r="P70" s="38"/>
      <c r="Q70" s="95"/>
      <c r="R70" s="95"/>
      <c r="S70" s="38"/>
      <c r="T70" s="38"/>
      <c r="U70" s="38"/>
    </row>
    <row r="71" spans="1:21" ht="16.5" thickTop="1" thickBot="1" x14ac:dyDescent="0.3">
      <c r="A71" s="38"/>
      <c r="B71" s="38"/>
      <c r="C71" s="38"/>
      <c r="D71" s="38"/>
      <c r="E71" s="38"/>
      <c r="F71" s="38" t="str">
        <f t="shared" si="1"/>
        <v/>
      </c>
      <c r="G71" s="50"/>
      <c r="H71" s="50"/>
      <c r="I71" s="50"/>
      <c r="J71" s="50"/>
      <c r="K71" s="50"/>
      <c r="L71" s="50"/>
      <c r="M71" s="38"/>
      <c r="N71" s="38"/>
      <c r="O71" s="38"/>
      <c r="P71" s="38"/>
      <c r="Q71" s="95"/>
      <c r="R71" s="95"/>
      <c r="S71" s="38"/>
      <c r="T71" s="38"/>
      <c r="U71" s="38"/>
    </row>
    <row r="72" spans="1:21" ht="16.5" thickTop="1" thickBot="1" x14ac:dyDescent="0.3">
      <c r="A72" s="38"/>
      <c r="B72" s="38"/>
      <c r="C72" s="38"/>
      <c r="D72" s="38"/>
      <c r="E72" s="38"/>
      <c r="F72" s="38" t="str">
        <f t="shared" si="1"/>
        <v/>
      </c>
      <c r="G72" s="50"/>
      <c r="H72" s="50"/>
      <c r="I72" s="50"/>
      <c r="J72" s="50"/>
      <c r="K72" s="50"/>
      <c r="L72" s="50"/>
      <c r="M72" s="38"/>
      <c r="N72" s="38"/>
      <c r="O72" s="38"/>
      <c r="P72" s="38"/>
      <c r="Q72" s="95"/>
      <c r="R72" s="95"/>
      <c r="S72" s="38"/>
      <c r="T72" s="38"/>
      <c r="U72" s="38"/>
    </row>
    <row r="73" spans="1:21" ht="16.5" thickTop="1" thickBot="1" x14ac:dyDescent="0.3">
      <c r="A73" s="38"/>
      <c r="B73" s="38"/>
      <c r="C73" s="38"/>
      <c r="D73" s="38"/>
      <c r="E73" s="38"/>
      <c r="F73" s="38" t="str">
        <f t="shared" si="1"/>
        <v/>
      </c>
      <c r="G73" s="50"/>
      <c r="H73" s="50"/>
      <c r="I73" s="50"/>
      <c r="J73" s="50"/>
      <c r="K73" s="50"/>
      <c r="L73" s="50"/>
      <c r="M73" s="38"/>
      <c r="N73" s="38"/>
      <c r="O73" s="38"/>
      <c r="P73" s="38"/>
      <c r="Q73" s="95"/>
      <c r="R73" s="95"/>
      <c r="S73" s="38"/>
      <c r="T73" s="38"/>
      <c r="U73" s="38"/>
    </row>
    <row r="74" spans="1:21" ht="16.5" thickTop="1" thickBot="1" x14ac:dyDescent="0.3">
      <c r="A74" s="38"/>
      <c r="B74" s="38"/>
      <c r="C74" s="38"/>
      <c r="D74" s="38"/>
      <c r="E74" s="38"/>
      <c r="F74" s="38" t="str">
        <f t="shared" si="1"/>
        <v/>
      </c>
      <c r="G74" s="50"/>
      <c r="H74" s="50"/>
      <c r="I74" s="50"/>
      <c r="J74" s="50"/>
      <c r="K74" s="50"/>
      <c r="L74" s="50"/>
      <c r="M74" s="38"/>
      <c r="N74" s="38"/>
      <c r="O74" s="38"/>
      <c r="P74" s="38"/>
      <c r="Q74" s="95"/>
      <c r="R74" s="95"/>
      <c r="S74" s="38"/>
      <c r="T74" s="38"/>
      <c r="U74" s="38"/>
    </row>
    <row r="75" spans="1:21" ht="16.5" thickTop="1" thickBot="1" x14ac:dyDescent="0.3">
      <c r="A75" s="38"/>
      <c r="B75" s="38"/>
      <c r="C75" s="38"/>
      <c r="D75" s="38"/>
      <c r="E75" s="38"/>
      <c r="F75" s="38"/>
      <c r="G75" s="50"/>
      <c r="H75" s="50"/>
      <c r="I75" s="50"/>
      <c r="J75" s="50"/>
      <c r="K75" s="50"/>
      <c r="L75" s="50"/>
      <c r="M75" s="38"/>
      <c r="N75" s="38"/>
      <c r="O75" s="38"/>
      <c r="P75" s="38"/>
      <c r="Q75" s="95"/>
      <c r="R75" s="95"/>
      <c r="S75" s="38"/>
      <c r="T75" s="38"/>
      <c r="U75" s="38"/>
    </row>
    <row r="76" spans="1:21" ht="16.5" thickTop="1" thickBot="1" x14ac:dyDescent="0.3">
      <c r="A76" s="38"/>
      <c r="B76" s="38"/>
      <c r="C76" s="38"/>
      <c r="D76" s="38"/>
      <c r="E76" s="38"/>
      <c r="F76" s="38"/>
      <c r="G76" s="50"/>
      <c r="H76" s="50"/>
      <c r="I76" s="50"/>
      <c r="J76" s="50"/>
      <c r="K76" s="50"/>
      <c r="L76" s="50"/>
      <c r="M76" s="38"/>
      <c r="N76" s="38"/>
      <c r="O76" s="38"/>
      <c r="P76" s="38"/>
      <c r="Q76" s="95"/>
      <c r="R76" s="95"/>
      <c r="S76" s="38"/>
      <c r="T76" s="38"/>
      <c r="U76" s="38"/>
    </row>
    <row r="77" spans="1:21" ht="16.5" thickTop="1" thickBot="1" x14ac:dyDescent="0.3">
      <c r="A77" s="38"/>
      <c r="B77" s="38"/>
      <c r="C77" s="38"/>
      <c r="D77" s="38"/>
      <c r="E77" s="38"/>
      <c r="F77" s="38"/>
      <c r="G77" s="50"/>
      <c r="H77" s="50"/>
      <c r="I77" s="50"/>
      <c r="J77" s="50"/>
      <c r="K77" s="50"/>
      <c r="L77" s="50"/>
      <c r="M77" s="38"/>
      <c r="N77" s="38"/>
      <c r="O77" s="38"/>
      <c r="P77" s="38"/>
      <c r="Q77" s="95"/>
      <c r="R77" s="95"/>
      <c r="S77" s="38"/>
      <c r="T77" s="38"/>
      <c r="U77" s="38"/>
    </row>
    <row r="78" spans="1:21" ht="16.5" thickTop="1" thickBot="1" x14ac:dyDescent="0.3">
      <c r="A78" s="38"/>
      <c r="B78" s="38"/>
      <c r="C78" s="38"/>
      <c r="D78" s="38"/>
      <c r="E78" s="38"/>
      <c r="F78" s="38"/>
      <c r="G78" s="50"/>
      <c r="H78" s="50"/>
      <c r="I78" s="50"/>
      <c r="J78" s="50"/>
      <c r="K78" s="50"/>
      <c r="L78" s="50"/>
      <c r="M78" s="38"/>
      <c r="N78" s="38"/>
      <c r="O78" s="38"/>
      <c r="P78" s="38"/>
      <c r="Q78" s="95"/>
      <c r="R78" s="95"/>
      <c r="S78" s="38"/>
      <c r="T78" s="38"/>
      <c r="U78" s="38"/>
    </row>
    <row r="79" spans="1:21" ht="16.5" thickTop="1" thickBot="1" x14ac:dyDescent="0.3">
      <c r="A79" s="38"/>
      <c r="B79" s="38"/>
      <c r="C79" s="38"/>
      <c r="D79" s="38"/>
      <c r="E79" s="38"/>
      <c r="F79" s="38"/>
      <c r="G79" s="50"/>
      <c r="H79" s="50"/>
      <c r="I79" s="50"/>
      <c r="J79" s="50"/>
      <c r="K79" s="50"/>
      <c r="L79" s="50"/>
      <c r="M79" s="38"/>
      <c r="N79" s="38"/>
      <c r="O79" s="38"/>
      <c r="P79" s="38"/>
      <c r="Q79" s="95"/>
      <c r="R79" s="95"/>
      <c r="S79" s="38"/>
      <c r="T79" s="38"/>
      <c r="U79" s="38"/>
    </row>
    <row r="80" spans="1:21" ht="16.5" thickTop="1" thickBot="1" x14ac:dyDescent="0.3">
      <c r="A80" s="38"/>
      <c r="B80" s="38"/>
      <c r="C80" s="38"/>
      <c r="D80" s="38"/>
      <c r="E80" s="38"/>
      <c r="F80" s="38"/>
      <c r="G80" s="50"/>
      <c r="H80" s="50"/>
      <c r="I80" s="50"/>
      <c r="J80" s="50"/>
      <c r="K80" s="50"/>
      <c r="L80" s="50"/>
      <c r="M80" s="38"/>
      <c r="N80" s="38"/>
      <c r="O80" s="38"/>
      <c r="P80" s="38"/>
      <c r="Q80" s="95"/>
      <c r="R80" s="95"/>
      <c r="S80" s="38"/>
      <c r="T80" s="38"/>
      <c r="U80" s="38"/>
    </row>
    <row r="81" spans="1:21" ht="16.5" thickTop="1" thickBot="1" x14ac:dyDescent="0.3">
      <c r="A81" s="38"/>
      <c r="B81" s="38"/>
      <c r="C81" s="38"/>
      <c r="D81" s="38"/>
      <c r="E81" s="38"/>
      <c r="F81" s="38"/>
      <c r="G81" s="50"/>
      <c r="H81" s="50"/>
      <c r="I81" s="50"/>
      <c r="J81" s="50"/>
      <c r="K81" s="50"/>
      <c r="L81" s="50"/>
      <c r="M81" s="38"/>
      <c r="N81" s="38"/>
      <c r="O81" s="38"/>
      <c r="P81" s="38"/>
      <c r="Q81" s="95"/>
      <c r="R81" s="95"/>
      <c r="S81" s="38"/>
      <c r="T81" s="38"/>
      <c r="U81" s="38"/>
    </row>
    <row r="82" spans="1:21" ht="16.5" thickTop="1" thickBot="1" x14ac:dyDescent="0.3">
      <c r="A82" s="38"/>
      <c r="B82" s="38"/>
      <c r="C82" s="38"/>
      <c r="D82" s="38"/>
      <c r="E82" s="38"/>
      <c r="F82" s="38"/>
      <c r="G82" s="50"/>
      <c r="H82" s="50"/>
      <c r="I82" s="50"/>
      <c r="J82" s="50"/>
      <c r="K82" s="50"/>
      <c r="L82" s="50"/>
      <c r="M82" s="38"/>
      <c r="N82" s="38"/>
      <c r="O82" s="38"/>
      <c r="P82" s="38"/>
      <c r="Q82" s="95"/>
      <c r="R82" s="95"/>
      <c r="S82" s="38"/>
      <c r="T82" s="38"/>
      <c r="U82" s="38"/>
    </row>
    <row r="83" spans="1:21" ht="16.5" thickTop="1" thickBot="1" x14ac:dyDescent="0.3">
      <c r="A83" s="38"/>
      <c r="B83" s="38"/>
      <c r="C83" s="38"/>
      <c r="D83" s="38"/>
      <c r="E83" s="38"/>
      <c r="F83" s="38"/>
      <c r="G83" s="50"/>
      <c r="H83" s="50"/>
      <c r="I83" s="50"/>
      <c r="J83" s="50"/>
      <c r="K83" s="50"/>
      <c r="L83" s="50"/>
      <c r="M83" s="38"/>
      <c r="N83" s="38"/>
      <c r="O83" s="38"/>
      <c r="P83" s="38"/>
      <c r="Q83" s="95"/>
      <c r="R83" s="95"/>
      <c r="S83" s="38"/>
      <c r="T83" s="38"/>
      <c r="U83" s="38"/>
    </row>
    <row r="84" spans="1:21" ht="16.5" thickTop="1" thickBot="1" x14ac:dyDescent="0.3">
      <c r="A84" s="38"/>
      <c r="B84" s="38"/>
      <c r="C84" s="38"/>
      <c r="D84" s="38"/>
      <c r="E84" s="38"/>
      <c r="F84" s="38"/>
      <c r="G84" s="50"/>
      <c r="H84" s="50"/>
      <c r="I84" s="50"/>
      <c r="J84" s="50"/>
      <c r="K84" s="50"/>
      <c r="L84" s="50"/>
      <c r="M84" s="38"/>
      <c r="N84" s="38"/>
      <c r="O84" s="38"/>
      <c r="P84" s="38"/>
      <c r="Q84" s="95"/>
      <c r="R84" s="95"/>
      <c r="S84" s="38"/>
      <c r="T84" s="38"/>
      <c r="U84" s="38"/>
    </row>
    <row r="85" spans="1:21" ht="16.5" thickTop="1" thickBot="1" x14ac:dyDescent="0.3">
      <c r="A85" s="38"/>
      <c r="B85" s="38"/>
      <c r="C85" s="38"/>
      <c r="D85" s="38"/>
      <c r="E85" s="38"/>
      <c r="F85" s="38"/>
      <c r="G85" s="50"/>
      <c r="H85" s="50"/>
      <c r="I85" s="50"/>
      <c r="J85" s="50"/>
      <c r="K85" s="50"/>
      <c r="L85" s="50"/>
      <c r="M85" s="38"/>
      <c r="N85" s="38"/>
      <c r="O85" s="38"/>
      <c r="P85" s="38"/>
      <c r="Q85" s="95"/>
      <c r="R85" s="95"/>
      <c r="S85" s="38"/>
      <c r="T85" s="38"/>
      <c r="U85" s="38"/>
    </row>
    <row r="86" spans="1:21" ht="16.5" thickTop="1" thickBot="1" x14ac:dyDescent="0.3">
      <c r="A86" s="38"/>
      <c r="B86" s="38"/>
      <c r="C86" s="38"/>
      <c r="D86" s="38"/>
      <c r="E86" s="38"/>
      <c r="F86" s="38"/>
      <c r="G86" s="50"/>
      <c r="H86" s="50"/>
      <c r="I86" s="50"/>
      <c r="J86" s="50"/>
      <c r="K86" s="50"/>
      <c r="L86" s="50"/>
      <c r="M86" s="38"/>
      <c r="N86" s="38"/>
      <c r="O86" s="38"/>
      <c r="P86" s="38"/>
      <c r="Q86" s="95"/>
      <c r="R86" s="95"/>
      <c r="S86" s="38"/>
      <c r="T86" s="38"/>
      <c r="U86" s="38"/>
    </row>
    <row r="87" spans="1:21" ht="16.5" thickTop="1" thickBot="1" x14ac:dyDescent="0.3">
      <c r="A87" s="38"/>
      <c r="B87" s="38"/>
      <c r="C87" s="38"/>
      <c r="D87" s="38"/>
      <c r="E87" s="38"/>
      <c r="F87" s="38"/>
      <c r="G87" s="50"/>
      <c r="H87" s="50"/>
      <c r="I87" s="50"/>
      <c r="J87" s="50"/>
      <c r="K87" s="50"/>
      <c r="L87" s="50"/>
      <c r="M87" s="38"/>
      <c r="N87" s="38"/>
      <c r="O87" s="38"/>
      <c r="P87" s="38"/>
      <c r="Q87" s="95"/>
      <c r="R87" s="95"/>
      <c r="S87" s="38"/>
      <c r="T87" s="38"/>
      <c r="U87" s="38"/>
    </row>
    <row r="88" spans="1:21" ht="16.5" thickTop="1" thickBot="1" x14ac:dyDescent="0.3">
      <c r="A88" s="38"/>
      <c r="B88" s="38"/>
      <c r="C88" s="38"/>
      <c r="D88" s="38"/>
      <c r="E88" s="38"/>
      <c r="F88" s="38"/>
      <c r="G88" s="50"/>
      <c r="H88" s="50"/>
      <c r="I88" s="50"/>
      <c r="J88" s="50"/>
      <c r="K88" s="50"/>
      <c r="L88" s="50"/>
      <c r="M88" s="38"/>
      <c r="N88" s="38"/>
      <c r="O88" s="38"/>
      <c r="P88" s="38"/>
      <c r="Q88" s="95"/>
      <c r="R88" s="95"/>
      <c r="S88" s="38"/>
      <c r="T88" s="38"/>
      <c r="U88" s="38"/>
    </row>
    <row r="89" spans="1:21" ht="16.5" thickTop="1" thickBot="1" x14ac:dyDescent="0.3">
      <c r="A89" s="38"/>
      <c r="B89" s="38"/>
      <c r="C89" s="38"/>
      <c r="D89" s="38"/>
      <c r="E89" s="38"/>
      <c r="F89" s="38"/>
      <c r="G89" s="50"/>
      <c r="H89" s="50"/>
      <c r="I89" s="50"/>
      <c r="J89" s="50"/>
      <c r="K89" s="50"/>
      <c r="L89" s="50"/>
      <c r="M89" s="38"/>
      <c r="N89" s="38"/>
      <c r="O89" s="38"/>
      <c r="P89" s="38"/>
      <c r="Q89" s="95"/>
      <c r="R89" s="95"/>
      <c r="S89" s="38"/>
      <c r="T89" s="38"/>
      <c r="U89" s="38"/>
    </row>
    <row r="90" spans="1:21" ht="16.5" thickTop="1" thickBot="1" x14ac:dyDescent="0.3">
      <c r="A90" s="38"/>
      <c r="B90" s="38"/>
      <c r="C90" s="38"/>
      <c r="D90" s="38"/>
      <c r="E90" s="38"/>
      <c r="F90" s="38"/>
      <c r="G90" s="50"/>
      <c r="H90" s="50"/>
      <c r="I90" s="50"/>
      <c r="J90" s="50"/>
      <c r="K90" s="50"/>
      <c r="L90" s="50"/>
      <c r="M90" s="38"/>
      <c r="N90" s="38"/>
      <c r="O90" s="38"/>
      <c r="P90" s="38"/>
      <c r="Q90" s="95"/>
      <c r="R90" s="95"/>
      <c r="S90" s="38"/>
      <c r="T90" s="38"/>
      <c r="U90" s="38"/>
    </row>
    <row r="91" spans="1:21" ht="16.5" thickTop="1" thickBot="1" x14ac:dyDescent="0.3">
      <c r="A91" s="38"/>
      <c r="B91" s="38"/>
      <c r="C91" s="38"/>
      <c r="D91" s="38"/>
      <c r="E91" s="38"/>
      <c r="F91" s="38"/>
      <c r="G91" s="50"/>
      <c r="H91" s="50"/>
      <c r="I91" s="50"/>
      <c r="J91" s="50"/>
      <c r="K91" s="50"/>
      <c r="L91" s="50"/>
      <c r="M91" s="38"/>
      <c r="N91" s="38"/>
      <c r="O91" s="38"/>
      <c r="P91" s="38"/>
      <c r="Q91" s="95"/>
      <c r="R91" s="95"/>
      <c r="S91" s="38"/>
      <c r="T91" s="38"/>
      <c r="U91" s="38"/>
    </row>
    <row r="92" spans="1:21" ht="16.5" thickTop="1" thickBot="1" x14ac:dyDescent="0.3">
      <c r="A92" s="38"/>
      <c r="B92" s="38"/>
      <c r="C92" s="38"/>
      <c r="D92" s="38"/>
      <c r="E92" s="38"/>
      <c r="F92" s="38"/>
      <c r="G92" s="50"/>
      <c r="H92" s="50"/>
      <c r="I92" s="50"/>
      <c r="J92" s="50"/>
      <c r="K92" s="50"/>
      <c r="L92" s="50"/>
      <c r="M92" s="38"/>
      <c r="N92" s="38"/>
      <c r="O92" s="38"/>
      <c r="P92" s="38"/>
      <c r="Q92" s="95"/>
      <c r="R92" s="95"/>
      <c r="S92" s="38"/>
      <c r="T92" s="38"/>
      <c r="U92" s="38"/>
    </row>
    <row r="93" spans="1:21" ht="16.5" thickTop="1" thickBot="1" x14ac:dyDescent="0.3">
      <c r="A93" s="38"/>
      <c r="B93" s="38"/>
      <c r="C93" s="38"/>
      <c r="D93" s="38"/>
      <c r="E93" s="38"/>
      <c r="F93" s="38"/>
      <c r="G93" s="50"/>
      <c r="H93" s="50"/>
      <c r="I93" s="50"/>
      <c r="J93" s="50"/>
      <c r="K93" s="50"/>
      <c r="L93" s="50"/>
      <c r="M93" s="38"/>
      <c r="N93" s="38"/>
      <c r="O93" s="38"/>
      <c r="P93" s="38"/>
      <c r="Q93" s="95"/>
      <c r="R93" s="95"/>
      <c r="S93" s="38"/>
      <c r="T93" s="38"/>
      <c r="U93" s="38"/>
    </row>
    <row r="94" spans="1:21" ht="16.5" thickTop="1" thickBot="1" x14ac:dyDescent="0.3">
      <c r="A94" s="38"/>
      <c r="B94" s="38"/>
      <c r="C94" s="38"/>
      <c r="D94" s="38"/>
      <c r="E94" s="38"/>
      <c r="F94" s="38"/>
      <c r="G94" s="50"/>
      <c r="H94" s="50"/>
      <c r="I94" s="50"/>
      <c r="J94" s="50"/>
      <c r="K94" s="50"/>
      <c r="L94" s="50"/>
      <c r="M94" s="38"/>
      <c r="N94" s="38"/>
      <c r="O94" s="38"/>
      <c r="P94" s="38"/>
      <c r="Q94" s="95"/>
      <c r="R94" s="95"/>
      <c r="S94" s="38"/>
      <c r="T94" s="38"/>
      <c r="U94" s="38"/>
    </row>
    <row r="95" spans="1:21" ht="16.5" thickTop="1" thickBot="1" x14ac:dyDescent="0.3">
      <c r="A95" s="38"/>
      <c r="B95" s="38"/>
      <c r="C95" s="38"/>
      <c r="D95" s="38"/>
      <c r="E95" s="38"/>
      <c r="F95" s="38"/>
      <c r="G95" s="50"/>
      <c r="H95" s="50"/>
      <c r="I95" s="50"/>
      <c r="J95" s="50"/>
      <c r="K95" s="50"/>
      <c r="L95" s="50"/>
      <c r="M95" s="38"/>
      <c r="N95" s="38"/>
      <c r="O95" s="38"/>
      <c r="P95" s="38"/>
      <c r="Q95" s="95"/>
      <c r="R95" s="95"/>
      <c r="S95" s="38"/>
      <c r="T95" s="38"/>
      <c r="U95" s="38"/>
    </row>
    <row r="96" spans="1:21" ht="16.5" thickTop="1" thickBot="1" x14ac:dyDescent="0.3">
      <c r="A96" s="38"/>
      <c r="B96" s="38"/>
      <c r="C96" s="38"/>
      <c r="D96" s="38"/>
      <c r="E96" s="38"/>
      <c r="F96" s="38"/>
      <c r="G96" s="50"/>
      <c r="H96" s="50"/>
      <c r="I96" s="50"/>
      <c r="J96" s="50"/>
      <c r="K96" s="50"/>
      <c r="L96" s="50"/>
      <c r="M96" s="38"/>
      <c r="N96" s="38"/>
      <c r="O96" s="38"/>
      <c r="P96" s="38"/>
      <c r="Q96" s="95"/>
      <c r="R96" s="95"/>
      <c r="S96" s="38"/>
      <c r="T96" s="38"/>
      <c r="U96" s="38"/>
    </row>
    <row r="97" spans="1:21" ht="16.5" thickTop="1" thickBot="1" x14ac:dyDescent="0.3">
      <c r="A97" s="38"/>
      <c r="B97" s="38"/>
      <c r="C97" s="38"/>
      <c r="D97" s="38"/>
      <c r="E97" s="38"/>
      <c r="F97" s="38"/>
      <c r="G97" s="50"/>
      <c r="H97" s="50"/>
      <c r="I97" s="50"/>
      <c r="J97" s="50"/>
      <c r="K97" s="50"/>
      <c r="L97" s="50"/>
      <c r="M97" s="38"/>
      <c r="N97" s="38"/>
      <c r="O97" s="38"/>
      <c r="P97" s="38"/>
      <c r="Q97" s="95"/>
      <c r="R97" s="95"/>
      <c r="S97" s="38"/>
      <c r="T97" s="38"/>
      <c r="U97" s="38"/>
    </row>
    <row r="98" spans="1:21" ht="16.5" thickTop="1" thickBot="1" x14ac:dyDescent="0.3">
      <c r="A98" s="38"/>
      <c r="B98" s="38"/>
      <c r="C98" s="38"/>
      <c r="D98" s="38"/>
      <c r="E98" s="38"/>
      <c r="F98" s="38"/>
      <c r="G98" s="50"/>
      <c r="H98" s="50"/>
      <c r="I98" s="50"/>
      <c r="J98" s="50"/>
      <c r="K98" s="50"/>
      <c r="L98" s="50"/>
      <c r="M98" s="38"/>
      <c r="N98" s="38"/>
      <c r="O98" s="38"/>
      <c r="P98" s="38"/>
      <c r="Q98" s="95"/>
      <c r="R98" s="95"/>
      <c r="S98" s="38"/>
      <c r="T98" s="38"/>
      <c r="U98" s="38"/>
    </row>
    <row r="99" spans="1:21" ht="16.5" thickTop="1" thickBot="1" x14ac:dyDescent="0.3">
      <c r="A99" s="38"/>
      <c r="B99" s="38"/>
      <c r="C99" s="38"/>
      <c r="D99" s="38"/>
      <c r="E99" s="38"/>
      <c r="F99" s="38"/>
      <c r="G99" s="50"/>
      <c r="H99" s="50"/>
      <c r="I99" s="50"/>
      <c r="J99" s="50"/>
      <c r="K99" s="50"/>
      <c r="L99" s="50"/>
      <c r="M99" s="38"/>
      <c r="N99" s="38"/>
      <c r="O99" s="38"/>
      <c r="P99" s="38"/>
      <c r="Q99" s="95"/>
      <c r="R99" s="95"/>
      <c r="S99" s="38"/>
      <c r="T99" s="38"/>
      <c r="U99" s="38"/>
    </row>
    <row r="100" spans="1:21" ht="16.5" thickTop="1" thickBot="1" x14ac:dyDescent="0.3">
      <c r="A100" s="38"/>
      <c r="B100" s="38"/>
      <c r="C100" s="38"/>
      <c r="D100" s="38"/>
      <c r="E100" s="38"/>
      <c r="F100" s="38"/>
      <c r="G100" s="50"/>
      <c r="H100" s="50"/>
      <c r="I100" s="50"/>
      <c r="J100" s="50"/>
      <c r="K100" s="50"/>
      <c r="L100" s="50"/>
      <c r="M100" s="38"/>
      <c r="N100" s="38"/>
      <c r="O100" s="38"/>
      <c r="P100" s="38"/>
      <c r="Q100" s="95"/>
      <c r="R100" s="95"/>
      <c r="S100" s="38"/>
      <c r="T100" s="38"/>
      <c r="U100" s="38"/>
    </row>
    <row r="101" spans="1:21" ht="15.75" thickTop="1" x14ac:dyDescent="0.25"/>
    <row r="1048564" spans="19:19" ht="15.75" thickBot="1" x14ac:dyDescent="0.3"/>
    <row r="1048565" spans="19:19" ht="16.5" thickTop="1" thickBot="1" x14ac:dyDescent="0.3">
      <c r="S1048565" s="38"/>
    </row>
  </sheetData>
  <dataConsolidate/>
  <mergeCells count="3">
    <mergeCell ref="I2:K2"/>
    <mergeCell ref="L1:X4"/>
    <mergeCell ref="E2:H2"/>
  </mergeCells>
  <conditionalFormatting sqref="R8:R17 A6:S6 F7:G7 F8:F25 A26:F100 J7:J15 P7:S7 M15:P15 Q19:R100 S8:S100 P8:P14 M17:P17 P16 M46:P100 P18:P45 A7:C25">
    <cfRule type="expression" dxfId="48" priority="32">
      <formula>AND($A6&lt;&gt;"",$F6="INACTIVE")</formula>
    </cfRule>
  </conditionalFormatting>
  <conditionalFormatting sqref="A17 A28 A39">
    <cfRule type="expression" dxfId="47" priority="29">
      <formula>AND($A17&lt;&gt;"",$F17="INACTIVE")</formula>
    </cfRule>
  </conditionalFormatting>
  <conditionalFormatting sqref="F8:F74">
    <cfRule type="expression" dxfId="46" priority="28">
      <formula>AND($A8&lt;&gt;"",$F8="INACTIVE")</formula>
    </cfRule>
  </conditionalFormatting>
  <conditionalFormatting sqref="D44:D45">
    <cfRule type="expression" dxfId="45" priority="27">
      <formula>AND($A44&lt;&gt;"",$F44="INACTIVE")</formula>
    </cfRule>
  </conditionalFormatting>
  <conditionalFormatting sqref="Q8:Q17">
    <cfRule type="expression" dxfId="44" priority="26">
      <formula>AND($A8&lt;&gt;"",$F8="INACTIVE")</formula>
    </cfRule>
  </conditionalFormatting>
  <conditionalFormatting sqref="D7:D25">
    <cfRule type="expression" dxfId="43" priority="24">
      <formula>AND($A7&lt;&gt;"",$F7="INACTIVE")</formula>
    </cfRule>
  </conditionalFormatting>
  <conditionalFormatting sqref="G17:J17 J16 L17">
    <cfRule type="expression" dxfId="42" priority="23">
      <formula>AND($A16&lt;&gt;"",$F16="INACTIVE")</formula>
    </cfRule>
  </conditionalFormatting>
  <conditionalFormatting sqref="E9:E25">
    <cfRule type="expression" dxfId="41" priority="22">
      <formula>AND($A9&lt;&gt;"",$F9="INACTIVE")</formula>
    </cfRule>
  </conditionalFormatting>
  <conditionalFormatting sqref="E7:E8">
    <cfRule type="expression" dxfId="40" priority="21">
      <formula>AND($A7&lt;&gt;"",$F7="INACTIVE")</formula>
    </cfRule>
  </conditionalFormatting>
  <conditionalFormatting sqref="R18">
    <cfRule type="expression" dxfId="39" priority="20">
      <formula>AND($A18&lt;&gt;"",$F18="INACTIVE")</formula>
    </cfRule>
  </conditionalFormatting>
  <conditionalFormatting sqref="Q18">
    <cfRule type="expression" dxfId="38" priority="19">
      <formula>AND($A18&lt;&gt;"",$F18="INACTIVE")</formula>
    </cfRule>
  </conditionalFormatting>
  <conditionalFormatting sqref="T100">
    <cfRule type="expression" dxfId="37" priority="17">
      <formula>AND($A100&lt;&gt;"",$F100="INACTIVE")</formula>
    </cfRule>
  </conditionalFormatting>
  <conditionalFormatting sqref="T7:T99">
    <cfRule type="expression" dxfId="36" priority="15">
      <formula>AND($A7&lt;&gt;"",$F7="INACTIVE")</formula>
    </cfRule>
  </conditionalFormatting>
  <conditionalFormatting sqref="G8:G16">
    <cfRule type="expression" dxfId="35" priority="14">
      <formula>AND($A8&lt;&gt;"",$F8="INACTIVE")</formula>
    </cfRule>
  </conditionalFormatting>
  <conditionalFormatting sqref="G18:G100">
    <cfRule type="expression" dxfId="34" priority="13">
      <formula>AND($A18&lt;&gt;"",$F18="INACTIVE")</formula>
    </cfRule>
  </conditionalFormatting>
  <conditionalFormatting sqref="H7:I16">
    <cfRule type="expression" dxfId="33" priority="12">
      <formula>AND($A7&lt;&gt;"",$F7="INACTIVE")</formula>
    </cfRule>
  </conditionalFormatting>
  <conditionalFormatting sqref="H18:L100">
    <cfRule type="expression" dxfId="32" priority="11">
      <formula>AND($A18&lt;&gt;"",$F18="INACTIVE")</formula>
    </cfRule>
  </conditionalFormatting>
  <conditionalFormatting sqref="L7:L16">
    <cfRule type="expression" dxfId="31" priority="8">
      <formula>AND($A7&lt;&gt;"",$F7="INACTIVE")</formula>
    </cfRule>
  </conditionalFormatting>
  <conditionalFormatting sqref="K7:K17">
    <cfRule type="expression" dxfId="30" priority="9">
      <formula>AND($A7&lt;&gt;"",$F7="INACTIVE")</formula>
    </cfRule>
  </conditionalFormatting>
  <conditionalFormatting sqref="U100">
    <cfRule type="expression" dxfId="29" priority="7">
      <formula>AND($A100&lt;&gt;"",$F100="INACTIVE")</formula>
    </cfRule>
  </conditionalFormatting>
  <conditionalFormatting sqref="U7:U99">
    <cfRule type="expression" dxfId="28" priority="5">
      <formula>AND($A7&lt;&gt;"",$F7="INACTIVE")</formula>
    </cfRule>
  </conditionalFormatting>
  <conditionalFormatting sqref="T6:U6">
    <cfRule type="expression" dxfId="27" priority="4">
      <formula>AND($A6&lt;&gt;"",$F6="INACTIVE")</formula>
    </cfRule>
  </conditionalFormatting>
  <conditionalFormatting sqref="M7:O14">
    <cfRule type="expression" dxfId="26" priority="3">
      <formula>AND($A7&lt;&gt;"",$F7="INACTIVE")</formula>
    </cfRule>
  </conditionalFormatting>
  <conditionalFormatting sqref="M16:O16">
    <cfRule type="expression" dxfId="25" priority="2">
      <formula>AND($A16&lt;&gt;"",$F16="INACTIVE")</formula>
    </cfRule>
  </conditionalFormatting>
  <conditionalFormatting sqref="M18:O45">
    <cfRule type="expression" dxfId="24" priority="1">
      <formula>AND($A18&lt;&gt;"",$F18="INACTIVE")</formula>
    </cfRule>
  </conditionalFormatting>
  <dataValidations count="1">
    <dataValidation type="date" operator="greaterThanOrEqual" allowBlank="1" showInputMessage="1" showErrorMessage="1" errorTitle="Wrong input" error="Please select date of current year " promptTitle="!" prompt="Please select date of current year " sqref="P7:P35" xr:uid="{00000000-0002-0000-0500-000000000000}">
      <formula1>44197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1000000}">
          <x14:formula1>
            <xm:f>'Setting '!$A$2:$A$5</xm:f>
          </x14:formula1>
          <xm:sqref>E7:E25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5"/>
  </sheetPr>
  <dimension ref="A1:AC101"/>
  <sheetViews>
    <sheetView topLeftCell="I1" zoomScaleNormal="100" workbookViewId="0">
      <selection activeCell="Y5" sqref="Y5"/>
    </sheetView>
  </sheetViews>
  <sheetFormatPr defaultColWidth="14.7109375" defaultRowHeight="15" x14ac:dyDescent="0.25"/>
  <cols>
    <col min="1" max="1" width="12.140625" customWidth="1"/>
    <col min="2" max="2" width="20.5703125" customWidth="1"/>
    <col min="3" max="7" width="6.140625" customWidth="1"/>
    <col min="8" max="9" width="13.28515625" customWidth="1"/>
    <col min="10" max="10" width="13.28515625" bestFit="1" customWidth="1"/>
    <col min="11" max="12" width="6.140625" customWidth="1"/>
    <col min="13" max="13" width="7.140625" customWidth="1"/>
    <col min="14" max="14" width="14.5703125" customWidth="1"/>
    <col min="15" max="15" width="4" customWidth="1"/>
    <col min="16" max="16" width="12.140625" customWidth="1"/>
    <col min="17" max="17" width="20.7109375" customWidth="1"/>
    <col min="18" max="22" width="6.140625" customWidth="1"/>
    <col min="23" max="24" width="9" customWidth="1"/>
    <col min="25" max="25" width="9" bestFit="1" customWidth="1"/>
    <col min="26" max="29" width="6.140625" customWidth="1"/>
  </cols>
  <sheetData>
    <row r="1" spans="1:29" s="114" customFormat="1" ht="18.75" x14ac:dyDescent="0.3">
      <c r="A1" s="317" t="s">
        <v>178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</row>
    <row r="2" spans="1:29" s="114" customFormat="1" ht="14.25" customHeight="1" x14ac:dyDescent="0.3">
      <c r="A2" s="317"/>
      <c r="B2" s="317"/>
      <c r="C2" s="317"/>
      <c r="D2" s="317"/>
      <c r="E2" s="317"/>
      <c r="F2" s="317"/>
      <c r="G2" s="317"/>
      <c r="H2" s="317"/>
      <c r="I2" s="317"/>
      <c r="J2" s="317"/>
      <c r="K2" s="317"/>
      <c r="L2" s="317"/>
      <c r="M2" s="317"/>
      <c r="N2" s="317"/>
      <c r="O2" s="317"/>
      <c r="P2" s="317"/>
      <c r="Q2" s="317"/>
      <c r="R2" s="317"/>
      <c r="S2" s="317"/>
      <c r="T2" s="317"/>
      <c r="U2" s="317"/>
      <c r="V2" s="317"/>
      <c r="W2" s="317"/>
      <c r="X2" s="317"/>
      <c r="Y2" s="317"/>
      <c r="Z2" s="317"/>
      <c r="AA2" s="317"/>
      <c r="AB2" s="317"/>
      <c r="AC2" s="317"/>
    </row>
    <row r="3" spans="1:29" ht="9.75" hidden="1" customHeight="1" x14ac:dyDescent="0.25">
      <c r="G3" s="100"/>
      <c r="H3" s="101"/>
      <c r="I3" s="100"/>
      <c r="J3" s="101"/>
    </row>
    <row r="4" spans="1:29" ht="28.5" customHeight="1" thickBot="1" x14ac:dyDescent="0.4">
      <c r="A4" s="318" t="s">
        <v>175</v>
      </c>
      <c r="B4" s="318"/>
      <c r="C4" s="318"/>
      <c r="D4" s="318"/>
      <c r="E4" s="318"/>
      <c r="F4" s="318"/>
      <c r="G4" s="318"/>
      <c r="H4" s="318"/>
      <c r="I4" s="318"/>
      <c r="J4" s="318"/>
      <c r="K4" s="318"/>
      <c r="L4" s="318"/>
      <c r="M4" s="318"/>
      <c r="N4" s="318"/>
      <c r="P4" s="316" t="s">
        <v>176</v>
      </c>
      <c r="Q4" s="316"/>
      <c r="R4" s="316"/>
      <c r="S4" s="316"/>
      <c r="T4" s="316"/>
      <c r="U4" s="316"/>
      <c r="V4" s="316"/>
      <c r="W4" s="316"/>
      <c r="X4" s="316"/>
      <c r="Y4" s="316"/>
      <c r="Z4" s="316"/>
      <c r="AA4" s="316"/>
      <c r="AB4" s="316"/>
      <c r="AC4" s="316"/>
    </row>
    <row r="5" spans="1:29" ht="41.25" thickTop="1" thickBot="1" x14ac:dyDescent="0.3">
      <c r="A5" s="115" t="s">
        <v>174</v>
      </c>
      <c r="B5" s="115" t="s">
        <v>11</v>
      </c>
      <c r="C5" s="113">
        <v>44287</v>
      </c>
      <c r="D5" s="113">
        <v>44317</v>
      </c>
      <c r="E5" s="113">
        <v>44348</v>
      </c>
      <c r="F5" s="113">
        <v>44378</v>
      </c>
      <c r="G5" s="113">
        <v>44409</v>
      </c>
      <c r="H5" s="113">
        <v>44440</v>
      </c>
      <c r="I5" s="113">
        <v>44470</v>
      </c>
      <c r="J5" s="113">
        <v>44501</v>
      </c>
      <c r="K5" s="113">
        <v>44531</v>
      </c>
      <c r="L5" s="113">
        <v>44562</v>
      </c>
      <c r="M5" s="113">
        <v>44593</v>
      </c>
      <c r="N5" s="113">
        <v>44621</v>
      </c>
      <c r="O5" s="99"/>
      <c r="P5" s="115" t="s">
        <v>174</v>
      </c>
      <c r="Q5" s="115" t="s">
        <v>11</v>
      </c>
      <c r="R5" s="113">
        <v>44287</v>
      </c>
      <c r="S5" s="113">
        <v>44317</v>
      </c>
      <c r="T5" s="113">
        <v>44348</v>
      </c>
      <c r="U5" s="113">
        <v>44378</v>
      </c>
      <c r="V5" s="113">
        <v>44409</v>
      </c>
      <c r="W5" s="113">
        <v>44440</v>
      </c>
      <c r="X5" s="113">
        <v>44470</v>
      </c>
      <c r="Y5" s="113">
        <v>44501</v>
      </c>
      <c r="Z5" s="113">
        <v>44531</v>
      </c>
      <c r="AA5" s="113">
        <v>44562</v>
      </c>
      <c r="AB5" s="113">
        <v>44593</v>
      </c>
      <c r="AC5" s="113">
        <v>44621</v>
      </c>
    </row>
    <row r="6" spans="1:29" ht="16.5" thickTop="1" thickBot="1" x14ac:dyDescent="0.3">
      <c r="A6" s="38" t="s">
        <v>23</v>
      </c>
      <c r="B6" s="38" t="s">
        <v>97</v>
      </c>
      <c r="C6" s="42">
        <v>0</v>
      </c>
      <c r="D6" s="42">
        <v>0</v>
      </c>
      <c r="E6" s="42">
        <v>0</v>
      </c>
      <c r="F6" s="42">
        <v>0</v>
      </c>
      <c r="G6" s="42">
        <v>0</v>
      </c>
      <c r="H6" s="42">
        <v>46452</v>
      </c>
      <c r="I6" s="42">
        <v>46452</v>
      </c>
      <c r="J6" s="42">
        <v>46452</v>
      </c>
      <c r="K6" s="42">
        <v>0</v>
      </c>
      <c r="L6" s="42">
        <v>0</v>
      </c>
      <c r="M6" s="42">
        <v>0</v>
      </c>
      <c r="N6" s="42">
        <v>0</v>
      </c>
      <c r="P6" s="42" t="s">
        <v>131</v>
      </c>
      <c r="Q6" s="42" t="s">
        <v>98</v>
      </c>
      <c r="R6" s="42">
        <v>0</v>
      </c>
      <c r="S6" s="42">
        <v>0</v>
      </c>
      <c r="T6" s="42">
        <v>0</v>
      </c>
      <c r="U6" s="42">
        <v>0</v>
      </c>
      <c r="V6" s="42">
        <v>0</v>
      </c>
      <c r="W6" s="42">
        <v>365.38461538461536</v>
      </c>
      <c r="X6" s="42">
        <v>365.38461538461536</v>
      </c>
      <c r="Y6" s="42">
        <v>365.38461538461536</v>
      </c>
      <c r="Z6" s="42">
        <v>0</v>
      </c>
      <c r="AA6" s="42">
        <v>0</v>
      </c>
      <c r="AB6" s="42">
        <v>0</v>
      </c>
      <c r="AC6" s="42">
        <v>0</v>
      </c>
    </row>
    <row r="7" spans="1:29" ht="16.5" thickTop="1" thickBot="1" x14ac:dyDescent="0.3">
      <c r="A7" s="38" t="s">
        <v>24</v>
      </c>
      <c r="B7" s="38" t="s">
        <v>95</v>
      </c>
      <c r="C7" s="42">
        <v>0</v>
      </c>
      <c r="D7" s="42">
        <v>0</v>
      </c>
      <c r="E7" s="42">
        <v>0</v>
      </c>
      <c r="F7" s="42">
        <v>0</v>
      </c>
      <c r="G7" s="42">
        <v>0</v>
      </c>
      <c r="H7" s="42">
        <v>60500</v>
      </c>
      <c r="I7" s="42">
        <v>63525</v>
      </c>
      <c r="J7" s="42">
        <v>63525</v>
      </c>
      <c r="K7" s="42">
        <v>0</v>
      </c>
      <c r="L7" s="42">
        <v>0</v>
      </c>
      <c r="M7" s="42">
        <v>0</v>
      </c>
      <c r="N7" s="42">
        <v>0</v>
      </c>
      <c r="P7" s="42" t="s">
        <v>132</v>
      </c>
      <c r="Q7" s="42" t="s">
        <v>99</v>
      </c>
      <c r="R7" s="42">
        <v>0</v>
      </c>
      <c r="S7" s="42">
        <v>0</v>
      </c>
      <c r="T7" s="42">
        <v>0</v>
      </c>
      <c r="U7" s="42">
        <v>0</v>
      </c>
      <c r="V7" s="42">
        <v>0</v>
      </c>
      <c r="W7" s="42">
        <v>369.23076923076923</v>
      </c>
      <c r="X7" s="42">
        <v>369.23076923076923</v>
      </c>
      <c r="Y7" s="42">
        <v>369.23076923076923</v>
      </c>
      <c r="Z7" s="42">
        <v>0</v>
      </c>
      <c r="AA7" s="42">
        <v>0</v>
      </c>
      <c r="AB7" s="42">
        <v>0</v>
      </c>
      <c r="AC7" s="42">
        <v>0</v>
      </c>
    </row>
    <row r="8" spans="1:29" ht="16.5" thickTop="1" thickBot="1" x14ac:dyDescent="0.3">
      <c r="A8" s="38" t="s">
        <v>26</v>
      </c>
      <c r="B8" s="38" t="s">
        <v>117</v>
      </c>
      <c r="C8" s="42">
        <v>0</v>
      </c>
      <c r="D8" s="42">
        <v>0</v>
      </c>
      <c r="E8" s="42">
        <v>0</v>
      </c>
      <c r="F8" s="42">
        <v>0</v>
      </c>
      <c r="G8" s="42">
        <v>0</v>
      </c>
      <c r="H8" s="42">
        <v>33275</v>
      </c>
      <c r="I8" s="42">
        <v>33275</v>
      </c>
      <c r="J8" s="42">
        <v>33275</v>
      </c>
      <c r="K8" s="42">
        <v>0</v>
      </c>
      <c r="L8" s="42">
        <v>0</v>
      </c>
      <c r="M8" s="42">
        <v>0</v>
      </c>
      <c r="N8" s="42">
        <v>0</v>
      </c>
      <c r="P8" s="42" t="s">
        <v>133</v>
      </c>
      <c r="Q8" s="42" t="s">
        <v>100</v>
      </c>
      <c r="R8" s="42">
        <v>0</v>
      </c>
      <c r="S8" s="42">
        <v>0</v>
      </c>
      <c r="T8" s="42">
        <v>0</v>
      </c>
      <c r="U8" s="42">
        <v>0</v>
      </c>
      <c r="V8" s="42">
        <v>0</v>
      </c>
      <c r="W8" s="42">
        <v>369.23076923076923</v>
      </c>
      <c r="X8" s="42">
        <v>369.23076923076923</v>
      </c>
      <c r="Y8" s="42">
        <v>369.23076923076923</v>
      </c>
      <c r="Z8" s="42">
        <v>0</v>
      </c>
      <c r="AA8" s="42">
        <v>0</v>
      </c>
      <c r="AB8" s="42">
        <v>0</v>
      </c>
      <c r="AC8" s="42">
        <v>0</v>
      </c>
    </row>
    <row r="9" spans="1:29" ht="16.5" thickTop="1" thickBot="1" x14ac:dyDescent="0.3">
      <c r="A9" s="38" t="s">
        <v>30</v>
      </c>
      <c r="B9" s="38" t="s">
        <v>121</v>
      </c>
      <c r="C9" s="42">
        <v>0</v>
      </c>
      <c r="D9" s="42">
        <v>0</v>
      </c>
      <c r="E9" s="42">
        <v>0</v>
      </c>
      <c r="F9" s="42">
        <v>0</v>
      </c>
      <c r="G9" s="42">
        <v>0</v>
      </c>
      <c r="H9" s="42">
        <v>42500</v>
      </c>
      <c r="I9" s="42">
        <v>42500</v>
      </c>
      <c r="J9" s="42">
        <v>42500</v>
      </c>
      <c r="K9" s="42">
        <v>0</v>
      </c>
      <c r="L9" s="42">
        <v>0</v>
      </c>
      <c r="M9" s="42">
        <v>0</v>
      </c>
      <c r="N9" s="42">
        <v>0</v>
      </c>
      <c r="P9" s="42" t="s">
        <v>134</v>
      </c>
      <c r="Q9" s="42" t="s">
        <v>101</v>
      </c>
      <c r="R9" s="42">
        <v>0</v>
      </c>
      <c r="S9" s="42">
        <v>0</v>
      </c>
      <c r="T9" s="42">
        <v>0</v>
      </c>
      <c r="U9" s="42">
        <v>0</v>
      </c>
      <c r="V9" s="42">
        <v>0</v>
      </c>
      <c r="W9" s="42">
        <v>280</v>
      </c>
      <c r="X9" s="42">
        <v>280</v>
      </c>
      <c r="Y9" s="42">
        <v>280</v>
      </c>
      <c r="Z9" s="42">
        <v>0</v>
      </c>
      <c r="AA9" s="42">
        <v>0</v>
      </c>
      <c r="AB9" s="42">
        <v>0</v>
      </c>
      <c r="AC9" s="42">
        <v>0</v>
      </c>
    </row>
    <row r="10" spans="1:29" ht="16.5" thickTop="1" thickBot="1" x14ac:dyDescent="0.3">
      <c r="A10" s="38" t="s">
        <v>76</v>
      </c>
      <c r="B10" s="38" t="s">
        <v>96</v>
      </c>
      <c r="C10" s="42">
        <v>0</v>
      </c>
      <c r="D10" s="42">
        <v>0</v>
      </c>
      <c r="E10" s="42">
        <v>0</v>
      </c>
      <c r="F10" s="42">
        <v>0</v>
      </c>
      <c r="G10" s="42">
        <v>0</v>
      </c>
      <c r="H10" s="42">
        <v>160000</v>
      </c>
      <c r="I10" s="42">
        <v>160000</v>
      </c>
      <c r="J10" s="42">
        <v>160000</v>
      </c>
      <c r="K10" s="42">
        <v>0</v>
      </c>
      <c r="L10" s="42">
        <v>0</v>
      </c>
      <c r="M10" s="42">
        <v>0</v>
      </c>
      <c r="N10" s="42">
        <v>0</v>
      </c>
      <c r="P10" s="42" t="s">
        <v>135</v>
      </c>
      <c r="Q10" s="42" t="s">
        <v>102</v>
      </c>
      <c r="R10" s="42">
        <v>0</v>
      </c>
      <c r="S10" s="42">
        <v>0</v>
      </c>
      <c r="T10" s="42">
        <v>0</v>
      </c>
      <c r="U10" s="42">
        <v>0</v>
      </c>
      <c r="V10" s="42">
        <v>0</v>
      </c>
      <c r="W10" s="42">
        <v>270</v>
      </c>
      <c r="X10" s="42">
        <v>270</v>
      </c>
      <c r="Y10" s="42">
        <v>270</v>
      </c>
      <c r="Z10" s="42">
        <v>0</v>
      </c>
      <c r="AA10" s="42">
        <v>0</v>
      </c>
      <c r="AB10" s="42">
        <v>0</v>
      </c>
      <c r="AC10" s="42">
        <v>0</v>
      </c>
    </row>
    <row r="11" spans="1:29" ht="16.5" thickTop="1" thickBot="1" x14ac:dyDescent="0.3">
      <c r="A11" s="38" t="s">
        <v>77</v>
      </c>
      <c r="B11" s="38" t="s">
        <v>119</v>
      </c>
      <c r="C11" s="42">
        <v>0</v>
      </c>
      <c r="D11" s="42">
        <v>0</v>
      </c>
      <c r="E11" s="42">
        <v>0</v>
      </c>
      <c r="F11" s="42">
        <v>0</v>
      </c>
      <c r="G11" s="42">
        <v>0</v>
      </c>
      <c r="H11" s="42">
        <v>30000</v>
      </c>
      <c r="I11" s="42">
        <v>30000</v>
      </c>
      <c r="J11" s="42">
        <v>30000</v>
      </c>
      <c r="K11" s="42">
        <v>0</v>
      </c>
      <c r="L11" s="42">
        <v>0</v>
      </c>
      <c r="M11" s="42">
        <v>0</v>
      </c>
      <c r="N11" s="42">
        <v>0</v>
      </c>
      <c r="P11" s="42" t="s">
        <v>136</v>
      </c>
      <c r="Q11" s="42" t="s">
        <v>103</v>
      </c>
      <c r="R11" s="42">
        <v>0</v>
      </c>
      <c r="S11" s="42">
        <v>0</v>
      </c>
      <c r="T11" s="42">
        <v>0</v>
      </c>
      <c r="U11" s="42">
        <v>0</v>
      </c>
      <c r="V11" s="42">
        <v>0</v>
      </c>
      <c r="W11" s="42">
        <v>326.92</v>
      </c>
      <c r="X11" s="42">
        <v>355</v>
      </c>
      <c r="Y11" s="42">
        <v>355</v>
      </c>
      <c r="Z11" s="42">
        <v>0</v>
      </c>
      <c r="AA11" s="42">
        <v>0</v>
      </c>
      <c r="AB11" s="42">
        <v>0</v>
      </c>
      <c r="AC11" s="42">
        <v>0</v>
      </c>
    </row>
    <row r="12" spans="1:29" ht="16.5" thickTop="1" thickBot="1" x14ac:dyDescent="0.3">
      <c r="A12" s="38" t="s">
        <v>78</v>
      </c>
      <c r="B12" s="38" t="s">
        <v>122</v>
      </c>
      <c r="C12" s="42">
        <v>0</v>
      </c>
      <c r="D12" s="42">
        <v>0</v>
      </c>
      <c r="E12" s="42">
        <v>0</v>
      </c>
      <c r="F12" s="42">
        <v>0</v>
      </c>
      <c r="G12" s="42">
        <v>0</v>
      </c>
      <c r="H12" s="42">
        <v>9500</v>
      </c>
      <c r="I12" s="42">
        <v>9500</v>
      </c>
      <c r="J12" s="42">
        <v>9500</v>
      </c>
      <c r="K12" s="42">
        <v>0</v>
      </c>
      <c r="L12" s="42">
        <v>0</v>
      </c>
      <c r="M12" s="42">
        <v>0</v>
      </c>
      <c r="N12" s="42">
        <v>0</v>
      </c>
      <c r="P12" s="42" t="s">
        <v>137</v>
      </c>
      <c r="Q12" s="42" t="s">
        <v>104</v>
      </c>
      <c r="R12" s="42">
        <v>0</v>
      </c>
      <c r="S12" s="42">
        <v>0</v>
      </c>
      <c r="T12" s="42">
        <v>0</v>
      </c>
      <c r="U12" s="42">
        <v>0</v>
      </c>
      <c r="V12" s="42">
        <v>0</v>
      </c>
      <c r="W12" s="42">
        <v>357.69230769230768</v>
      </c>
      <c r="X12" s="42">
        <v>357.69230769230768</v>
      </c>
      <c r="Y12" s="42">
        <v>357.69230769230768</v>
      </c>
      <c r="Z12" s="42">
        <v>0</v>
      </c>
      <c r="AA12" s="42">
        <v>0</v>
      </c>
      <c r="AB12" s="42">
        <v>0</v>
      </c>
      <c r="AC12" s="42">
        <v>0</v>
      </c>
    </row>
    <row r="13" spans="1:29" ht="16.5" thickTop="1" thickBot="1" x14ac:dyDescent="0.3">
      <c r="A13" s="38" t="s">
        <v>79</v>
      </c>
      <c r="B13" s="38" t="s">
        <v>118</v>
      </c>
      <c r="C13" s="42">
        <v>0</v>
      </c>
      <c r="D13" s="42">
        <v>0</v>
      </c>
      <c r="E13" s="42">
        <v>0</v>
      </c>
      <c r="F13" s="42">
        <v>0</v>
      </c>
      <c r="G13" s="42">
        <v>0</v>
      </c>
      <c r="H13" s="42">
        <v>30000</v>
      </c>
      <c r="I13" s="42">
        <v>30000</v>
      </c>
      <c r="J13" s="42">
        <v>30000</v>
      </c>
      <c r="K13" s="42">
        <v>0</v>
      </c>
      <c r="L13" s="42">
        <v>0</v>
      </c>
      <c r="M13" s="42">
        <v>0</v>
      </c>
      <c r="N13" s="42">
        <v>0</v>
      </c>
      <c r="P13" s="42" t="s">
        <v>138</v>
      </c>
      <c r="Q13" s="42" t="s">
        <v>105</v>
      </c>
      <c r="R13" s="42">
        <v>0</v>
      </c>
      <c r="S13" s="42">
        <v>0</v>
      </c>
      <c r="T13" s="42">
        <v>0</v>
      </c>
      <c r="U13" s="42">
        <v>0</v>
      </c>
      <c r="V13" s="42">
        <v>0</v>
      </c>
      <c r="W13" s="42">
        <v>369.23076923076923</v>
      </c>
      <c r="X13" s="42">
        <v>369.23076923076923</v>
      </c>
      <c r="Y13" s="42">
        <v>369.23076923076923</v>
      </c>
      <c r="Z13" s="42">
        <v>0</v>
      </c>
      <c r="AA13" s="42">
        <v>0</v>
      </c>
      <c r="AB13" s="42">
        <v>0</v>
      </c>
      <c r="AC13" s="42">
        <v>0</v>
      </c>
    </row>
    <row r="14" spans="1:29" ht="16.5" thickTop="1" thickBot="1" x14ac:dyDescent="0.3">
      <c r="A14" s="38" t="s">
        <v>80</v>
      </c>
      <c r="B14" s="38" t="s">
        <v>180</v>
      </c>
      <c r="C14" s="42">
        <v>0</v>
      </c>
      <c r="D14" s="42">
        <v>0</v>
      </c>
      <c r="E14" s="42">
        <v>0</v>
      </c>
      <c r="F14" s="42">
        <v>0</v>
      </c>
      <c r="G14" s="42">
        <v>0</v>
      </c>
      <c r="H14" s="42">
        <v>27000</v>
      </c>
      <c r="I14" s="42">
        <v>27000</v>
      </c>
      <c r="J14" s="42">
        <v>0</v>
      </c>
      <c r="K14" s="42">
        <v>0</v>
      </c>
      <c r="L14" s="42">
        <v>0</v>
      </c>
      <c r="M14" s="42">
        <v>0</v>
      </c>
      <c r="N14" s="42">
        <v>0</v>
      </c>
      <c r="P14" s="42" t="s">
        <v>139</v>
      </c>
      <c r="Q14" s="42" t="s">
        <v>106</v>
      </c>
      <c r="R14" s="42">
        <v>0</v>
      </c>
      <c r="S14" s="42">
        <v>0</v>
      </c>
      <c r="T14" s="42">
        <v>0</v>
      </c>
      <c r="U14" s="42">
        <v>0</v>
      </c>
      <c r="V14" s="42">
        <v>0</v>
      </c>
      <c r="W14" s="42">
        <v>386.53846153846155</v>
      </c>
      <c r="X14" s="42">
        <v>386.53846153846155</v>
      </c>
      <c r="Y14" s="42">
        <v>386.53846153846155</v>
      </c>
      <c r="Z14" s="42">
        <v>0</v>
      </c>
      <c r="AA14" s="42">
        <v>0</v>
      </c>
      <c r="AB14" s="42">
        <v>0</v>
      </c>
      <c r="AC14" s="42">
        <v>0</v>
      </c>
    </row>
    <row r="15" spans="1:29" ht="16.5" thickTop="1" thickBot="1" x14ac:dyDescent="0.3">
      <c r="A15" s="38" t="s">
        <v>81</v>
      </c>
      <c r="B15" s="38" t="s">
        <v>120</v>
      </c>
      <c r="C15" s="42">
        <v>0</v>
      </c>
      <c r="D15" s="42">
        <v>0</v>
      </c>
      <c r="E15" s="42">
        <v>0</v>
      </c>
      <c r="F15" s="42">
        <v>0</v>
      </c>
      <c r="G15" s="42">
        <v>0</v>
      </c>
      <c r="H15" s="42">
        <v>24200</v>
      </c>
      <c r="I15" s="42">
        <v>24200</v>
      </c>
      <c r="J15" s="42">
        <v>24200</v>
      </c>
      <c r="K15" s="42">
        <v>0</v>
      </c>
      <c r="L15" s="42">
        <v>0</v>
      </c>
      <c r="M15" s="42">
        <v>0</v>
      </c>
      <c r="N15" s="42">
        <v>0</v>
      </c>
      <c r="P15" s="42" t="s">
        <v>140</v>
      </c>
      <c r="Q15" s="42" t="s">
        <v>107</v>
      </c>
      <c r="R15" s="42">
        <v>0</v>
      </c>
      <c r="S15" s="42">
        <v>0</v>
      </c>
      <c r="T15" s="42">
        <v>0</v>
      </c>
      <c r="U15" s="42">
        <v>0</v>
      </c>
      <c r="V15" s="42">
        <v>0</v>
      </c>
      <c r="W15" s="42">
        <v>390.38461538461536</v>
      </c>
      <c r="X15" s="42">
        <v>390.38461538461536</v>
      </c>
      <c r="Y15" s="42">
        <v>390.38461538461536</v>
      </c>
      <c r="Z15" s="42">
        <v>0</v>
      </c>
      <c r="AA15" s="42">
        <v>0</v>
      </c>
      <c r="AB15" s="42">
        <v>0</v>
      </c>
      <c r="AC15" s="42">
        <v>0</v>
      </c>
    </row>
    <row r="16" spans="1:29" ht="16.5" thickTop="1" thickBot="1" x14ac:dyDescent="0.3">
      <c r="A16" s="38" t="s">
        <v>84</v>
      </c>
      <c r="B16" s="38" t="s">
        <v>31</v>
      </c>
      <c r="C16" s="42">
        <v>0</v>
      </c>
      <c r="D16" s="42">
        <v>0</v>
      </c>
      <c r="E16" s="42">
        <v>0</v>
      </c>
      <c r="F16" s="42">
        <v>0</v>
      </c>
      <c r="G16" s="42">
        <v>0</v>
      </c>
      <c r="H16" s="42">
        <v>0</v>
      </c>
      <c r="I16" s="42">
        <v>25000</v>
      </c>
      <c r="J16" s="42">
        <v>25000</v>
      </c>
      <c r="K16" s="42">
        <v>0</v>
      </c>
      <c r="L16" s="42">
        <v>0</v>
      </c>
      <c r="M16" s="42">
        <v>0</v>
      </c>
      <c r="N16" s="42">
        <v>0</v>
      </c>
      <c r="P16" s="42" t="s">
        <v>141</v>
      </c>
      <c r="Q16" s="38" t="s">
        <v>238</v>
      </c>
      <c r="R16" s="42">
        <v>0</v>
      </c>
      <c r="S16" s="42">
        <v>0</v>
      </c>
      <c r="T16" s="42">
        <v>0</v>
      </c>
      <c r="U16" s="42">
        <v>0</v>
      </c>
      <c r="V16" s="42">
        <v>0</v>
      </c>
      <c r="W16" s="42">
        <v>369.23076923076923</v>
      </c>
      <c r="X16" s="42">
        <v>369.23076923076923</v>
      </c>
      <c r="Y16" s="42">
        <v>369.23076923076923</v>
      </c>
      <c r="Z16" s="42">
        <v>0</v>
      </c>
      <c r="AA16" s="42">
        <v>0</v>
      </c>
      <c r="AB16" s="42">
        <v>0</v>
      </c>
      <c r="AC16" s="42">
        <v>0</v>
      </c>
    </row>
    <row r="17" spans="1:29" ht="16.5" thickTop="1" thickBot="1" x14ac:dyDescent="0.3">
      <c r="A17" s="38" t="s">
        <v>123</v>
      </c>
      <c r="B17" s="38" t="s">
        <v>163</v>
      </c>
      <c r="C17" s="42">
        <v>0</v>
      </c>
      <c r="D17" s="42">
        <v>0</v>
      </c>
      <c r="E17" s="42">
        <v>0</v>
      </c>
      <c r="F17" s="42">
        <v>0</v>
      </c>
      <c r="G17" s="42">
        <v>0</v>
      </c>
      <c r="H17" s="42">
        <v>0</v>
      </c>
      <c r="I17" s="42">
        <v>0</v>
      </c>
      <c r="J17" s="42">
        <v>12000</v>
      </c>
      <c r="K17" s="42">
        <v>0</v>
      </c>
      <c r="L17" s="42">
        <v>0</v>
      </c>
      <c r="M17" s="42">
        <v>0</v>
      </c>
      <c r="N17" s="42">
        <v>0</v>
      </c>
      <c r="P17" s="42" t="s">
        <v>142</v>
      </c>
      <c r="Q17" s="42" t="s">
        <v>108</v>
      </c>
      <c r="R17" s="42">
        <v>0</v>
      </c>
      <c r="S17" s="42">
        <v>0</v>
      </c>
      <c r="T17" s="42">
        <v>0</v>
      </c>
      <c r="U17" s="42">
        <v>0</v>
      </c>
      <c r="V17" s="42">
        <v>0</v>
      </c>
      <c r="W17" s="42">
        <v>270</v>
      </c>
      <c r="X17" s="42">
        <f>270+40</f>
        <v>310</v>
      </c>
      <c r="Y17" s="42">
        <f>270+40</f>
        <v>310</v>
      </c>
      <c r="Z17" s="42">
        <v>0</v>
      </c>
      <c r="AA17" s="42">
        <v>0</v>
      </c>
      <c r="AB17" s="42">
        <v>0</v>
      </c>
      <c r="AC17" s="42">
        <v>0</v>
      </c>
    </row>
    <row r="18" spans="1:29" ht="16.5" thickTop="1" thickBot="1" x14ac:dyDescent="0.3">
      <c r="A18" s="38" t="s">
        <v>124</v>
      </c>
      <c r="B18" s="38" t="s">
        <v>91</v>
      </c>
      <c r="C18" s="42">
        <v>0</v>
      </c>
      <c r="D18" s="42">
        <v>0</v>
      </c>
      <c r="E18" s="42">
        <v>0</v>
      </c>
      <c r="F18" s="42">
        <v>0</v>
      </c>
      <c r="G18" s="42">
        <v>0</v>
      </c>
      <c r="H18" s="42">
        <v>8000</v>
      </c>
      <c r="I18" s="42">
        <f>8000+1500</f>
        <v>9500</v>
      </c>
      <c r="J18" s="42">
        <f>8000+1500</f>
        <v>9500</v>
      </c>
      <c r="K18" s="42">
        <v>0</v>
      </c>
      <c r="L18" s="42">
        <v>0</v>
      </c>
      <c r="M18" s="42">
        <v>0</v>
      </c>
      <c r="N18" s="42">
        <v>0</v>
      </c>
      <c r="P18" s="42" t="s">
        <v>143</v>
      </c>
      <c r="Q18" s="42" t="s">
        <v>109</v>
      </c>
      <c r="R18" s="42">
        <v>0</v>
      </c>
      <c r="S18" s="42">
        <v>0</v>
      </c>
      <c r="T18" s="42">
        <v>0</v>
      </c>
      <c r="U18" s="42">
        <v>0</v>
      </c>
      <c r="V18" s="42">
        <v>0</v>
      </c>
      <c r="W18" s="42">
        <v>260</v>
      </c>
      <c r="X18" s="42">
        <v>425</v>
      </c>
      <c r="Y18" s="42">
        <v>425</v>
      </c>
      <c r="Z18" s="42">
        <v>0</v>
      </c>
      <c r="AA18" s="42">
        <v>0</v>
      </c>
      <c r="AB18" s="42">
        <v>0</v>
      </c>
      <c r="AC18" s="42">
        <v>0</v>
      </c>
    </row>
    <row r="19" spans="1:29" ht="16.5" thickTop="1" thickBot="1" x14ac:dyDescent="0.3">
      <c r="A19" s="38" t="s">
        <v>125</v>
      </c>
      <c r="B19" s="38" t="s">
        <v>25</v>
      </c>
      <c r="C19" s="42">
        <v>0</v>
      </c>
      <c r="D19" s="42">
        <v>0</v>
      </c>
      <c r="E19" s="42">
        <v>0</v>
      </c>
      <c r="F19" s="42">
        <v>0</v>
      </c>
      <c r="G19" s="42">
        <v>0</v>
      </c>
      <c r="H19" s="42">
        <v>11400</v>
      </c>
      <c r="I19" s="42">
        <v>11400</v>
      </c>
      <c r="J19" s="42">
        <v>11400</v>
      </c>
      <c r="K19" s="42">
        <v>0</v>
      </c>
      <c r="L19" s="42">
        <v>0</v>
      </c>
      <c r="M19" s="42">
        <v>0</v>
      </c>
      <c r="N19" s="42">
        <v>0</v>
      </c>
      <c r="P19" s="42" t="s">
        <v>144</v>
      </c>
      <c r="Q19" s="42" t="s">
        <v>110</v>
      </c>
      <c r="R19" s="42">
        <v>0</v>
      </c>
      <c r="S19" s="42">
        <v>0</v>
      </c>
      <c r="T19" s="42">
        <v>0</v>
      </c>
      <c r="U19" s="42">
        <v>0</v>
      </c>
      <c r="V19" s="42">
        <v>0</v>
      </c>
      <c r="W19" s="42">
        <v>410</v>
      </c>
      <c r="X19" s="42">
        <v>410</v>
      </c>
      <c r="Y19" s="42">
        <v>410</v>
      </c>
      <c r="Z19" s="42">
        <v>0</v>
      </c>
      <c r="AA19" s="42">
        <v>0</v>
      </c>
      <c r="AB19" s="42">
        <v>0</v>
      </c>
      <c r="AC19" s="42">
        <v>0</v>
      </c>
    </row>
    <row r="20" spans="1:29" ht="16.5" thickTop="1" thickBot="1" x14ac:dyDescent="0.3">
      <c r="A20" s="38" t="s">
        <v>126</v>
      </c>
      <c r="B20" s="38" t="s">
        <v>27</v>
      </c>
      <c r="C20" s="42">
        <v>0</v>
      </c>
      <c r="D20" s="42">
        <v>0</v>
      </c>
      <c r="E20" s="42">
        <v>0</v>
      </c>
      <c r="F20" s="42">
        <v>0</v>
      </c>
      <c r="G20" s="42">
        <v>0</v>
      </c>
      <c r="H20" s="42">
        <v>11800</v>
      </c>
      <c r="I20" s="42">
        <f>11800+1500</f>
        <v>13300</v>
      </c>
      <c r="J20" s="42">
        <f>11800+1500</f>
        <v>13300</v>
      </c>
      <c r="K20" s="42">
        <v>0</v>
      </c>
      <c r="L20" s="42">
        <v>0</v>
      </c>
      <c r="M20" s="42">
        <v>0</v>
      </c>
      <c r="N20" s="42">
        <v>0</v>
      </c>
      <c r="P20" s="42" t="s">
        <v>145</v>
      </c>
      <c r="Q20" s="42" t="s">
        <v>111</v>
      </c>
      <c r="R20" s="42">
        <v>0</v>
      </c>
      <c r="S20" s="42">
        <v>0</v>
      </c>
      <c r="T20" s="42">
        <v>0</v>
      </c>
      <c r="U20" s="42">
        <v>0</v>
      </c>
      <c r="V20" s="42">
        <v>0</v>
      </c>
      <c r="W20" s="42">
        <v>275</v>
      </c>
      <c r="X20" s="42">
        <v>300</v>
      </c>
      <c r="Y20" s="42">
        <v>300</v>
      </c>
      <c r="Z20" s="42">
        <v>0</v>
      </c>
      <c r="AA20" s="42">
        <v>0</v>
      </c>
      <c r="AB20" s="42">
        <v>0</v>
      </c>
      <c r="AC20" s="42">
        <v>0</v>
      </c>
    </row>
    <row r="21" spans="1:29" ht="16.5" thickTop="1" thickBot="1" x14ac:dyDescent="0.3">
      <c r="A21" s="38" t="s">
        <v>127</v>
      </c>
      <c r="B21" s="38" t="s">
        <v>92</v>
      </c>
      <c r="C21" s="42">
        <v>0</v>
      </c>
      <c r="D21" s="42">
        <v>0</v>
      </c>
      <c r="E21" s="42">
        <v>0</v>
      </c>
      <c r="F21" s="42">
        <v>0</v>
      </c>
      <c r="G21" s="42">
        <v>0</v>
      </c>
      <c r="H21" s="42">
        <v>12050</v>
      </c>
      <c r="I21" s="42">
        <v>12050</v>
      </c>
      <c r="J21" s="42">
        <v>12050</v>
      </c>
      <c r="K21" s="42">
        <v>0</v>
      </c>
      <c r="L21" s="42">
        <v>0</v>
      </c>
      <c r="M21" s="42">
        <v>0</v>
      </c>
      <c r="N21" s="42">
        <v>0</v>
      </c>
      <c r="P21" s="42" t="s">
        <v>146</v>
      </c>
      <c r="Q21" s="42" t="s">
        <v>112</v>
      </c>
      <c r="R21" s="42">
        <v>0</v>
      </c>
      <c r="S21" s="42">
        <v>0</v>
      </c>
      <c r="T21" s="42">
        <v>0</v>
      </c>
      <c r="U21" s="42">
        <v>0</v>
      </c>
      <c r="V21" s="42">
        <v>0</v>
      </c>
      <c r="W21" s="42">
        <v>270</v>
      </c>
      <c r="X21" s="42">
        <v>310</v>
      </c>
      <c r="Y21" s="42">
        <v>310</v>
      </c>
      <c r="Z21" s="42">
        <v>0</v>
      </c>
      <c r="AA21" s="42">
        <v>0</v>
      </c>
      <c r="AB21" s="42">
        <v>0</v>
      </c>
      <c r="AC21" s="42">
        <v>0</v>
      </c>
    </row>
    <row r="22" spans="1:29" ht="16.5" thickTop="1" thickBot="1" x14ac:dyDescent="0.3">
      <c r="A22" s="38" t="s">
        <v>128</v>
      </c>
      <c r="B22" s="38" t="s">
        <v>94</v>
      </c>
      <c r="C22" s="42">
        <v>0</v>
      </c>
      <c r="D22" s="42">
        <v>0</v>
      </c>
      <c r="E22" s="42">
        <v>0</v>
      </c>
      <c r="F22" s="42">
        <v>0</v>
      </c>
      <c r="G22" s="42">
        <v>0</v>
      </c>
      <c r="H22" s="42">
        <v>15420</v>
      </c>
      <c r="I22" s="42">
        <v>15420</v>
      </c>
      <c r="J22" s="42">
        <v>15420</v>
      </c>
      <c r="K22" s="42">
        <v>0</v>
      </c>
      <c r="L22" s="42">
        <v>0</v>
      </c>
      <c r="M22" s="42">
        <v>0</v>
      </c>
      <c r="N22" s="42">
        <v>0</v>
      </c>
      <c r="P22" s="42" t="s">
        <v>147</v>
      </c>
      <c r="Q22" s="42" t="s">
        <v>113</v>
      </c>
      <c r="R22" s="42">
        <v>0</v>
      </c>
      <c r="S22" s="42">
        <v>0</v>
      </c>
      <c r="T22" s="42">
        <v>0</v>
      </c>
      <c r="U22" s="42">
        <v>0</v>
      </c>
      <c r="V22" s="42">
        <v>0</v>
      </c>
      <c r="W22" s="42">
        <v>270</v>
      </c>
      <c r="X22" s="42">
        <v>295</v>
      </c>
      <c r="Y22" s="42">
        <v>295</v>
      </c>
      <c r="Z22" s="42">
        <v>0</v>
      </c>
      <c r="AA22" s="42">
        <v>0</v>
      </c>
      <c r="AB22" s="42">
        <v>0</v>
      </c>
      <c r="AC22" s="42">
        <v>0</v>
      </c>
    </row>
    <row r="23" spans="1:29" ht="16.5" thickTop="1" thickBot="1" x14ac:dyDescent="0.3">
      <c r="A23" s="38" t="s">
        <v>129</v>
      </c>
      <c r="B23" s="38" t="s">
        <v>93</v>
      </c>
      <c r="C23" s="42">
        <v>0</v>
      </c>
      <c r="D23" s="42">
        <v>0</v>
      </c>
      <c r="E23" s="42">
        <v>0</v>
      </c>
      <c r="F23" s="42">
        <v>0</v>
      </c>
      <c r="G23" s="42">
        <v>0</v>
      </c>
      <c r="H23" s="42">
        <v>16500</v>
      </c>
      <c r="I23" s="42">
        <v>19000</v>
      </c>
      <c r="J23" s="42">
        <v>19000</v>
      </c>
      <c r="K23" s="42">
        <v>0</v>
      </c>
      <c r="L23" s="42">
        <v>0</v>
      </c>
      <c r="M23" s="42">
        <v>0</v>
      </c>
      <c r="N23" s="42">
        <v>0</v>
      </c>
      <c r="P23" s="42" t="s">
        <v>148</v>
      </c>
      <c r="Q23" s="42" t="s">
        <v>114</v>
      </c>
      <c r="R23" s="42">
        <v>0</v>
      </c>
      <c r="S23" s="42">
        <v>0</v>
      </c>
      <c r="T23" s="42">
        <v>0</v>
      </c>
      <c r="U23" s="42">
        <v>0</v>
      </c>
      <c r="V23" s="42">
        <v>0</v>
      </c>
      <c r="W23" s="42">
        <v>225</v>
      </c>
      <c r="X23" s="42">
        <v>225</v>
      </c>
      <c r="Y23" s="42">
        <v>225</v>
      </c>
      <c r="Z23" s="42">
        <v>0</v>
      </c>
      <c r="AA23" s="42">
        <v>0</v>
      </c>
      <c r="AB23" s="42">
        <v>0</v>
      </c>
      <c r="AC23" s="42">
        <v>0</v>
      </c>
    </row>
    <row r="24" spans="1:29" ht="16.5" thickTop="1" thickBot="1" x14ac:dyDescent="0.3">
      <c r="A24" s="38" t="s">
        <v>130</v>
      </c>
      <c r="B24" s="38" t="s">
        <v>90</v>
      </c>
      <c r="C24" s="42">
        <v>0</v>
      </c>
      <c r="D24" s="42">
        <v>0</v>
      </c>
      <c r="E24" s="42">
        <v>0</v>
      </c>
      <c r="F24" s="42">
        <v>0</v>
      </c>
      <c r="G24" s="42">
        <v>0</v>
      </c>
      <c r="H24" s="42">
        <v>19060</v>
      </c>
      <c r="I24" s="42">
        <v>19060</v>
      </c>
      <c r="J24" s="42">
        <v>19060</v>
      </c>
      <c r="K24" s="42">
        <v>0</v>
      </c>
      <c r="L24" s="42">
        <v>0</v>
      </c>
      <c r="M24" s="42">
        <v>0</v>
      </c>
      <c r="N24" s="42">
        <v>0</v>
      </c>
      <c r="P24" s="42" t="s">
        <v>149</v>
      </c>
      <c r="Q24" s="42" t="s">
        <v>115</v>
      </c>
      <c r="R24" s="42">
        <v>0</v>
      </c>
      <c r="S24" s="42">
        <v>0</v>
      </c>
      <c r="T24" s="42">
        <v>0</v>
      </c>
      <c r="U24" s="42">
        <v>0</v>
      </c>
      <c r="V24" s="42">
        <v>0</v>
      </c>
      <c r="W24" s="42">
        <v>225</v>
      </c>
      <c r="X24" s="42">
        <v>225</v>
      </c>
      <c r="Y24" s="42">
        <v>225</v>
      </c>
      <c r="Z24" s="42">
        <v>0</v>
      </c>
      <c r="AA24" s="42">
        <v>0</v>
      </c>
      <c r="AB24" s="42">
        <v>0</v>
      </c>
      <c r="AC24" s="42">
        <v>0</v>
      </c>
    </row>
    <row r="25" spans="1:29" ht="16.5" thickTop="1" thickBot="1" x14ac:dyDescent="0.3">
      <c r="A25" s="42"/>
      <c r="B25" s="42"/>
      <c r="C25" s="42">
        <v>0</v>
      </c>
      <c r="D25" s="42">
        <v>0</v>
      </c>
      <c r="E25" s="42">
        <v>0</v>
      </c>
      <c r="F25" s="42">
        <v>0</v>
      </c>
      <c r="G25" s="42">
        <v>0</v>
      </c>
      <c r="H25" s="42">
        <v>0</v>
      </c>
      <c r="I25" s="42">
        <v>0</v>
      </c>
      <c r="J25" s="42">
        <v>0</v>
      </c>
      <c r="K25" s="42">
        <v>0</v>
      </c>
      <c r="L25" s="42">
        <v>0</v>
      </c>
      <c r="M25" s="42">
        <v>0</v>
      </c>
      <c r="N25" s="42">
        <v>0</v>
      </c>
      <c r="P25" s="42" t="s">
        <v>181</v>
      </c>
      <c r="Q25" s="42" t="s">
        <v>116</v>
      </c>
      <c r="R25" s="128">
        <v>0</v>
      </c>
      <c r="S25" s="128">
        <v>0</v>
      </c>
      <c r="T25" s="128">
        <v>0</v>
      </c>
      <c r="U25" s="128">
        <v>0</v>
      </c>
      <c r="V25" s="128">
        <v>0</v>
      </c>
      <c r="W25" s="42">
        <v>235</v>
      </c>
      <c r="X25" s="128">
        <v>235</v>
      </c>
      <c r="Y25" s="128">
        <v>235</v>
      </c>
      <c r="Z25" s="128">
        <v>0</v>
      </c>
      <c r="AA25" s="128">
        <v>0</v>
      </c>
      <c r="AB25" s="128">
        <v>0</v>
      </c>
      <c r="AC25" s="128">
        <v>0</v>
      </c>
    </row>
    <row r="26" spans="1:29" ht="16.5" thickTop="1" thickBot="1" x14ac:dyDescent="0.3">
      <c r="A26" s="42"/>
      <c r="B26" s="42"/>
      <c r="C26" s="42">
        <v>0</v>
      </c>
      <c r="D26" s="42">
        <v>0</v>
      </c>
      <c r="E26" s="42">
        <v>0</v>
      </c>
      <c r="F26" s="42">
        <v>0</v>
      </c>
      <c r="G26" s="42">
        <v>0</v>
      </c>
      <c r="H26" s="42">
        <v>0</v>
      </c>
      <c r="I26" s="42">
        <v>0</v>
      </c>
      <c r="J26" s="42">
        <v>0</v>
      </c>
      <c r="K26" s="42">
        <v>0</v>
      </c>
      <c r="L26" s="42">
        <v>0</v>
      </c>
      <c r="M26" s="42">
        <v>0</v>
      </c>
      <c r="N26" s="42">
        <v>0</v>
      </c>
      <c r="P26" s="38"/>
      <c r="Q26" s="38"/>
      <c r="R26" s="128">
        <v>0</v>
      </c>
      <c r="S26" s="128">
        <v>0</v>
      </c>
      <c r="T26" s="128">
        <v>0</v>
      </c>
      <c r="U26" s="128">
        <v>0</v>
      </c>
      <c r="V26" s="128">
        <v>0</v>
      </c>
      <c r="W26" s="42"/>
      <c r="X26" s="128">
        <v>0</v>
      </c>
      <c r="Y26" s="128">
        <v>0</v>
      </c>
      <c r="Z26" s="128">
        <v>0</v>
      </c>
      <c r="AA26" s="128">
        <v>0</v>
      </c>
      <c r="AB26" s="128">
        <v>0</v>
      </c>
      <c r="AC26" s="128">
        <v>0</v>
      </c>
    </row>
    <row r="27" spans="1:29" ht="16.5" thickTop="1" thickBot="1" x14ac:dyDescent="0.3">
      <c r="A27" s="42"/>
      <c r="B27" s="42"/>
      <c r="C27" s="42">
        <v>0</v>
      </c>
      <c r="D27" s="42">
        <v>0</v>
      </c>
      <c r="E27" s="42">
        <v>0</v>
      </c>
      <c r="F27" s="42">
        <v>0</v>
      </c>
      <c r="G27" s="42">
        <v>0</v>
      </c>
      <c r="H27" s="42">
        <v>0</v>
      </c>
      <c r="I27" s="42">
        <v>0</v>
      </c>
      <c r="J27" s="42">
        <v>0</v>
      </c>
      <c r="K27" s="42">
        <v>0</v>
      </c>
      <c r="L27" s="42">
        <v>0</v>
      </c>
      <c r="M27" s="42">
        <v>0</v>
      </c>
      <c r="N27" s="42">
        <v>0</v>
      </c>
      <c r="P27" s="38"/>
      <c r="Q27" s="38"/>
      <c r="R27" s="128">
        <v>0</v>
      </c>
      <c r="S27" s="128">
        <v>0</v>
      </c>
      <c r="T27" s="128">
        <v>0</v>
      </c>
      <c r="U27" s="128">
        <v>0</v>
      </c>
      <c r="V27" s="128">
        <v>0</v>
      </c>
      <c r="W27" s="42"/>
      <c r="X27" s="128">
        <v>0</v>
      </c>
      <c r="Y27" s="128">
        <v>0</v>
      </c>
      <c r="Z27" s="128">
        <v>0</v>
      </c>
      <c r="AA27" s="128">
        <v>0</v>
      </c>
      <c r="AB27" s="128">
        <v>0</v>
      </c>
      <c r="AC27" s="128">
        <v>0</v>
      </c>
    </row>
    <row r="28" spans="1:29" ht="16.5" thickTop="1" thickBot="1" x14ac:dyDescent="0.3">
      <c r="A28" s="42"/>
      <c r="B28" s="42"/>
      <c r="C28" s="42">
        <v>0</v>
      </c>
      <c r="D28" s="42">
        <v>0</v>
      </c>
      <c r="E28" s="42">
        <v>0</v>
      </c>
      <c r="F28" s="42">
        <v>0</v>
      </c>
      <c r="G28" s="42">
        <v>0</v>
      </c>
      <c r="H28" s="42">
        <v>0</v>
      </c>
      <c r="I28" s="42">
        <v>0</v>
      </c>
      <c r="J28" s="42">
        <v>0</v>
      </c>
      <c r="K28" s="42">
        <v>0</v>
      </c>
      <c r="L28" s="42">
        <v>0</v>
      </c>
      <c r="M28" s="42">
        <v>0</v>
      </c>
      <c r="N28" s="42">
        <v>0</v>
      </c>
      <c r="P28" s="38"/>
      <c r="Q28" s="38"/>
      <c r="R28" s="128">
        <v>0</v>
      </c>
      <c r="S28" s="128">
        <v>0</v>
      </c>
      <c r="T28" s="128">
        <v>0</v>
      </c>
      <c r="U28" s="128">
        <v>0</v>
      </c>
      <c r="V28" s="128">
        <v>0</v>
      </c>
      <c r="W28" s="42"/>
      <c r="X28" s="128">
        <v>0</v>
      </c>
      <c r="Y28" s="128">
        <v>0</v>
      </c>
      <c r="Z28" s="128">
        <v>0</v>
      </c>
      <c r="AA28" s="128">
        <v>0</v>
      </c>
      <c r="AB28" s="128">
        <v>0</v>
      </c>
      <c r="AC28" s="128">
        <v>0</v>
      </c>
    </row>
    <row r="29" spans="1:29" ht="16.5" thickTop="1" thickBot="1" x14ac:dyDescent="0.3">
      <c r="A29" s="42"/>
      <c r="B29" s="42"/>
      <c r="C29" s="42">
        <v>0</v>
      </c>
      <c r="D29" s="42">
        <v>0</v>
      </c>
      <c r="E29" s="42">
        <v>0</v>
      </c>
      <c r="F29" s="42">
        <v>0</v>
      </c>
      <c r="G29" s="42">
        <v>0</v>
      </c>
      <c r="H29" s="42">
        <v>0</v>
      </c>
      <c r="I29" s="42">
        <v>0</v>
      </c>
      <c r="J29" s="42">
        <v>0</v>
      </c>
      <c r="K29" s="42">
        <v>0</v>
      </c>
      <c r="L29" s="42">
        <v>0</v>
      </c>
      <c r="M29" s="42">
        <v>0</v>
      </c>
      <c r="N29" s="42">
        <v>0</v>
      </c>
      <c r="P29" s="38"/>
      <c r="Q29" s="38"/>
      <c r="R29" s="128">
        <v>0</v>
      </c>
      <c r="S29" s="128">
        <v>0</v>
      </c>
      <c r="T29" s="128">
        <v>0</v>
      </c>
      <c r="U29" s="128">
        <v>0</v>
      </c>
      <c r="V29" s="128">
        <v>0</v>
      </c>
      <c r="W29" s="42"/>
      <c r="X29" s="128">
        <v>0</v>
      </c>
      <c r="Y29" s="128">
        <v>0</v>
      </c>
      <c r="Z29" s="128">
        <v>0</v>
      </c>
      <c r="AA29" s="128">
        <v>0</v>
      </c>
      <c r="AB29" s="128">
        <v>0</v>
      </c>
      <c r="AC29" s="128">
        <v>0</v>
      </c>
    </row>
    <row r="30" spans="1:29" ht="16.5" thickTop="1" thickBot="1" x14ac:dyDescent="0.3">
      <c r="A30" s="42"/>
      <c r="B30" s="42"/>
      <c r="C30" s="42">
        <v>0</v>
      </c>
      <c r="D30" s="42">
        <v>0</v>
      </c>
      <c r="E30" s="42">
        <v>0</v>
      </c>
      <c r="F30" s="42">
        <v>0</v>
      </c>
      <c r="G30" s="42">
        <v>0</v>
      </c>
      <c r="H30" s="42">
        <v>0</v>
      </c>
      <c r="I30" s="42">
        <v>0</v>
      </c>
      <c r="J30" s="42">
        <v>0</v>
      </c>
      <c r="K30" s="42">
        <v>0</v>
      </c>
      <c r="L30" s="42">
        <v>0</v>
      </c>
      <c r="M30" s="42">
        <v>0</v>
      </c>
      <c r="N30" s="42">
        <v>0</v>
      </c>
      <c r="P30" s="38"/>
      <c r="Q30" s="38"/>
      <c r="R30" s="128">
        <v>0</v>
      </c>
      <c r="S30" s="128">
        <v>0</v>
      </c>
      <c r="T30" s="128">
        <v>0</v>
      </c>
      <c r="U30" s="128">
        <v>0</v>
      </c>
      <c r="V30" s="128">
        <v>0</v>
      </c>
      <c r="W30" s="42"/>
      <c r="X30" s="128">
        <v>0</v>
      </c>
      <c r="Y30" s="128">
        <v>0</v>
      </c>
      <c r="Z30" s="128">
        <v>0</v>
      </c>
      <c r="AA30" s="128">
        <v>0</v>
      </c>
      <c r="AB30" s="128">
        <v>0</v>
      </c>
      <c r="AC30" s="128">
        <v>0</v>
      </c>
    </row>
    <row r="31" spans="1:29" ht="16.5" thickTop="1" thickBot="1" x14ac:dyDescent="0.3">
      <c r="A31" s="42"/>
      <c r="B31" s="42"/>
      <c r="C31" s="42">
        <v>0</v>
      </c>
      <c r="D31" s="42">
        <v>0</v>
      </c>
      <c r="E31" s="42">
        <v>0</v>
      </c>
      <c r="F31" s="42">
        <v>0</v>
      </c>
      <c r="G31" s="42">
        <v>0</v>
      </c>
      <c r="H31" s="42">
        <v>0</v>
      </c>
      <c r="I31" s="42">
        <v>0</v>
      </c>
      <c r="J31" s="42">
        <v>0</v>
      </c>
      <c r="K31" s="42">
        <v>0</v>
      </c>
      <c r="L31" s="42">
        <v>0</v>
      </c>
      <c r="M31" s="42">
        <v>0</v>
      </c>
      <c r="N31" s="42">
        <v>0</v>
      </c>
      <c r="P31" s="38"/>
      <c r="Q31" s="38"/>
      <c r="R31" s="128">
        <v>0</v>
      </c>
      <c r="S31" s="128">
        <v>0</v>
      </c>
      <c r="T31" s="128">
        <v>0</v>
      </c>
      <c r="U31" s="128">
        <v>0</v>
      </c>
      <c r="V31" s="128">
        <v>0</v>
      </c>
      <c r="W31" s="42"/>
      <c r="X31" s="128">
        <v>0</v>
      </c>
      <c r="Y31" s="128">
        <v>0</v>
      </c>
      <c r="Z31" s="128">
        <v>0</v>
      </c>
      <c r="AA31" s="128">
        <v>0</v>
      </c>
      <c r="AB31" s="128">
        <v>0</v>
      </c>
      <c r="AC31" s="128">
        <v>0</v>
      </c>
    </row>
    <row r="32" spans="1:29" ht="16.5" thickTop="1" thickBot="1" x14ac:dyDescent="0.3">
      <c r="A32" s="42"/>
      <c r="B32" s="42"/>
      <c r="C32" s="42">
        <v>0</v>
      </c>
      <c r="D32" s="42">
        <v>0</v>
      </c>
      <c r="E32" s="42">
        <v>0</v>
      </c>
      <c r="F32" s="42">
        <v>0</v>
      </c>
      <c r="G32" s="42">
        <v>0</v>
      </c>
      <c r="H32" s="42">
        <v>0</v>
      </c>
      <c r="I32" s="42">
        <v>0</v>
      </c>
      <c r="J32" s="42">
        <v>0</v>
      </c>
      <c r="K32" s="42">
        <v>0</v>
      </c>
      <c r="L32" s="42">
        <v>0</v>
      </c>
      <c r="M32" s="42">
        <v>0</v>
      </c>
      <c r="N32" s="42">
        <v>0</v>
      </c>
      <c r="P32" s="38"/>
      <c r="Q32" s="38"/>
      <c r="R32" s="128">
        <v>0</v>
      </c>
      <c r="S32" s="128">
        <v>0</v>
      </c>
      <c r="T32" s="128">
        <v>0</v>
      </c>
      <c r="U32" s="128">
        <v>0</v>
      </c>
      <c r="V32" s="128">
        <v>0</v>
      </c>
      <c r="W32" s="42"/>
      <c r="X32" s="128">
        <v>0</v>
      </c>
      <c r="Y32" s="128">
        <v>0</v>
      </c>
      <c r="Z32" s="128">
        <v>0</v>
      </c>
      <c r="AA32" s="128">
        <v>0</v>
      </c>
      <c r="AB32" s="128">
        <v>0</v>
      </c>
      <c r="AC32" s="128">
        <v>0</v>
      </c>
    </row>
    <row r="33" spans="1:29" ht="16.5" thickTop="1" thickBot="1" x14ac:dyDescent="0.3">
      <c r="A33" s="42"/>
      <c r="B33" s="42"/>
      <c r="C33" s="42">
        <v>0</v>
      </c>
      <c r="D33" s="42">
        <v>0</v>
      </c>
      <c r="E33" s="42">
        <v>0</v>
      </c>
      <c r="F33" s="42">
        <v>0</v>
      </c>
      <c r="G33" s="42">
        <v>0</v>
      </c>
      <c r="H33" s="42">
        <v>0</v>
      </c>
      <c r="I33" s="42">
        <v>0</v>
      </c>
      <c r="J33" s="42">
        <v>0</v>
      </c>
      <c r="K33" s="42">
        <v>0</v>
      </c>
      <c r="L33" s="42">
        <v>0</v>
      </c>
      <c r="M33" s="42">
        <v>0</v>
      </c>
      <c r="N33" s="42">
        <v>0</v>
      </c>
      <c r="P33" s="128"/>
      <c r="Q33" s="128"/>
      <c r="R33" s="128">
        <v>0</v>
      </c>
      <c r="S33" s="128">
        <v>0</v>
      </c>
      <c r="T33" s="128">
        <v>0</v>
      </c>
      <c r="U33" s="128">
        <v>0</v>
      </c>
      <c r="V33" s="128">
        <v>0</v>
      </c>
      <c r="W33" s="42"/>
      <c r="X33" s="128">
        <v>0</v>
      </c>
      <c r="Y33" s="128">
        <v>0</v>
      </c>
      <c r="Z33" s="128">
        <v>0</v>
      </c>
      <c r="AA33" s="128">
        <v>0</v>
      </c>
      <c r="AB33" s="128">
        <v>0</v>
      </c>
      <c r="AC33" s="128">
        <v>0</v>
      </c>
    </row>
    <row r="34" spans="1:29" ht="16.5" thickTop="1" thickBot="1" x14ac:dyDescent="0.3">
      <c r="A34" s="42"/>
      <c r="B34" s="42"/>
      <c r="C34" s="42">
        <v>0</v>
      </c>
      <c r="D34" s="42">
        <v>0</v>
      </c>
      <c r="E34" s="42">
        <v>0</v>
      </c>
      <c r="F34" s="42">
        <v>0</v>
      </c>
      <c r="G34" s="42">
        <v>0</v>
      </c>
      <c r="H34" s="42">
        <v>0</v>
      </c>
      <c r="I34" s="42">
        <v>0</v>
      </c>
      <c r="J34" s="42">
        <v>0</v>
      </c>
      <c r="K34" s="42">
        <v>0</v>
      </c>
      <c r="L34" s="42">
        <v>0</v>
      </c>
      <c r="M34" s="42">
        <v>0</v>
      </c>
      <c r="N34" s="42">
        <v>0</v>
      </c>
      <c r="P34" s="128"/>
      <c r="Q34" s="128"/>
      <c r="R34" s="128">
        <v>0</v>
      </c>
      <c r="S34" s="128">
        <v>0</v>
      </c>
      <c r="T34" s="128">
        <v>0</v>
      </c>
      <c r="U34" s="128">
        <v>0</v>
      </c>
      <c r="V34" s="128">
        <v>0</v>
      </c>
      <c r="W34" s="42"/>
      <c r="X34" s="128">
        <v>0</v>
      </c>
      <c r="Y34" s="128">
        <v>0</v>
      </c>
      <c r="Z34" s="128">
        <v>0</v>
      </c>
      <c r="AA34" s="128">
        <v>0</v>
      </c>
      <c r="AB34" s="128">
        <v>0</v>
      </c>
      <c r="AC34" s="128">
        <v>0</v>
      </c>
    </row>
    <row r="35" spans="1:29" ht="16.5" thickTop="1" thickBot="1" x14ac:dyDescent="0.3">
      <c r="A35" s="42"/>
      <c r="B35" s="42"/>
      <c r="C35" s="42">
        <v>0</v>
      </c>
      <c r="D35" s="42">
        <v>0</v>
      </c>
      <c r="E35" s="42">
        <v>0</v>
      </c>
      <c r="F35" s="42">
        <v>0</v>
      </c>
      <c r="G35" s="42">
        <v>0</v>
      </c>
      <c r="H35" s="42">
        <v>0</v>
      </c>
      <c r="I35" s="42">
        <v>0</v>
      </c>
      <c r="J35" s="42">
        <v>0</v>
      </c>
      <c r="K35" s="42">
        <v>0</v>
      </c>
      <c r="L35" s="42">
        <v>0</v>
      </c>
      <c r="M35" s="42">
        <v>0</v>
      </c>
      <c r="N35" s="42">
        <v>0</v>
      </c>
      <c r="P35" s="128"/>
      <c r="Q35" s="128"/>
      <c r="R35" s="128">
        <v>0</v>
      </c>
      <c r="S35" s="128">
        <v>0</v>
      </c>
      <c r="T35" s="128">
        <v>0</v>
      </c>
      <c r="U35" s="128">
        <v>0</v>
      </c>
      <c r="V35" s="128">
        <v>0</v>
      </c>
      <c r="W35" s="42"/>
      <c r="X35" s="128">
        <v>0</v>
      </c>
      <c r="Y35" s="128">
        <v>0</v>
      </c>
      <c r="Z35" s="128">
        <v>0</v>
      </c>
      <c r="AA35" s="128">
        <v>0</v>
      </c>
      <c r="AB35" s="128">
        <v>0</v>
      </c>
      <c r="AC35" s="128">
        <v>0</v>
      </c>
    </row>
    <row r="36" spans="1:29" ht="16.5" thickTop="1" thickBot="1" x14ac:dyDescent="0.3">
      <c r="A36" s="42"/>
      <c r="B36" s="42"/>
      <c r="C36" s="42">
        <v>0</v>
      </c>
      <c r="D36" s="42">
        <v>0</v>
      </c>
      <c r="E36" s="42">
        <v>0</v>
      </c>
      <c r="F36" s="42">
        <v>0</v>
      </c>
      <c r="G36" s="42">
        <v>0</v>
      </c>
      <c r="H36" s="42">
        <v>0</v>
      </c>
      <c r="I36" s="42">
        <v>0</v>
      </c>
      <c r="J36" s="42">
        <v>0</v>
      </c>
      <c r="K36" s="42">
        <v>0</v>
      </c>
      <c r="L36" s="42">
        <v>0</v>
      </c>
      <c r="M36" s="42">
        <v>0</v>
      </c>
      <c r="N36" s="42">
        <v>0</v>
      </c>
      <c r="P36" s="128"/>
      <c r="Q36" s="128"/>
      <c r="R36" s="128">
        <v>0</v>
      </c>
      <c r="S36" s="128">
        <v>0</v>
      </c>
      <c r="T36" s="128">
        <v>0</v>
      </c>
      <c r="U36" s="128">
        <v>0</v>
      </c>
      <c r="V36" s="128">
        <v>0</v>
      </c>
      <c r="W36" s="42"/>
      <c r="X36" s="128">
        <v>0</v>
      </c>
      <c r="Y36" s="128">
        <v>0</v>
      </c>
      <c r="Z36" s="128">
        <v>0</v>
      </c>
      <c r="AA36" s="128">
        <v>0</v>
      </c>
      <c r="AB36" s="128">
        <v>0</v>
      </c>
      <c r="AC36" s="128">
        <v>0</v>
      </c>
    </row>
    <row r="37" spans="1:29" ht="16.5" thickTop="1" thickBot="1" x14ac:dyDescent="0.3">
      <c r="A37" s="42"/>
      <c r="B37" s="42"/>
      <c r="C37" s="42">
        <v>0</v>
      </c>
      <c r="D37" s="42">
        <v>0</v>
      </c>
      <c r="E37" s="42">
        <v>0</v>
      </c>
      <c r="F37" s="42">
        <v>0</v>
      </c>
      <c r="G37" s="42">
        <v>0</v>
      </c>
      <c r="H37" s="42">
        <v>0</v>
      </c>
      <c r="I37" s="42">
        <v>0</v>
      </c>
      <c r="J37" s="42">
        <v>0</v>
      </c>
      <c r="K37" s="42">
        <v>0</v>
      </c>
      <c r="L37" s="42">
        <v>0</v>
      </c>
      <c r="M37" s="42">
        <v>0</v>
      </c>
      <c r="N37" s="42">
        <v>0</v>
      </c>
      <c r="P37" s="128"/>
      <c r="Q37" s="128"/>
      <c r="R37" s="128">
        <v>0</v>
      </c>
      <c r="S37" s="128">
        <v>0</v>
      </c>
      <c r="T37" s="128">
        <v>0</v>
      </c>
      <c r="U37" s="128">
        <v>0</v>
      </c>
      <c r="V37" s="128">
        <v>0</v>
      </c>
      <c r="W37" s="42"/>
      <c r="X37" s="128">
        <v>0</v>
      </c>
      <c r="Y37" s="128">
        <v>0</v>
      </c>
      <c r="Z37" s="128">
        <v>0</v>
      </c>
      <c r="AA37" s="128">
        <v>0</v>
      </c>
      <c r="AB37" s="128">
        <v>0</v>
      </c>
      <c r="AC37" s="128">
        <v>0</v>
      </c>
    </row>
    <row r="38" spans="1:29" ht="16.5" thickTop="1" thickBot="1" x14ac:dyDescent="0.3">
      <c r="A38" s="42"/>
      <c r="B38" s="42"/>
      <c r="C38" s="42">
        <v>0</v>
      </c>
      <c r="D38" s="42">
        <v>0</v>
      </c>
      <c r="E38" s="42">
        <v>0</v>
      </c>
      <c r="F38" s="42">
        <v>0</v>
      </c>
      <c r="G38" s="42">
        <v>0</v>
      </c>
      <c r="H38" s="42">
        <v>0</v>
      </c>
      <c r="I38" s="42">
        <v>0</v>
      </c>
      <c r="J38" s="42">
        <v>0</v>
      </c>
      <c r="K38" s="42">
        <v>0</v>
      </c>
      <c r="L38" s="42">
        <v>0</v>
      </c>
      <c r="M38" s="42">
        <v>0</v>
      </c>
      <c r="N38" s="42">
        <v>0</v>
      </c>
      <c r="P38" s="128"/>
      <c r="Q38" s="128"/>
      <c r="R38" s="128">
        <v>0</v>
      </c>
      <c r="S38" s="128">
        <v>0</v>
      </c>
      <c r="T38" s="128">
        <v>0</v>
      </c>
      <c r="U38" s="128">
        <v>0</v>
      </c>
      <c r="V38" s="128">
        <v>0</v>
      </c>
      <c r="W38" s="42"/>
      <c r="X38" s="128">
        <v>0</v>
      </c>
      <c r="Y38" s="128">
        <v>0</v>
      </c>
      <c r="Z38" s="128">
        <v>0</v>
      </c>
      <c r="AA38" s="128">
        <v>0</v>
      </c>
      <c r="AB38" s="128">
        <v>0</v>
      </c>
      <c r="AC38" s="128">
        <v>0</v>
      </c>
    </row>
    <row r="39" spans="1:29" ht="16.5" thickTop="1" thickBot="1" x14ac:dyDescent="0.3">
      <c r="A39" s="42"/>
      <c r="B39" s="42"/>
      <c r="C39" s="42">
        <v>0</v>
      </c>
      <c r="D39" s="42">
        <v>0</v>
      </c>
      <c r="E39" s="42">
        <v>0</v>
      </c>
      <c r="F39" s="42">
        <v>0</v>
      </c>
      <c r="G39" s="42">
        <v>0</v>
      </c>
      <c r="H39" s="42">
        <v>0</v>
      </c>
      <c r="I39" s="42">
        <v>0</v>
      </c>
      <c r="J39" s="42">
        <v>0</v>
      </c>
      <c r="K39" s="42">
        <v>0</v>
      </c>
      <c r="L39" s="42">
        <v>0</v>
      </c>
      <c r="M39" s="42">
        <v>0</v>
      </c>
      <c r="N39" s="42">
        <v>0</v>
      </c>
      <c r="P39" s="128"/>
      <c r="Q39" s="128"/>
      <c r="R39" s="128">
        <v>0</v>
      </c>
      <c r="S39" s="128">
        <v>0</v>
      </c>
      <c r="T39" s="128">
        <v>0</v>
      </c>
      <c r="U39" s="128">
        <v>0</v>
      </c>
      <c r="V39" s="128">
        <v>0</v>
      </c>
      <c r="W39" s="42"/>
      <c r="X39" s="128">
        <v>0</v>
      </c>
      <c r="Y39" s="128">
        <v>0</v>
      </c>
      <c r="Z39" s="128">
        <v>0</v>
      </c>
      <c r="AA39" s="128">
        <v>0</v>
      </c>
      <c r="AB39" s="128">
        <v>0</v>
      </c>
      <c r="AC39" s="128">
        <v>0</v>
      </c>
    </row>
    <row r="40" spans="1:29" ht="16.5" thickTop="1" thickBot="1" x14ac:dyDescent="0.3">
      <c r="A40" s="42"/>
      <c r="B40" s="42"/>
      <c r="C40" s="42">
        <v>0</v>
      </c>
      <c r="D40" s="42">
        <v>0</v>
      </c>
      <c r="E40" s="42">
        <v>0</v>
      </c>
      <c r="F40" s="42">
        <v>0</v>
      </c>
      <c r="G40" s="42">
        <v>0</v>
      </c>
      <c r="H40" s="42">
        <v>0</v>
      </c>
      <c r="I40" s="42">
        <v>0</v>
      </c>
      <c r="J40" s="42">
        <v>0</v>
      </c>
      <c r="K40" s="42">
        <v>0</v>
      </c>
      <c r="L40" s="42">
        <v>0</v>
      </c>
      <c r="M40" s="42">
        <v>0</v>
      </c>
      <c r="N40" s="42">
        <v>0</v>
      </c>
      <c r="P40" s="128"/>
      <c r="Q40" s="128"/>
      <c r="R40" s="128">
        <v>0</v>
      </c>
      <c r="S40" s="128">
        <v>0</v>
      </c>
      <c r="T40" s="128">
        <v>0</v>
      </c>
      <c r="U40" s="128">
        <v>0</v>
      </c>
      <c r="V40" s="128">
        <v>0</v>
      </c>
      <c r="W40" s="42"/>
      <c r="X40" s="128">
        <v>0</v>
      </c>
      <c r="Y40" s="128">
        <v>0</v>
      </c>
      <c r="Z40" s="128">
        <v>0</v>
      </c>
      <c r="AA40" s="128">
        <v>0</v>
      </c>
      <c r="AB40" s="128">
        <v>0</v>
      </c>
      <c r="AC40" s="128">
        <v>0</v>
      </c>
    </row>
    <row r="41" spans="1:29" ht="16.5" thickTop="1" thickBot="1" x14ac:dyDescent="0.3">
      <c r="A41" s="42"/>
      <c r="B41" s="42"/>
      <c r="C41" s="42">
        <v>0</v>
      </c>
      <c r="D41" s="42">
        <v>0</v>
      </c>
      <c r="E41" s="42">
        <v>0</v>
      </c>
      <c r="F41" s="42">
        <v>0</v>
      </c>
      <c r="G41" s="42">
        <v>0</v>
      </c>
      <c r="H41" s="42">
        <v>0</v>
      </c>
      <c r="I41" s="42">
        <v>0</v>
      </c>
      <c r="J41" s="42">
        <v>0</v>
      </c>
      <c r="K41" s="42">
        <v>0</v>
      </c>
      <c r="L41" s="42">
        <v>0</v>
      </c>
      <c r="M41" s="42">
        <v>0</v>
      </c>
      <c r="N41" s="42">
        <v>0</v>
      </c>
      <c r="P41" s="128"/>
      <c r="Q41" s="128"/>
      <c r="R41" s="128">
        <v>0</v>
      </c>
      <c r="S41" s="128">
        <v>0</v>
      </c>
      <c r="T41" s="128">
        <v>0</v>
      </c>
      <c r="U41" s="128">
        <v>0</v>
      </c>
      <c r="V41" s="128">
        <v>0</v>
      </c>
      <c r="W41" s="42"/>
      <c r="X41" s="128">
        <v>0</v>
      </c>
      <c r="Y41" s="128">
        <v>0</v>
      </c>
      <c r="Z41" s="128">
        <v>0</v>
      </c>
      <c r="AA41" s="128">
        <v>0</v>
      </c>
      <c r="AB41" s="128">
        <v>0</v>
      </c>
      <c r="AC41" s="128">
        <v>0</v>
      </c>
    </row>
    <row r="42" spans="1:29" ht="16.5" thickTop="1" thickBot="1" x14ac:dyDescent="0.3">
      <c r="A42" s="42"/>
      <c r="B42" s="42"/>
      <c r="C42" s="42">
        <v>0</v>
      </c>
      <c r="D42" s="42">
        <v>0</v>
      </c>
      <c r="E42" s="42">
        <v>0</v>
      </c>
      <c r="F42" s="42">
        <v>0</v>
      </c>
      <c r="G42" s="42">
        <v>0</v>
      </c>
      <c r="H42" s="42">
        <v>0</v>
      </c>
      <c r="I42" s="42">
        <v>0</v>
      </c>
      <c r="J42" s="42">
        <v>0</v>
      </c>
      <c r="K42" s="42">
        <v>0</v>
      </c>
      <c r="L42" s="42">
        <v>0</v>
      </c>
      <c r="M42" s="42">
        <v>0</v>
      </c>
      <c r="N42" s="42">
        <v>0</v>
      </c>
      <c r="P42" s="128"/>
      <c r="Q42" s="128"/>
      <c r="R42" s="128">
        <v>0</v>
      </c>
      <c r="S42" s="128">
        <v>0</v>
      </c>
      <c r="T42" s="128">
        <v>0</v>
      </c>
      <c r="U42" s="128">
        <v>0</v>
      </c>
      <c r="V42" s="128">
        <v>0</v>
      </c>
      <c r="W42" s="42"/>
      <c r="X42" s="128">
        <v>0</v>
      </c>
      <c r="Y42" s="128">
        <v>0</v>
      </c>
      <c r="Z42" s="128">
        <v>0</v>
      </c>
      <c r="AA42" s="128">
        <v>0</v>
      </c>
      <c r="AB42" s="128">
        <v>0</v>
      </c>
      <c r="AC42" s="128">
        <v>0</v>
      </c>
    </row>
    <row r="43" spans="1:29" ht="16.5" thickTop="1" thickBot="1" x14ac:dyDescent="0.3">
      <c r="A43" s="42"/>
      <c r="B43" s="42"/>
      <c r="C43" s="42">
        <v>0</v>
      </c>
      <c r="D43" s="42">
        <v>0</v>
      </c>
      <c r="E43" s="42">
        <v>0</v>
      </c>
      <c r="F43" s="42">
        <v>0</v>
      </c>
      <c r="G43" s="42">
        <v>0</v>
      </c>
      <c r="H43" s="42">
        <v>0</v>
      </c>
      <c r="I43" s="42">
        <v>0</v>
      </c>
      <c r="J43" s="42">
        <v>0</v>
      </c>
      <c r="K43" s="42">
        <v>0</v>
      </c>
      <c r="L43" s="42">
        <v>0</v>
      </c>
      <c r="M43" s="42">
        <v>0</v>
      </c>
      <c r="N43" s="42">
        <v>0</v>
      </c>
      <c r="P43" s="128"/>
      <c r="Q43" s="128"/>
      <c r="R43" s="128">
        <v>0</v>
      </c>
      <c r="S43" s="128">
        <v>0</v>
      </c>
      <c r="T43" s="128">
        <v>0</v>
      </c>
      <c r="U43" s="128">
        <v>0</v>
      </c>
      <c r="V43" s="128">
        <v>0</v>
      </c>
      <c r="W43" s="42"/>
      <c r="X43" s="128">
        <v>0</v>
      </c>
      <c r="Y43" s="128">
        <v>0</v>
      </c>
      <c r="Z43" s="128">
        <v>0</v>
      </c>
      <c r="AA43" s="128">
        <v>0</v>
      </c>
      <c r="AB43" s="128">
        <v>0</v>
      </c>
      <c r="AC43" s="128">
        <v>0</v>
      </c>
    </row>
    <row r="44" spans="1:29" ht="16.5" thickTop="1" thickBot="1" x14ac:dyDescent="0.3">
      <c r="A44" s="42"/>
      <c r="B44" s="42"/>
      <c r="C44" s="42">
        <v>0</v>
      </c>
      <c r="D44" s="42">
        <v>0</v>
      </c>
      <c r="E44" s="42">
        <v>0</v>
      </c>
      <c r="F44" s="42">
        <v>0</v>
      </c>
      <c r="G44" s="42">
        <v>0</v>
      </c>
      <c r="H44" s="42">
        <v>0</v>
      </c>
      <c r="I44" s="42">
        <v>0</v>
      </c>
      <c r="J44" s="42">
        <v>0</v>
      </c>
      <c r="K44" s="42">
        <v>0</v>
      </c>
      <c r="L44" s="42">
        <v>0</v>
      </c>
      <c r="M44" s="42">
        <v>0</v>
      </c>
      <c r="N44" s="42">
        <v>0</v>
      </c>
      <c r="P44" s="128"/>
      <c r="Q44" s="128"/>
      <c r="R44" s="128">
        <v>0</v>
      </c>
      <c r="S44" s="128">
        <v>0</v>
      </c>
      <c r="T44" s="128">
        <v>0</v>
      </c>
      <c r="U44" s="128">
        <v>0</v>
      </c>
      <c r="V44" s="128">
        <v>0</v>
      </c>
      <c r="W44" s="42"/>
      <c r="X44" s="128">
        <v>0</v>
      </c>
      <c r="Y44" s="128">
        <v>0</v>
      </c>
      <c r="Z44" s="128">
        <v>0</v>
      </c>
      <c r="AA44" s="128">
        <v>0</v>
      </c>
      <c r="AB44" s="128">
        <v>0</v>
      </c>
      <c r="AC44" s="128">
        <v>0</v>
      </c>
    </row>
    <row r="45" spans="1:29" ht="16.5" thickTop="1" thickBot="1" x14ac:dyDescent="0.3">
      <c r="A45" s="42"/>
      <c r="B45" s="42"/>
      <c r="C45" s="42">
        <v>0</v>
      </c>
      <c r="D45" s="42">
        <v>0</v>
      </c>
      <c r="E45" s="42">
        <v>0</v>
      </c>
      <c r="F45" s="42">
        <v>0</v>
      </c>
      <c r="G45" s="42">
        <v>0</v>
      </c>
      <c r="H45" s="42"/>
      <c r="I45" s="42"/>
      <c r="J45" s="42">
        <v>0</v>
      </c>
      <c r="K45" s="42">
        <v>0</v>
      </c>
      <c r="L45" s="42">
        <v>0</v>
      </c>
      <c r="M45" s="42">
        <v>0</v>
      </c>
      <c r="N45" s="42">
        <v>0</v>
      </c>
      <c r="P45" s="128"/>
      <c r="Q45" s="128"/>
      <c r="R45" s="128">
        <v>0</v>
      </c>
      <c r="S45" s="128">
        <v>0</v>
      </c>
      <c r="T45" s="128">
        <v>0</v>
      </c>
      <c r="U45" s="128">
        <v>0</v>
      </c>
      <c r="V45" s="128">
        <v>0</v>
      </c>
      <c r="W45" s="42"/>
      <c r="X45" s="128">
        <v>0</v>
      </c>
      <c r="Y45" s="128">
        <v>0</v>
      </c>
      <c r="Z45" s="128">
        <v>0</v>
      </c>
      <c r="AA45" s="128">
        <v>0</v>
      </c>
      <c r="AB45" s="128">
        <v>0</v>
      </c>
      <c r="AC45" s="128">
        <v>0</v>
      </c>
    </row>
    <row r="46" spans="1:29" ht="16.5" thickTop="1" thickBot="1" x14ac:dyDescent="0.3">
      <c r="A46" s="42"/>
      <c r="B46" s="42"/>
      <c r="C46" s="42">
        <v>0</v>
      </c>
      <c r="D46" s="42">
        <v>0</v>
      </c>
      <c r="E46" s="42">
        <v>0</v>
      </c>
      <c r="F46" s="42">
        <v>0</v>
      </c>
      <c r="G46" s="42">
        <v>0</v>
      </c>
      <c r="H46" s="42"/>
      <c r="I46" s="42"/>
      <c r="J46" s="42">
        <v>0</v>
      </c>
      <c r="K46" s="42">
        <v>0</v>
      </c>
      <c r="L46" s="42">
        <v>0</v>
      </c>
      <c r="M46" s="42">
        <v>0</v>
      </c>
      <c r="N46" s="42">
        <v>0</v>
      </c>
      <c r="P46" s="128"/>
      <c r="Q46" s="128"/>
      <c r="R46" s="128">
        <v>0</v>
      </c>
      <c r="S46" s="128">
        <v>0</v>
      </c>
      <c r="T46" s="128">
        <v>0</v>
      </c>
      <c r="U46" s="128">
        <v>0</v>
      </c>
      <c r="V46" s="128">
        <v>0</v>
      </c>
      <c r="W46" s="42"/>
      <c r="X46" s="128">
        <v>0</v>
      </c>
      <c r="Y46" s="128">
        <v>0</v>
      </c>
      <c r="Z46" s="128">
        <v>0</v>
      </c>
      <c r="AA46" s="128">
        <v>0</v>
      </c>
      <c r="AB46" s="128">
        <v>0</v>
      </c>
      <c r="AC46" s="128">
        <v>0</v>
      </c>
    </row>
    <row r="47" spans="1:29" ht="16.5" thickTop="1" thickBot="1" x14ac:dyDescent="0.3">
      <c r="A47" s="42"/>
      <c r="B47" s="42"/>
      <c r="C47" s="42">
        <v>0</v>
      </c>
      <c r="D47" s="42">
        <v>0</v>
      </c>
      <c r="E47" s="42">
        <v>0</v>
      </c>
      <c r="F47" s="42">
        <v>0</v>
      </c>
      <c r="G47" s="42">
        <v>0</v>
      </c>
      <c r="H47" s="42"/>
      <c r="I47" s="42"/>
      <c r="J47" s="42">
        <v>0</v>
      </c>
      <c r="K47" s="42">
        <v>0</v>
      </c>
      <c r="L47" s="42">
        <v>0</v>
      </c>
      <c r="M47" s="42">
        <v>0</v>
      </c>
      <c r="N47" s="42">
        <v>0</v>
      </c>
      <c r="P47" s="128"/>
      <c r="Q47" s="128"/>
      <c r="R47" s="128">
        <v>0</v>
      </c>
      <c r="S47" s="128">
        <v>0</v>
      </c>
      <c r="T47" s="128">
        <v>0</v>
      </c>
      <c r="U47" s="128">
        <v>0</v>
      </c>
      <c r="V47" s="128">
        <v>0</v>
      </c>
      <c r="W47" s="42"/>
      <c r="X47" s="128">
        <v>0</v>
      </c>
      <c r="Y47" s="128">
        <v>0</v>
      </c>
      <c r="Z47" s="128">
        <v>0</v>
      </c>
      <c r="AA47" s="128">
        <v>0</v>
      </c>
      <c r="AB47" s="128">
        <v>0</v>
      </c>
      <c r="AC47" s="128">
        <v>0</v>
      </c>
    </row>
    <row r="48" spans="1:29" ht="16.5" thickTop="1" thickBot="1" x14ac:dyDescent="0.3">
      <c r="A48" s="42"/>
      <c r="B48" s="42"/>
      <c r="C48" s="42">
        <v>0</v>
      </c>
      <c r="D48" s="42">
        <v>0</v>
      </c>
      <c r="E48" s="42">
        <v>0</v>
      </c>
      <c r="F48" s="42">
        <v>0</v>
      </c>
      <c r="G48" s="42">
        <v>0</v>
      </c>
      <c r="H48" s="42"/>
      <c r="I48" s="42"/>
      <c r="J48" s="42">
        <v>0</v>
      </c>
      <c r="K48" s="42">
        <v>0</v>
      </c>
      <c r="L48" s="42">
        <v>0</v>
      </c>
      <c r="M48" s="42">
        <v>0</v>
      </c>
      <c r="N48" s="42">
        <v>0</v>
      </c>
      <c r="P48" s="128"/>
      <c r="Q48" s="128"/>
      <c r="R48" s="128">
        <v>0</v>
      </c>
      <c r="S48" s="128">
        <v>0</v>
      </c>
      <c r="T48" s="128">
        <v>0</v>
      </c>
      <c r="U48" s="128">
        <v>0</v>
      </c>
      <c r="V48" s="128">
        <v>0</v>
      </c>
      <c r="W48" s="42"/>
      <c r="X48" s="128">
        <v>0</v>
      </c>
      <c r="Y48" s="128">
        <v>0</v>
      </c>
      <c r="Z48" s="128">
        <v>0</v>
      </c>
      <c r="AA48" s="128">
        <v>0</v>
      </c>
      <c r="AB48" s="128">
        <v>0</v>
      </c>
      <c r="AC48" s="128">
        <v>0</v>
      </c>
    </row>
    <row r="49" spans="1:29" ht="16.5" thickTop="1" thickBot="1" x14ac:dyDescent="0.3">
      <c r="A49" s="42"/>
      <c r="B49" s="42"/>
      <c r="C49" s="42">
        <v>0</v>
      </c>
      <c r="D49" s="42">
        <v>0</v>
      </c>
      <c r="E49" s="42">
        <v>0</v>
      </c>
      <c r="F49" s="42">
        <v>0</v>
      </c>
      <c r="G49" s="42">
        <v>0</v>
      </c>
      <c r="H49" s="42"/>
      <c r="I49" s="42"/>
      <c r="J49" s="42">
        <v>0</v>
      </c>
      <c r="K49" s="42">
        <v>0</v>
      </c>
      <c r="L49" s="42">
        <v>0</v>
      </c>
      <c r="M49" s="42">
        <v>0</v>
      </c>
      <c r="N49" s="42">
        <v>0</v>
      </c>
      <c r="P49" s="128"/>
      <c r="Q49" s="128"/>
      <c r="R49" s="128">
        <v>0</v>
      </c>
      <c r="S49" s="128">
        <v>0</v>
      </c>
      <c r="T49" s="128">
        <v>0</v>
      </c>
      <c r="U49" s="128">
        <v>0</v>
      </c>
      <c r="V49" s="128">
        <v>0</v>
      </c>
      <c r="W49" s="42"/>
      <c r="X49" s="128">
        <v>0</v>
      </c>
      <c r="Y49" s="128">
        <v>0</v>
      </c>
      <c r="Z49" s="128">
        <v>0</v>
      </c>
      <c r="AA49" s="128">
        <v>0</v>
      </c>
      <c r="AB49" s="128">
        <v>0</v>
      </c>
      <c r="AC49" s="128">
        <v>0</v>
      </c>
    </row>
    <row r="50" spans="1:29" ht="16.5" thickTop="1" thickBot="1" x14ac:dyDescent="0.3">
      <c r="A50" s="42"/>
      <c r="B50" s="42"/>
      <c r="C50" s="42">
        <v>0</v>
      </c>
      <c r="D50" s="42">
        <v>0</v>
      </c>
      <c r="E50" s="42">
        <v>0</v>
      </c>
      <c r="F50" s="42">
        <v>0</v>
      </c>
      <c r="G50" s="42">
        <v>0</v>
      </c>
      <c r="H50" s="42"/>
      <c r="I50" s="42"/>
      <c r="J50" s="42">
        <v>0</v>
      </c>
      <c r="K50" s="42">
        <v>0</v>
      </c>
      <c r="L50" s="42">
        <v>0</v>
      </c>
      <c r="M50" s="42">
        <v>0</v>
      </c>
      <c r="N50" s="42">
        <v>0</v>
      </c>
      <c r="P50" s="128"/>
      <c r="Q50" s="128"/>
      <c r="R50" s="128">
        <v>0</v>
      </c>
      <c r="S50" s="128">
        <v>0</v>
      </c>
      <c r="T50" s="128">
        <v>0</v>
      </c>
      <c r="U50" s="128">
        <v>0</v>
      </c>
      <c r="V50" s="128">
        <v>0</v>
      </c>
      <c r="W50" s="42"/>
      <c r="X50" s="128">
        <v>0</v>
      </c>
      <c r="Y50" s="128">
        <v>0</v>
      </c>
      <c r="Z50" s="128">
        <v>0</v>
      </c>
      <c r="AA50" s="128">
        <v>0</v>
      </c>
      <c r="AB50" s="128">
        <v>0</v>
      </c>
      <c r="AC50" s="128">
        <v>0</v>
      </c>
    </row>
    <row r="51" spans="1:29" ht="16.5" thickTop="1" thickBot="1" x14ac:dyDescent="0.3">
      <c r="A51" s="42"/>
      <c r="B51" s="42"/>
      <c r="C51" s="42">
        <v>0</v>
      </c>
      <c r="D51" s="42">
        <v>0</v>
      </c>
      <c r="E51" s="42">
        <v>0</v>
      </c>
      <c r="F51" s="42">
        <v>0</v>
      </c>
      <c r="G51" s="42">
        <v>0</v>
      </c>
      <c r="H51" s="42"/>
      <c r="I51" s="42"/>
      <c r="J51" s="42">
        <v>0</v>
      </c>
      <c r="K51" s="42">
        <v>0</v>
      </c>
      <c r="L51" s="42">
        <v>0</v>
      </c>
      <c r="M51" s="42">
        <v>0</v>
      </c>
      <c r="N51" s="42">
        <v>0</v>
      </c>
      <c r="P51" s="128"/>
      <c r="Q51" s="128"/>
      <c r="R51" s="128">
        <v>0</v>
      </c>
      <c r="S51" s="128">
        <v>0</v>
      </c>
      <c r="T51" s="128">
        <v>0</v>
      </c>
      <c r="U51" s="128">
        <v>0</v>
      </c>
      <c r="V51" s="128">
        <v>0</v>
      </c>
      <c r="W51" s="42"/>
      <c r="X51" s="128">
        <v>0</v>
      </c>
      <c r="Y51" s="128">
        <v>0</v>
      </c>
      <c r="Z51" s="128">
        <v>0</v>
      </c>
      <c r="AA51" s="128">
        <v>0</v>
      </c>
      <c r="AB51" s="128">
        <v>0</v>
      </c>
      <c r="AC51" s="128">
        <v>0</v>
      </c>
    </row>
    <row r="52" spans="1:29" ht="16.5" thickTop="1" thickBot="1" x14ac:dyDescent="0.3">
      <c r="A52" s="42"/>
      <c r="B52" s="42"/>
      <c r="C52" s="42">
        <v>0</v>
      </c>
      <c r="D52" s="42">
        <v>0</v>
      </c>
      <c r="E52" s="42">
        <v>0</v>
      </c>
      <c r="F52" s="42">
        <v>0</v>
      </c>
      <c r="G52" s="42">
        <v>0</v>
      </c>
      <c r="H52" s="42"/>
      <c r="I52" s="42"/>
      <c r="J52" s="42">
        <v>0</v>
      </c>
      <c r="K52" s="42">
        <v>0</v>
      </c>
      <c r="L52" s="42">
        <v>0</v>
      </c>
      <c r="M52" s="42">
        <v>0</v>
      </c>
      <c r="N52" s="42">
        <v>0</v>
      </c>
      <c r="P52" s="128"/>
      <c r="Q52" s="128"/>
      <c r="R52" s="128">
        <v>0</v>
      </c>
      <c r="S52" s="128">
        <v>0</v>
      </c>
      <c r="T52" s="128">
        <v>0</v>
      </c>
      <c r="U52" s="128">
        <v>0</v>
      </c>
      <c r="V52" s="128">
        <v>0</v>
      </c>
      <c r="W52" s="42"/>
      <c r="X52" s="128">
        <v>0</v>
      </c>
      <c r="Y52" s="128">
        <v>0</v>
      </c>
      <c r="Z52" s="128">
        <v>0</v>
      </c>
      <c r="AA52" s="128">
        <v>0</v>
      </c>
      <c r="AB52" s="128">
        <v>0</v>
      </c>
      <c r="AC52" s="128">
        <v>0</v>
      </c>
    </row>
    <row r="53" spans="1:29" ht="16.5" thickTop="1" thickBot="1" x14ac:dyDescent="0.3">
      <c r="A53" s="42"/>
      <c r="B53" s="42"/>
      <c r="C53" s="42">
        <v>0</v>
      </c>
      <c r="D53" s="42">
        <v>0</v>
      </c>
      <c r="E53" s="42">
        <v>0</v>
      </c>
      <c r="F53" s="42">
        <v>0</v>
      </c>
      <c r="G53" s="42">
        <v>0</v>
      </c>
      <c r="H53" s="42"/>
      <c r="I53" s="42"/>
      <c r="J53" s="42">
        <v>0</v>
      </c>
      <c r="K53" s="42">
        <v>0</v>
      </c>
      <c r="L53" s="42">
        <v>0</v>
      </c>
      <c r="M53" s="42">
        <v>0</v>
      </c>
      <c r="N53" s="42">
        <v>0</v>
      </c>
      <c r="P53" s="128"/>
      <c r="Q53" s="128"/>
      <c r="R53" s="128">
        <v>0</v>
      </c>
      <c r="S53" s="128">
        <v>0</v>
      </c>
      <c r="T53" s="128">
        <v>0</v>
      </c>
      <c r="U53" s="128">
        <v>0</v>
      </c>
      <c r="V53" s="128">
        <v>0</v>
      </c>
      <c r="W53" s="42"/>
      <c r="X53" s="128">
        <v>0</v>
      </c>
      <c r="Y53" s="128">
        <v>0</v>
      </c>
      <c r="Z53" s="128">
        <v>0</v>
      </c>
      <c r="AA53" s="128">
        <v>0</v>
      </c>
      <c r="AB53" s="128">
        <v>0</v>
      </c>
      <c r="AC53" s="128">
        <v>0</v>
      </c>
    </row>
    <row r="54" spans="1:29" ht="16.5" thickTop="1" thickBot="1" x14ac:dyDescent="0.3">
      <c r="A54" s="42"/>
      <c r="B54" s="42"/>
      <c r="C54" s="42">
        <v>0</v>
      </c>
      <c r="D54" s="42">
        <v>0</v>
      </c>
      <c r="E54" s="42">
        <v>0</v>
      </c>
      <c r="F54" s="42">
        <v>0</v>
      </c>
      <c r="G54" s="42">
        <v>0</v>
      </c>
      <c r="H54" s="42"/>
      <c r="I54" s="42"/>
      <c r="J54" s="42">
        <v>0</v>
      </c>
      <c r="K54" s="42">
        <v>0</v>
      </c>
      <c r="L54" s="42">
        <v>0</v>
      </c>
      <c r="M54" s="42">
        <v>0</v>
      </c>
      <c r="N54" s="42">
        <v>0</v>
      </c>
      <c r="P54" s="128"/>
      <c r="Q54" s="128"/>
      <c r="R54" s="128">
        <v>0</v>
      </c>
      <c r="S54" s="128">
        <v>0</v>
      </c>
      <c r="T54" s="128">
        <v>0</v>
      </c>
      <c r="U54" s="128">
        <v>0</v>
      </c>
      <c r="V54" s="128">
        <v>0</v>
      </c>
      <c r="W54" s="42"/>
      <c r="X54" s="128">
        <v>0</v>
      </c>
      <c r="Y54" s="128">
        <v>0</v>
      </c>
      <c r="Z54" s="128">
        <v>0</v>
      </c>
      <c r="AA54" s="128">
        <v>0</v>
      </c>
      <c r="AB54" s="128">
        <v>0</v>
      </c>
      <c r="AC54" s="128">
        <v>0</v>
      </c>
    </row>
    <row r="55" spans="1:29" ht="16.5" thickTop="1" thickBot="1" x14ac:dyDescent="0.3">
      <c r="A55" s="42"/>
      <c r="B55" s="42"/>
      <c r="C55" s="42">
        <v>0</v>
      </c>
      <c r="D55" s="42">
        <v>0</v>
      </c>
      <c r="E55" s="42">
        <v>0</v>
      </c>
      <c r="F55" s="42">
        <v>0</v>
      </c>
      <c r="G55" s="42">
        <v>0</v>
      </c>
      <c r="H55" s="42"/>
      <c r="I55" s="42"/>
      <c r="J55" s="42">
        <v>0</v>
      </c>
      <c r="K55" s="42">
        <v>0</v>
      </c>
      <c r="L55" s="42">
        <v>0</v>
      </c>
      <c r="M55" s="42">
        <v>0</v>
      </c>
      <c r="N55" s="42">
        <v>0</v>
      </c>
      <c r="P55" s="128"/>
      <c r="Q55" s="128"/>
      <c r="R55" s="128">
        <v>0</v>
      </c>
      <c r="S55" s="128">
        <v>0</v>
      </c>
      <c r="T55" s="128">
        <v>0</v>
      </c>
      <c r="U55" s="128">
        <v>0</v>
      </c>
      <c r="V55" s="128">
        <v>0</v>
      </c>
      <c r="W55" s="42"/>
      <c r="X55" s="128">
        <v>0</v>
      </c>
      <c r="Y55" s="128">
        <v>0</v>
      </c>
      <c r="Z55" s="128">
        <v>0</v>
      </c>
      <c r="AA55" s="128">
        <v>0</v>
      </c>
      <c r="AB55" s="128">
        <v>0</v>
      </c>
      <c r="AC55" s="128">
        <v>0</v>
      </c>
    </row>
    <row r="56" spans="1:29" ht="16.5" thickTop="1" thickBot="1" x14ac:dyDescent="0.3">
      <c r="A56" s="42"/>
      <c r="B56" s="42"/>
      <c r="C56" s="42">
        <v>0</v>
      </c>
      <c r="D56" s="42">
        <v>0</v>
      </c>
      <c r="E56" s="42">
        <v>0</v>
      </c>
      <c r="F56" s="42">
        <v>0</v>
      </c>
      <c r="G56" s="42">
        <v>0</v>
      </c>
      <c r="H56" s="42"/>
      <c r="I56" s="42"/>
      <c r="J56" s="42">
        <v>0</v>
      </c>
      <c r="K56" s="42">
        <v>0</v>
      </c>
      <c r="L56" s="42">
        <v>0</v>
      </c>
      <c r="M56" s="42">
        <v>0</v>
      </c>
      <c r="N56" s="42">
        <v>0</v>
      </c>
      <c r="P56" s="128"/>
      <c r="Q56" s="128"/>
      <c r="R56" s="128">
        <v>0</v>
      </c>
      <c r="S56" s="128">
        <v>0</v>
      </c>
      <c r="T56" s="128">
        <v>0</v>
      </c>
      <c r="U56" s="128">
        <v>0</v>
      </c>
      <c r="V56" s="128">
        <v>0</v>
      </c>
      <c r="W56" s="42"/>
      <c r="X56" s="128">
        <v>0</v>
      </c>
      <c r="Y56" s="128">
        <v>0</v>
      </c>
      <c r="Z56" s="128">
        <v>0</v>
      </c>
      <c r="AA56" s="128">
        <v>0</v>
      </c>
      <c r="AB56" s="128">
        <v>0</v>
      </c>
      <c r="AC56" s="128">
        <v>0</v>
      </c>
    </row>
    <row r="57" spans="1:29" ht="16.5" thickTop="1" thickBot="1" x14ac:dyDescent="0.3">
      <c r="A57" s="42"/>
      <c r="B57" s="42"/>
      <c r="C57" s="42">
        <v>0</v>
      </c>
      <c r="D57" s="42">
        <v>0</v>
      </c>
      <c r="E57" s="42">
        <v>0</v>
      </c>
      <c r="F57" s="42">
        <v>0</v>
      </c>
      <c r="G57" s="42">
        <v>0</v>
      </c>
      <c r="H57" s="42"/>
      <c r="I57" s="42"/>
      <c r="J57" s="42">
        <v>0</v>
      </c>
      <c r="K57" s="42">
        <v>0</v>
      </c>
      <c r="L57" s="42">
        <v>0</v>
      </c>
      <c r="M57" s="42">
        <v>0</v>
      </c>
      <c r="N57" s="42">
        <v>0</v>
      </c>
      <c r="P57" s="128"/>
      <c r="Q57" s="128"/>
      <c r="R57" s="128">
        <v>0</v>
      </c>
      <c r="S57" s="128">
        <v>0</v>
      </c>
      <c r="T57" s="128">
        <v>0</v>
      </c>
      <c r="U57" s="128">
        <v>0</v>
      </c>
      <c r="V57" s="128">
        <v>0</v>
      </c>
      <c r="W57" s="42"/>
      <c r="X57" s="128">
        <v>0</v>
      </c>
      <c r="Y57" s="128">
        <v>0</v>
      </c>
      <c r="Z57" s="128">
        <v>0</v>
      </c>
      <c r="AA57" s="128">
        <v>0</v>
      </c>
      <c r="AB57" s="128">
        <v>0</v>
      </c>
      <c r="AC57" s="128">
        <v>0</v>
      </c>
    </row>
    <row r="58" spans="1:29" ht="16.5" thickTop="1" thickBot="1" x14ac:dyDescent="0.3">
      <c r="A58" s="42"/>
      <c r="B58" s="42"/>
      <c r="C58" s="42">
        <v>0</v>
      </c>
      <c r="D58" s="42">
        <v>0</v>
      </c>
      <c r="E58" s="42">
        <v>0</v>
      </c>
      <c r="F58" s="42">
        <v>0</v>
      </c>
      <c r="G58" s="42">
        <v>0</v>
      </c>
      <c r="H58" s="42"/>
      <c r="I58" s="42"/>
      <c r="J58" s="42">
        <v>0</v>
      </c>
      <c r="K58" s="42">
        <v>0</v>
      </c>
      <c r="L58" s="42">
        <v>0</v>
      </c>
      <c r="M58" s="42">
        <v>0</v>
      </c>
      <c r="N58" s="42">
        <v>0</v>
      </c>
      <c r="P58" s="128"/>
      <c r="Q58" s="128"/>
      <c r="R58" s="128">
        <v>0</v>
      </c>
      <c r="S58" s="128">
        <v>0</v>
      </c>
      <c r="T58" s="128">
        <v>0</v>
      </c>
      <c r="U58" s="128">
        <v>0</v>
      </c>
      <c r="V58" s="128">
        <v>0</v>
      </c>
      <c r="W58" s="42"/>
      <c r="X58" s="128">
        <v>0</v>
      </c>
      <c r="Y58" s="128">
        <v>0</v>
      </c>
      <c r="Z58" s="128">
        <v>0</v>
      </c>
      <c r="AA58" s="128">
        <v>0</v>
      </c>
      <c r="AB58" s="128">
        <v>0</v>
      </c>
      <c r="AC58" s="128">
        <v>0</v>
      </c>
    </row>
    <row r="59" spans="1:29" ht="16.5" thickTop="1" thickBot="1" x14ac:dyDescent="0.3">
      <c r="A59" s="42"/>
      <c r="B59" s="42"/>
      <c r="C59" s="42">
        <v>0</v>
      </c>
      <c r="D59" s="42">
        <v>0</v>
      </c>
      <c r="E59" s="42">
        <v>0</v>
      </c>
      <c r="F59" s="42">
        <v>0</v>
      </c>
      <c r="G59" s="42">
        <v>0</v>
      </c>
      <c r="H59" s="42"/>
      <c r="I59" s="42"/>
      <c r="J59" s="42">
        <v>0</v>
      </c>
      <c r="K59" s="42">
        <v>0</v>
      </c>
      <c r="L59" s="42">
        <v>0</v>
      </c>
      <c r="M59" s="42">
        <v>0</v>
      </c>
      <c r="N59" s="42">
        <v>0</v>
      </c>
      <c r="P59" s="128"/>
      <c r="Q59" s="128"/>
      <c r="R59" s="128">
        <v>0</v>
      </c>
      <c r="S59" s="128">
        <v>0</v>
      </c>
      <c r="T59" s="128">
        <v>0</v>
      </c>
      <c r="U59" s="128">
        <v>0</v>
      </c>
      <c r="V59" s="128">
        <v>0</v>
      </c>
      <c r="W59" s="42"/>
      <c r="X59" s="128">
        <v>0</v>
      </c>
      <c r="Y59" s="128">
        <v>0</v>
      </c>
      <c r="Z59" s="128">
        <v>0</v>
      </c>
      <c r="AA59" s="128">
        <v>0</v>
      </c>
      <c r="AB59" s="128">
        <v>0</v>
      </c>
      <c r="AC59" s="128">
        <v>0</v>
      </c>
    </row>
    <row r="60" spans="1:29" ht="16.5" thickTop="1" thickBot="1" x14ac:dyDescent="0.3">
      <c r="A60" s="42"/>
      <c r="B60" s="42"/>
      <c r="C60" s="42">
        <v>0</v>
      </c>
      <c r="D60" s="42">
        <v>0</v>
      </c>
      <c r="E60" s="42">
        <v>0</v>
      </c>
      <c r="F60" s="42">
        <v>0</v>
      </c>
      <c r="G60" s="42">
        <v>0</v>
      </c>
      <c r="H60" s="42"/>
      <c r="I60" s="42"/>
      <c r="J60" s="42">
        <v>0</v>
      </c>
      <c r="K60" s="42">
        <v>0</v>
      </c>
      <c r="L60" s="42">
        <v>0</v>
      </c>
      <c r="M60" s="42">
        <v>0</v>
      </c>
      <c r="N60" s="42">
        <v>0</v>
      </c>
      <c r="P60" s="128"/>
      <c r="Q60" s="128"/>
      <c r="R60" s="128">
        <v>0</v>
      </c>
      <c r="S60" s="128">
        <v>0</v>
      </c>
      <c r="T60" s="128">
        <v>0</v>
      </c>
      <c r="U60" s="128">
        <v>0</v>
      </c>
      <c r="V60" s="128">
        <v>0</v>
      </c>
      <c r="W60" s="42"/>
      <c r="X60" s="128">
        <v>0</v>
      </c>
      <c r="Y60" s="128">
        <v>0</v>
      </c>
      <c r="Z60" s="128">
        <v>0</v>
      </c>
      <c r="AA60" s="128">
        <v>0</v>
      </c>
      <c r="AB60" s="128">
        <v>0</v>
      </c>
      <c r="AC60" s="128">
        <v>0</v>
      </c>
    </row>
    <row r="61" spans="1:29" ht="16.5" thickTop="1" thickBot="1" x14ac:dyDescent="0.3">
      <c r="A61" s="42"/>
      <c r="B61" s="42"/>
      <c r="C61" s="42">
        <v>0</v>
      </c>
      <c r="D61" s="42">
        <v>0</v>
      </c>
      <c r="E61" s="42">
        <v>0</v>
      </c>
      <c r="F61" s="42">
        <v>0</v>
      </c>
      <c r="G61" s="42">
        <v>0</v>
      </c>
      <c r="H61" s="42"/>
      <c r="I61" s="42"/>
      <c r="J61" s="42">
        <v>0</v>
      </c>
      <c r="K61" s="42">
        <v>0</v>
      </c>
      <c r="L61" s="42">
        <v>0</v>
      </c>
      <c r="M61" s="42">
        <v>0</v>
      </c>
      <c r="N61" s="42">
        <v>0</v>
      </c>
      <c r="P61" s="128"/>
      <c r="Q61" s="128"/>
      <c r="R61" s="128">
        <v>0</v>
      </c>
      <c r="S61" s="128">
        <v>0</v>
      </c>
      <c r="T61" s="128">
        <v>0</v>
      </c>
      <c r="U61" s="128">
        <v>0</v>
      </c>
      <c r="V61" s="128">
        <v>0</v>
      </c>
      <c r="W61" s="42"/>
      <c r="X61" s="128">
        <v>0</v>
      </c>
      <c r="Y61" s="128">
        <v>0</v>
      </c>
      <c r="Z61" s="128">
        <v>0</v>
      </c>
      <c r="AA61" s="128">
        <v>0</v>
      </c>
      <c r="AB61" s="128">
        <v>0</v>
      </c>
      <c r="AC61" s="128">
        <v>0</v>
      </c>
    </row>
    <row r="62" spans="1:29" ht="16.5" thickTop="1" thickBot="1" x14ac:dyDescent="0.3">
      <c r="A62" s="42"/>
      <c r="B62" s="42"/>
      <c r="C62" s="42">
        <v>0</v>
      </c>
      <c r="D62" s="42">
        <v>0</v>
      </c>
      <c r="E62" s="42">
        <v>0</v>
      </c>
      <c r="F62" s="42">
        <v>0</v>
      </c>
      <c r="G62" s="42">
        <v>0</v>
      </c>
      <c r="H62" s="42"/>
      <c r="I62" s="42"/>
      <c r="J62" s="42">
        <v>0</v>
      </c>
      <c r="K62" s="42">
        <v>0</v>
      </c>
      <c r="L62" s="42">
        <v>0</v>
      </c>
      <c r="M62" s="42">
        <v>0</v>
      </c>
      <c r="N62" s="42">
        <v>0</v>
      </c>
      <c r="P62" s="128"/>
      <c r="Q62" s="128"/>
      <c r="R62" s="128">
        <v>0</v>
      </c>
      <c r="S62" s="128">
        <v>0</v>
      </c>
      <c r="T62" s="128">
        <v>0</v>
      </c>
      <c r="U62" s="128">
        <v>0</v>
      </c>
      <c r="V62" s="128">
        <v>0</v>
      </c>
      <c r="W62" s="42"/>
      <c r="X62" s="128">
        <v>0</v>
      </c>
      <c r="Y62" s="128">
        <v>0</v>
      </c>
      <c r="Z62" s="128">
        <v>0</v>
      </c>
      <c r="AA62" s="128">
        <v>0</v>
      </c>
      <c r="AB62" s="128">
        <v>0</v>
      </c>
      <c r="AC62" s="128">
        <v>0</v>
      </c>
    </row>
    <row r="63" spans="1:29" ht="16.5" thickTop="1" thickBot="1" x14ac:dyDescent="0.3">
      <c r="A63" s="42"/>
      <c r="B63" s="42"/>
      <c r="C63" s="42">
        <v>0</v>
      </c>
      <c r="D63" s="42">
        <v>0</v>
      </c>
      <c r="E63" s="42">
        <v>0</v>
      </c>
      <c r="F63" s="42">
        <v>0</v>
      </c>
      <c r="G63" s="42">
        <v>0</v>
      </c>
      <c r="H63" s="42"/>
      <c r="I63" s="42"/>
      <c r="J63" s="42">
        <v>0</v>
      </c>
      <c r="K63" s="42">
        <v>0</v>
      </c>
      <c r="L63" s="42">
        <v>0</v>
      </c>
      <c r="M63" s="42">
        <v>0</v>
      </c>
      <c r="N63" s="42">
        <v>0</v>
      </c>
      <c r="P63" s="128"/>
      <c r="Q63" s="128"/>
      <c r="R63" s="128">
        <v>0</v>
      </c>
      <c r="S63" s="128">
        <v>0</v>
      </c>
      <c r="T63" s="128">
        <v>0</v>
      </c>
      <c r="U63" s="128">
        <v>0</v>
      </c>
      <c r="V63" s="128">
        <v>0</v>
      </c>
      <c r="W63" s="42"/>
      <c r="X63" s="128">
        <v>0</v>
      </c>
      <c r="Y63" s="128">
        <v>0</v>
      </c>
      <c r="Z63" s="128">
        <v>0</v>
      </c>
      <c r="AA63" s="128">
        <v>0</v>
      </c>
      <c r="AB63" s="128">
        <v>0</v>
      </c>
      <c r="AC63" s="128">
        <v>0</v>
      </c>
    </row>
    <row r="64" spans="1:29" ht="16.5" thickTop="1" thickBot="1" x14ac:dyDescent="0.3">
      <c r="A64" s="42"/>
      <c r="B64" s="42"/>
      <c r="C64" s="42">
        <v>0</v>
      </c>
      <c r="D64" s="42">
        <v>0</v>
      </c>
      <c r="E64" s="42">
        <v>0</v>
      </c>
      <c r="F64" s="42">
        <v>0</v>
      </c>
      <c r="G64" s="42">
        <v>0</v>
      </c>
      <c r="H64" s="42"/>
      <c r="I64" s="42"/>
      <c r="J64" s="42">
        <v>0</v>
      </c>
      <c r="K64" s="42">
        <v>0</v>
      </c>
      <c r="L64" s="42">
        <v>0</v>
      </c>
      <c r="M64" s="42">
        <v>0</v>
      </c>
      <c r="N64" s="42">
        <v>0</v>
      </c>
      <c r="P64" s="128"/>
      <c r="Q64" s="128"/>
      <c r="R64" s="128">
        <v>0</v>
      </c>
      <c r="S64" s="128">
        <v>0</v>
      </c>
      <c r="T64" s="128">
        <v>0</v>
      </c>
      <c r="U64" s="128">
        <v>0</v>
      </c>
      <c r="V64" s="128">
        <v>0</v>
      </c>
      <c r="W64" s="42"/>
      <c r="X64" s="128">
        <v>0</v>
      </c>
      <c r="Y64" s="128">
        <v>0</v>
      </c>
      <c r="Z64" s="128">
        <v>0</v>
      </c>
      <c r="AA64" s="128">
        <v>0</v>
      </c>
      <c r="AB64" s="128">
        <v>0</v>
      </c>
      <c r="AC64" s="128">
        <v>0</v>
      </c>
    </row>
    <row r="65" spans="1:29" ht="16.5" thickTop="1" thickBot="1" x14ac:dyDescent="0.3">
      <c r="A65" s="42"/>
      <c r="B65" s="42"/>
      <c r="C65" s="42">
        <v>0</v>
      </c>
      <c r="D65" s="42">
        <v>0</v>
      </c>
      <c r="E65" s="42">
        <v>0</v>
      </c>
      <c r="F65" s="42">
        <v>0</v>
      </c>
      <c r="G65" s="42">
        <v>0</v>
      </c>
      <c r="H65" s="42"/>
      <c r="I65" s="42"/>
      <c r="J65" s="42">
        <v>0</v>
      </c>
      <c r="K65" s="42">
        <v>0</v>
      </c>
      <c r="L65" s="42">
        <v>0</v>
      </c>
      <c r="M65" s="42">
        <v>0</v>
      </c>
      <c r="N65" s="42">
        <v>0</v>
      </c>
      <c r="P65" s="128"/>
      <c r="Q65" s="128"/>
      <c r="R65" s="128">
        <v>0</v>
      </c>
      <c r="S65" s="128">
        <v>0</v>
      </c>
      <c r="T65" s="128">
        <v>0</v>
      </c>
      <c r="U65" s="128">
        <v>0</v>
      </c>
      <c r="V65" s="128">
        <v>0</v>
      </c>
      <c r="W65" s="42"/>
      <c r="X65" s="128">
        <v>0</v>
      </c>
      <c r="Y65" s="128">
        <v>0</v>
      </c>
      <c r="Z65" s="128">
        <v>0</v>
      </c>
      <c r="AA65" s="128">
        <v>0</v>
      </c>
      <c r="AB65" s="128">
        <v>0</v>
      </c>
      <c r="AC65" s="128">
        <v>0</v>
      </c>
    </row>
    <row r="66" spans="1:29" ht="16.5" thickTop="1" thickBot="1" x14ac:dyDescent="0.3">
      <c r="A66" s="42"/>
      <c r="B66" s="42"/>
      <c r="C66" s="42">
        <v>0</v>
      </c>
      <c r="D66" s="42">
        <v>0</v>
      </c>
      <c r="E66" s="42">
        <v>0</v>
      </c>
      <c r="F66" s="42">
        <v>0</v>
      </c>
      <c r="G66" s="42">
        <v>0</v>
      </c>
      <c r="H66" s="42"/>
      <c r="I66" s="42"/>
      <c r="J66" s="42">
        <v>0</v>
      </c>
      <c r="K66" s="42">
        <v>0</v>
      </c>
      <c r="L66" s="42">
        <v>0</v>
      </c>
      <c r="M66" s="42">
        <v>0</v>
      </c>
      <c r="N66" s="42">
        <v>0</v>
      </c>
      <c r="P66" s="128"/>
      <c r="Q66" s="128"/>
      <c r="R66" s="128">
        <v>0</v>
      </c>
      <c r="S66" s="128">
        <v>0</v>
      </c>
      <c r="T66" s="128">
        <v>0</v>
      </c>
      <c r="U66" s="128">
        <v>0</v>
      </c>
      <c r="V66" s="128">
        <v>0</v>
      </c>
      <c r="W66" s="42"/>
      <c r="X66" s="128">
        <v>0</v>
      </c>
      <c r="Y66" s="128">
        <v>0</v>
      </c>
      <c r="Z66" s="128">
        <v>0</v>
      </c>
      <c r="AA66" s="128">
        <v>0</v>
      </c>
      <c r="AB66" s="128">
        <v>0</v>
      </c>
      <c r="AC66" s="128">
        <v>0</v>
      </c>
    </row>
    <row r="67" spans="1:29" ht="16.5" thickTop="1" thickBot="1" x14ac:dyDescent="0.3">
      <c r="A67" s="42"/>
      <c r="B67" s="42"/>
      <c r="C67" s="42">
        <v>0</v>
      </c>
      <c r="D67" s="42">
        <v>0</v>
      </c>
      <c r="E67" s="42">
        <v>0</v>
      </c>
      <c r="F67" s="42">
        <v>0</v>
      </c>
      <c r="G67" s="42">
        <v>0</v>
      </c>
      <c r="H67" s="42"/>
      <c r="I67" s="42"/>
      <c r="J67" s="42">
        <v>0</v>
      </c>
      <c r="K67" s="42">
        <v>0</v>
      </c>
      <c r="L67" s="42">
        <v>0</v>
      </c>
      <c r="M67" s="42">
        <v>0</v>
      </c>
      <c r="N67" s="42">
        <v>0</v>
      </c>
      <c r="P67" s="128"/>
      <c r="Q67" s="128"/>
      <c r="R67" s="128">
        <v>0</v>
      </c>
      <c r="S67" s="128">
        <v>0</v>
      </c>
      <c r="T67" s="128">
        <v>0</v>
      </c>
      <c r="U67" s="128">
        <v>0</v>
      </c>
      <c r="V67" s="128">
        <v>0</v>
      </c>
      <c r="W67" s="42"/>
      <c r="X67" s="128">
        <v>0</v>
      </c>
      <c r="Y67" s="128">
        <v>0</v>
      </c>
      <c r="Z67" s="128">
        <v>0</v>
      </c>
      <c r="AA67" s="128">
        <v>0</v>
      </c>
      <c r="AB67" s="128">
        <v>0</v>
      </c>
      <c r="AC67" s="128">
        <v>0</v>
      </c>
    </row>
    <row r="68" spans="1:29" ht="16.5" thickTop="1" thickBot="1" x14ac:dyDescent="0.3">
      <c r="A68" s="42"/>
      <c r="B68" s="42"/>
      <c r="C68" s="42">
        <v>0</v>
      </c>
      <c r="D68" s="42">
        <v>0</v>
      </c>
      <c r="E68" s="42">
        <v>0</v>
      </c>
      <c r="F68" s="42">
        <v>0</v>
      </c>
      <c r="G68" s="42">
        <v>0</v>
      </c>
      <c r="H68" s="42"/>
      <c r="I68" s="42"/>
      <c r="J68" s="42">
        <v>0</v>
      </c>
      <c r="K68" s="42">
        <v>0</v>
      </c>
      <c r="L68" s="42">
        <v>0</v>
      </c>
      <c r="M68" s="42">
        <v>0</v>
      </c>
      <c r="N68" s="42">
        <v>0</v>
      </c>
      <c r="P68" s="128"/>
      <c r="Q68" s="128"/>
      <c r="R68" s="128">
        <v>0</v>
      </c>
      <c r="S68" s="128">
        <v>0</v>
      </c>
      <c r="T68" s="128">
        <v>0</v>
      </c>
      <c r="U68" s="128">
        <v>0</v>
      </c>
      <c r="V68" s="128">
        <v>0</v>
      </c>
      <c r="W68" s="42"/>
      <c r="X68" s="128">
        <v>0</v>
      </c>
      <c r="Y68" s="128">
        <v>0</v>
      </c>
      <c r="Z68" s="128">
        <v>0</v>
      </c>
      <c r="AA68" s="128">
        <v>0</v>
      </c>
      <c r="AB68" s="128">
        <v>0</v>
      </c>
      <c r="AC68" s="128">
        <v>0</v>
      </c>
    </row>
    <row r="69" spans="1:29" ht="16.5" thickTop="1" thickBot="1" x14ac:dyDescent="0.3">
      <c r="A69" s="42"/>
      <c r="B69" s="42"/>
      <c r="C69" s="42">
        <v>0</v>
      </c>
      <c r="D69" s="42">
        <v>0</v>
      </c>
      <c r="E69" s="42">
        <v>0</v>
      </c>
      <c r="F69" s="42">
        <v>0</v>
      </c>
      <c r="G69" s="42">
        <v>0</v>
      </c>
      <c r="H69" s="42"/>
      <c r="I69" s="42"/>
      <c r="J69" s="42">
        <v>0</v>
      </c>
      <c r="K69" s="42">
        <v>0</v>
      </c>
      <c r="L69" s="42">
        <v>0</v>
      </c>
      <c r="M69" s="42">
        <v>0</v>
      </c>
      <c r="N69" s="42">
        <v>0</v>
      </c>
      <c r="P69" s="128"/>
      <c r="Q69" s="128"/>
      <c r="R69" s="128">
        <v>0</v>
      </c>
      <c r="S69" s="128">
        <v>0</v>
      </c>
      <c r="T69" s="128">
        <v>0</v>
      </c>
      <c r="U69" s="128">
        <v>0</v>
      </c>
      <c r="V69" s="128">
        <v>0</v>
      </c>
      <c r="W69" s="42"/>
      <c r="X69" s="128">
        <v>0</v>
      </c>
      <c r="Y69" s="128">
        <v>0</v>
      </c>
      <c r="Z69" s="128">
        <v>0</v>
      </c>
      <c r="AA69" s="128">
        <v>0</v>
      </c>
      <c r="AB69" s="128">
        <v>0</v>
      </c>
      <c r="AC69" s="128">
        <v>0</v>
      </c>
    </row>
    <row r="70" spans="1:29" ht="16.5" thickTop="1" thickBot="1" x14ac:dyDescent="0.3">
      <c r="A70" s="42"/>
      <c r="B70" s="42"/>
      <c r="C70" s="42">
        <v>0</v>
      </c>
      <c r="D70" s="42">
        <v>0</v>
      </c>
      <c r="E70" s="42">
        <v>0</v>
      </c>
      <c r="F70" s="42">
        <v>0</v>
      </c>
      <c r="G70" s="42">
        <v>0</v>
      </c>
      <c r="H70" s="42"/>
      <c r="I70" s="42"/>
      <c r="J70" s="42">
        <v>0</v>
      </c>
      <c r="K70" s="42">
        <v>0</v>
      </c>
      <c r="L70" s="42">
        <v>0</v>
      </c>
      <c r="M70" s="42">
        <v>0</v>
      </c>
      <c r="N70" s="42">
        <v>0</v>
      </c>
      <c r="P70" s="128"/>
      <c r="Q70" s="128"/>
      <c r="R70" s="128">
        <v>0</v>
      </c>
      <c r="S70" s="128">
        <v>0</v>
      </c>
      <c r="T70" s="128">
        <v>0</v>
      </c>
      <c r="U70" s="128">
        <v>0</v>
      </c>
      <c r="V70" s="128">
        <v>0</v>
      </c>
      <c r="W70" s="42"/>
      <c r="X70" s="128">
        <v>0</v>
      </c>
      <c r="Y70" s="128">
        <v>0</v>
      </c>
      <c r="Z70" s="128">
        <v>0</v>
      </c>
      <c r="AA70" s="128">
        <v>0</v>
      </c>
      <c r="AB70" s="128">
        <v>0</v>
      </c>
      <c r="AC70" s="128">
        <v>0</v>
      </c>
    </row>
    <row r="71" spans="1:29" ht="16.5" thickTop="1" thickBot="1" x14ac:dyDescent="0.3">
      <c r="A71" s="42"/>
      <c r="B71" s="42"/>
      <c r="C71" s="42">
        <v>0</v>
      </c>
      <c r="D71" s="42">
        <v>0</v>
      </c>
      <c r="E71" s="42">
        <v>0</v>
      </c>
      <c r="F71" s="42">
        <v>0</v>
      </c>
      <c r="G71" s="42">
        <v>0</v>
      </c>
      <c r="H71" s="42"/>
      <c r="I71" s="42"/>
      <c r="J71" s="42">
        <v>0</v>
      </c>
      <c r="K71" s="42">
        <v>0</v>
      </c>
      <c r="L71" s="42">
        <v>0</v>
      </c>
      <c r="M71" s="42">
        <v>0</v>
      </c>
      <c r="N71" s="42">
        <v>0</v>
      </c>
      <c r="P71" s="128"/>
      <c r="Q71" s="128"/>
      <c r="R71" s="128">
        <v>0</v>
      </c>
      <c r="S71" s="128">
        <v>0</v>
      </c>
      <c r="T71" s="128">
        <v>0</v>
      </c>
      <c r="U71" s="128">
        <v>0</v>
      </c>
      <c r="V71" s="128">
        <v>0</v>
      </c>
      <c r="W71" s="42"/>
      <c r="X71" s="128">
        <v>0</v>
      </c>
      <c r="Y71" s="128">
        <v>0</v>
      </c>
      <c r="Z71" s="128">
        <v>0</v>
      </c>
      <c r="AA71" s="128">
        <v>0</v>
      </c>
      <c r="AB71" s="128">
        <v>0</v>
      </c>
      <c r="AC71" s="128">
        <v>0</v>
      </c>
    </row>
    <row r="72" spans="1:29" ht="16.5" thickTop="1" thickBot="1" x14ac:dyDescent="0.3">
      <c r="A72" s="42"/>
      <c r="B72" s="42"/>
      <c r="C72" s="42">
        <v>0</v>
      </c>
      <c r="D72" s="42">
        <v>0</v>
      </c>
      <c r="E72" s="42">
        <v>0</v>
      </c>
      <c r="F72" s="42">
        <v>0</v>
      </c>
      <c r="G72" s="42">
        <v>0</v>
      </c>
      <c r="H72" s="42"/>
      <c r="I72" s="42"/>
      <c r="J72" s="42">
        <v>0</v>
      </c>
      <c r="K72" s="42">
        <v>0</v>
      </c>
      <c r="L72" s="42">
        <v>0</v>
      </c>
      <c r="M72" s="42">
        <v>0</v>
      </c>
      <c r="N72" s="42">
        <v>0</v>
      </c>
      <c r="P72" s="128"/>
      <c r="Q72" s="128"/>
      <c r="R72" s="128">
        <v>0</v>
      </c>
      <c r="S72" s="128">
        <v>0</v>
      </c>
      <c r="T72" s="128">
        <v>0</v>
      </c>
      <c r="U72" s="128">
        <v>0</v>
      </c>
      <c r="V72" s="128">
        <v>0</v>
      </c>
      <c r="W72" s="42"/>
      <c r="X72" s="128">
        <v>0</v>
      </c>
      <c r="Y72" s="128">
        <v>0</v>
      </c>
      <c r="Z72" s="128">
        <v>0</v>
      </c>
      <c r="AA72" s="128">
        <v>0</v>
      </c>
      <c r="AB72" s="128">
        <v>0</v>
      </c>
      <c r="AC72" s="128">
        <v>0</v>
      </c>
    </row>
    <row r="73" spans="1:29" ht="16.5" thickTop="1" thickBot="1" x14ac:dyDescent="0.3">
      <c r="A73" s="42"/>
      <c r="B73" s="42"/>
      <c r="C73" s="42">
        <v>0</v>
      </c>
      <c r="D73" s="42">
        <v>0</v>
      </c>
      <c r="E73" s="42">
        <v>0</v>
      </c>
      <c r="F73" s="42">
        <v>0</v>
      </c>
      <c r="G73" s="42">
        <v>0</v>
      </c>
      <c r="H73" s="42"/>
      <c r="I73" s="42"/>
      <c r="J73" s="42">
        <v>0</v>
      </c>
      <c r="K73" s="42">
        <v>0</v>
      </c>
      <c r="L73" s="42">
        <v>0</v>
      </c>
      <c r="M73" s="42">
        <v>0</v>
      </c>
      <c r="N73" s="42">
        <v>0</v>
      </c>
      <c r="P73" s="128"/>
      <c r="Q73" s="128"/>
      <c r="R73" s="128">
        <v>0</v>
      </c>
      <c r="S73" s="128">
        <v>0</v>
      </c>
      <c r="T73" s="128">
        <v>0</v>
      </c>
      <c r="U73" s="128">
        <v>0</v>
      </c>
      <c r="V73" s="128">
        <v>0</v>
      </c>
      <c r="W73" s="42"/>
      <c r="X73" s="128">
        <v>0</v>
      </c>
      <c r="Y73" s="128">
        <v>0</v>
      </c>
      <c r="Z73" s="128">
        <v>0</v>
      </c>
      <c r="AA73" s="128">
        <v>0</v>
      </c>
      <c r="AB73" s="128">
        <v>0</v>
      </c>
      <c r="AC73" s="128">
        <v>0</v>
      </c>
    </row>
    <row r="74" spans="1:29" ht="16.5" thickTop="1" thickBot="1" x14ac:dyDescent="0.3">
      <c r="A74" s="42"/>
      <c r="B74" s="42"/>
      <c r="C74" s="42">
        <v>0</v>
      </c>
      <c r="D74" s="42">
        <v>0</v>
      </c>
      <c r="E74" s="42">
        <v>0</v>
      </c>
      <c r="F74" s="42">
        <v>0</v>
      </c>
      <c r="G74" s="42">
        <v>0</v>
      </c>
      <c r="H74" s="42"/>
      <c r="I74" s="42"/>
      <c r="J74" s="42">
        <v>0</v>
      </c>
      <c r="K74" s="42">
        <v>0</v>
      </c>
      <c r="L74" s="42">
        <v>0</v>
      </c>
      <c r="M74" s="42">
        <v>0</v>
      </c>
      <c r="N74" s="42">
        <v>0</v>
      </c>
      <c r="P74" s="128"/>
      <c r="Q74" s="128"/>
      <c r="R74" s="128">
        <v>0</v>
      </c>
      <c r="S74" s="128">
        <v>0</v>
      </c>
      <c r="T74" s="128">
        <v>0</v>
      </c>
      <c r="U74" s="128">
        <v>0</v>
      </c>
      <c r="V74" s="128">
        <v>0</v>
      </c>
      <c r="W74" s="42"/>
      <c r="X74" s="128">
        <v>0</v>
      </c>
      <c r="Y74" s="128">
        <v>0</v>
      </c>
      <c r="Z74" s="128">
        <v>0</v>
      </c>
      <c r="AA74" s="128">
        <v>0</v>
      </c>
      <c r="AB74" s="128">
        <v>0</v>
      </c>
      <c r="AC74" s="128">
        <v>0</v>
      </c>
    </row>
    <row r="75" spans="1:29" ht="16.5" thickTop="1" thickBot="1" x14ac:dyDescent="0.3">
      <c r="A75" s="42"/>
      <c r="B75" s="42"/>
      <c r="C75" s="42">
        <v>0</v>
      </c>
      <c r="D75" s="42">
        <v>0</v>
      </c>
      <c r="E75" s="42">
        <v>0</v>
      </c>
      <c r="F75" s="42">
        <v>0</v>
      </c>
      <c r="G75" s="42">
        <v>0</v>
      </c>
      <c r="H75" s="42"/>
      <c r="I75" s="42"/>
      <c r="J75" s="42">
        <v>0</v>
      </c>
      <c r="K75" s="42">
        <v>0</v>
      </c>
      <c r="L75" s="42">
        <v>0</v>
      </c>
      <c r="M75" s="42">
        <v>0</v>
      </c>
      <c r="N75" s="42">
        <v>0</v>
      </c>
      <c r="P75" s="128"/>
      <c r="Q75" s="128"/>
      <c r="R75" s="128">
        <v>0</v>
      </c>
      <c r="S75" s="128">
        <v>0</v>
      </c>
      <c r="T75" s="128">
        <v>0</v>
      </c>
      <c r="U75" s="128">
        <v>0</v>
      </c>
      <c r="V75" s="128">
        <v>0</v>
      </c>
      <c r="W75" s="42"/>
      <c r="X75" s="128">
        <v>0</v>
      </c>
      <c r="Y75" s="128">
        <v>0</v>
      </c>
      <c r="Z75" s="128">
        <v>0</v>
      </c>
      <c r="AA75" s="128">
        <v>0</v>
      </c>
      <c r="AB75" s="128">
        <v>0</v>
      </c>
      <c r="AC75" s="128">
        <v>0</v>
      </c>
    </row>
    <row r="76" spans="1:29" ht="16.5" thickTop="1" thickBot="1" x14ac:dyDescent="0.3">
      <c r="A76" s="42"/>
      <c r="B76" s="42"/>
      <c r="C76" s="42">
        <v>0</v>
      </c>
      <c r="D76" s="42">
        <v>0</v>
      </c>
      <c r="E76" s="42">
        <v>0</v>
      </c>
      <c r="F76" s="42">
        <v>0</v>
      </c>
      <c r="G76" s="42">
        <v>0</v>
      </c>
      <c r="H76" s="42"/>
      <c r="I76" s="42"/>
      <c r="J76" s="42">
        <v>0</v>
      </c>
      <c r="K76" s="42">
        <v>0</v>
      </c>
      <c r="L76" s="42">
        <v>0</v>
      </c>
      <c r="M76" s="42">
        <v>0</v>
      </c>
      <c r="N76" s="42">
        <v>0</v>
      </c>
      <c r="P76" s="128"/>
      <c r="Q76" s="128"/>
      <c r="R76" s="128">
        <v>0</v>
      </c>
      <c r="S76" s="128">
        <v>0</v>
      </c>
      <c r="T76" s="128">
        <v>0</v>
      </c>
      <c r="U76" s="128">
        <v>0</v>
      </c>
      <c r="V76" s="128">
        <v>0</v>
      </c>
      <c r="W76" s="42"/>
      <c r="X76" s="128">
        <v>0</v>
      </c>
      <c r="Y76" s="128">
        <v>0</v>
      </c>
      <c r="Z76" s="128">
        <v>0</v>
      </c>
      <c r="AA76" s="128">
        <v>0</v>
      </c>
      <c r="AB76" s="128">
        <v>0</v>
      </c>
      <c r="AC76" s="128">
        <v>0</v>
      </c>
    </row>
    <row r="77" spans="1:29" ht="16.5" thickTop="1" thickBot="1" x14ac:dyDescent="0.3">
      <c r="A77" s="42"/>
      <c r="B77" s="42"/>
      <c r="C77" s="42">
        <v>0</v>
      </c>
      <c r="D77" s="42">
        <v>0</v>
      </c>
      <c r="E77" s="42">
        <v>0</v>
      </c>
      <c r="F77" s="42">
        <v>0</v>
      </c>
      <c r="G77" s="42">
        <v>0</v>
      </c>
      <c r="H77" s="42"/>
      <c r="I77" s="42"/>
      <c r="J77" s="42">
        <v>0</v>
      </c>
      <c r="K77" s="42">
        <v>0</v>
      </c>
      <c r="L77" s="42">
        <v>0</v>
      </c>
      <c r="M77" s="42">
        <v>0</v>
      </c>
      <c r="N77" s="42">
        <v>0</v>
      </c>
      <c r="P77" s="128"/>
      <c r="Q77" s="128"/>
      <c r="R77" s="128">
        <v>0</v>
      </c>
      <c r="S77" s="128">
        <v>0</v>
      </c>
      <c r="T77" s="128">
        <v>0</v>
      </c>
      <c r="U77" s="128">
        <v>0</v>
      </c>
      <c r="V77" s="128">
        <v>0</v>
      </c>
      <c r="W77" s="42"/>
      <c r="X77" s="128">
        <v>0</v>
      </c>
      <c r="Y77" s="128">
        <v>0</v>
      </c>
      <c r="Z77" s="128">
        <v>0</v>
      </c>
      <c r="AA77" s="128">
        <v>0</v>
      </c>
      <c r="AB77" s="128">
        <v>0</v>
      </c>
      <c r="AC77" s="128">
        <v>0</v>
      </c>
    </row>
    <row r="78" spans="1:29" ht="16.5" thickTop="1" thickBot="1" x14ac:dyDescent="0.3">
      <c r="A78" s="42"/>
      <c r="B78" s="42"/>
      <c r="C78" s="42">
        <v>0</v>
      </c>
      <c r="D78" s="42">
        <v>0</v>
      </c>
      <c r="E78" s="42">
        <v>0</v>
      </c>
      <c r="F78" s="42">
        <v>0</v>
      </c>
      <c r="G78" s="42">
        <v>0</v>
      </c>
      <c r="H78" s="42"/>
      <c r="I78" s="42"/>
      <c r="J78" s="42">
        <v>0</v>
      </c>
      <c r="K78" s="42">
        <v>0</v>
      </c>
      <c r="L78" s="42">
        <v>0</v>
      </c>
      <c r="M78" s="42">
        <v>0</v>
      </c>
      <c r="N78" s="42">
        <v>0</v>
      </c>
      <c r="P78" s="128"/>
      <c r="Q78" s="128"/>
      <c r="R78" s="128">
        <v>0</v>
      </c>
      <c r="S78" s="128">
        <v>0</v>
      </c>
      <c r="T78" s="128">
        <v>0</v>
      </c>
      <c r="U78" s="128">
        <v>0</v>
      </c>
      <c r="V78" s="128">
        <v>0</v>
      </c>
      <c r="W78" s="42"/>
      <c r="X78" s="128">
        <v>0</v>
      </c>
      <c r="Y78" s="128">
        <v>0</v>
      </c>
      <c r="Z78" s="128">
        <v>0</v>
      </c>
      <c r="AA78" s="128">
        <v>0</v>
      </c>
      <c r="AB78" s="128">
        <v>0</v>
      </c>
      <c r="AC78" s="128">
        <v>0</v>
      </c>
    </row>
    <row r="79" spans="1:29" ht="16.5" thickTop="1" thickBot="1" x14ac:dyDescent="0.3">
      <c r="A79" s="42"/>
      <c r="B79" s="42"/>
      <c r="C79" s="42">
        <v>0</v>
      </c>
      <c r="D79" s="42">
        <v>0</v>
      </c>
      <c r="E79" s="42">
        <v>0</v>
      </c>
      <c r="F79" s="42">
        <v>0</v>
      </c>
      <c r="G79" s="42">
        <v>0</v>
      </c>
      <c r="H79" s="42"/>
      <c r="I79" s="42"/>
      <c r="J79" s="42">
        <v>0</v>
      </c>
      <c r="K79" s="42">
        <v>0</v>
      </c>
      <c r="L79" s="42">
        <v>0</v>
      </c>
      <c r="M79" s="42">
        <v>0</v>
      </c>
      <c r="N79" s="42">
        <v>0</v>
      </c>
      <c r="P79" s="128"/>
      <c r="Q79" s="128"/>
      <c r="R79" s="128">
        <v>0</v>
      </c>
      <c r="S79" s="128">
        <v>0</v>
      </c>
      <c r="T79" s="128">
        <v>0</v>
      </c>
      <c r="U79" s="128">
        <v>0</v>
      </c>
      <c r="V79" s="128">
        <v>0</v>
      </c>
      <c r="W79" s="42"/>
      <c r="X79" s="128">
        <v>0</v>
      </c>
      <c r="Y79" s="128">
        <v>0</v>
      </c>
      <c r="Z79" s="128">
        <v>0</v>
      </c>
      <c r="AA79" s="128">
        <v>0</v>
      </c>
      <c r="AB79" s="128">
        <v>0</v>
      </c>
      <c r="AC79" s="128">
        <v>0</v>
      </c>
    </row>
    <row r="80" spans="1:29" ht="16.5" thickTop="1" thickBot="1" x14ac:dyDescent="0.3">
      <c r="A80" s="42"/>
      <c r="B80" s="42"/>
      <c r="C80" s="42">
        <v>0</v>
      </c>
      <c r="D80" s="42">
        <v>0</v>
      </c>
      <c r="E80" s="42">
        <v>0</v>
      </c>
      <c r="F80" s="42">
        <v>0</v>
      </c>
      <c r="G80" s="42">
        <v>0</v>
      </c>
      <c r="H80" s="42"/>
      <c r="I80" s="42"/>
      <c r="J80" s="42">
        <v>0</v>
      </c>
      <c r="K80" s="42">
        <v>0</v>
      </c>
      <c r="L80" s="42">
        <v>0</v>
      </c>
      <c r="M80" s="42">
        <v>0</v>
      </c>
      <c r="N80" s="42">
        <v>0</v>
      </c>
      <c r="P80" s="128"/>
      <c r="Q80" s="128"/>
      <c r="R80" s="128">
        <v>0</v>
      </c>
      <c r="S80" s="128">
        <v>0</v>
      </c>
      <c r="T80" s="128">
        <v>0</v>
      </c>
      <c r="U80" s="128">
        <v>0</v>
      </c>
      <c r="V80" s="128">
        <v>0</v>
      </c>
      <c r="W80" s="42"/>
      <c r="X80" s="128">
        <v>0</v>
      </c>
      <c r="Y80" s="128">
        <v>0</v>
      </c>
      <c r="Z80" s="128">
        <v>0</v>
      </c>
      <c r="AA80" s="128">
        <v>0</v>
      </c>
      <c r="AB80" s="128">
        <v>0</v>
      </c>
      <c r="AC80" s="128">
        <v>0</v>
      </c>
    </row>
    <row r="81" spans="1:29" ht="16.5" thickTop="1" thickBot="1" x14ac:dyDescent="0.3">
      <c r="A81" s="42"/>
      <c r="B81" s="42"/>
      <c r="C81" s="42">
        <v>0</v>
      </c>
      <c r="D81" s="42">
        <v>0</v>
      </c>
      <c r="E81" s="42">
        <v>0</v>
      </c>
      <c r="F81" s="42">
        <v>0</v>
      </c>
      <c r="G81" s="42">
        <v>0</v>
      </c>
      <c r="H81" s="42"/>
      <c r="I81" s="42"/>
      <c r="J81" s="42">
        <v>0</v>
      </c>
      <c r="K81" s="42">
        <v>0</v>
      </c>
      <c r="L81" s="42">
        <v>0</v>
      </c>
      <c r="M81" s="42">
        <v>0</v>
      </c>
      <c r="N81" s="42">
        <v>0</v>
      </c>
      <c r="P81" s="128"/>
      <c r="Q81" s="128"/>
      <c r="R81" s="128">
        <v>0</v>
      </c>
      <c r="S81" s="128">
        <v>0</v>
      </c>
      <c r="T81" s="128">
        <v>0</v>
      </c>
      <c r="U81" s="128">
        <v>0</v>
      </c>
      <c r="V81" s="128">
        <v>0</v>
      </c>
      <c r="W81" s="42"/>
      <c r="X81" s="128">
        <v>0</v>
      </c>
      <c r="Y81" s="128">
        <v>0</v>
      </c>
      <c r="Z81" s="128">
        <v>0</v>
      </c>
      <c r="AA81" s="128">
        <v>0</v>
      </c>
      <c r="AB81" s="128">
        <v>0</v>
      </c>
      <c r="AC81" s="128">
        <v>0</v>
      </c>
    </row>
    <row r="82" spans="1:29" ht="16.5" thickTop="1" thickBot="1" x14ac:dyDescent="0.3">
      <c r="A82" s="42"/>
      <c r="B82" s="42"/>
      <c r="C82" s="42">
        <v>0</v>
      </c>
      <c r="D82" s="42">
        <v>0</v>
      </c>
      <c r="E82" s="42">
        <v>0</v>
      </c>
      <c r="F82" s="42">
        <v>0</v>
      </c>
      <c r="G82" s="42">
        <v>0</v>
      </c>
      <c r="H82" s="42"/>
      <c r="I82" s="42"/>
      <c r="J82" s="42">
        <v>0</v>
      </c>
      <c r="K82" s="42">
        <v>0</v>
      </c>
      <c r="L82" s="42">
        <v>0</v>
      </c>
      <c r="M82" s="42">
        <v>0</v>
      </c>
      <c r="N82" s="42">
        <v>0</v>
      </c>
      <c r="P82" s="128"/>
      <c r="Q82" s="128"/>
      <c r="R82" s="128">
        <v>0</v>
      </c>
      <c r="S82" s="128">
        <v>0</v>
      </c>
      <c r="T82" s="128">
        <v>0</v>
      </c>
      <c r="U82" s="128">
        <v>0</v>
      </c>
      <c r="V82" s="128">
        <v>0</v>
      </c>
      <c r="W82" s="42"/>
      <c r="X82" s="128">
        <v>0</v>
      </c>
      <c r="Y82" s="128">
        <v>0</v>
      </c>
      <c r="Z82" s="128">
        <v>0</v>
      </c>
      <c r="AA82" s="128">
        <v>0</v>
      </c>
      <c r="AB82" s="128">
        <v>0</v>
      </c>
      <c r="AC82" s="128">
        <v>0</v>
      </c>
    </row>
    <row r="83" spans="1:29" ht="16.5" thickTop="1" thickBot="1" x14ac:dyDescent="0.3">
      <c r="A83" s="42"/>
      <c r="B83" s="42"/>
      <c r="C83" s="42">
        <v>0</v>
      </c>
      <c r="D83" s="42">
        <v>0</v>
      </c>
      <c r="E83" s="42">
        <v>0</v>
      </c>
      <c r="F83" s="42">
        <v>0</v>
      </c>
      <c r="G83" s="42">
        <v>0</v>
      </c>
      <c r="H83" s="42"/>
      <c r="I83" s="42"/>
      <c r="J83" s="42">
        <v>0</v>
      </c>
      <c r="K83" s="42">
        <v>0</v>
      </c>
      <c r="L83" s="42">
        <v>0</v>
      </c>
      <c r="M83" s="42">
        <v>0</v>
      </c>
      <c r="N83" s="42">
        <v>0</v>
      </c>
      <c r="P83" s="128"/>
      <c r="Q83" s="128"/>
      <c r="R83" s="128">
        <v>0</v>
      </c>
      <c r="S83" s="128">
        <v>0</v>
      </c>
      <c r="T83" s="128">
        <v>0</v>
      </c>
      <c r="U83" s="128">
        <v>0</v>
      </c>
      <c r="V83" s="128">
        <v>0</v>
      </c>
      <c r="W83" s="42"/>
      <c r="X83" s="128">
        <v>0</v>
      </c>
      <c r="Y83" s="128">
        <v>0</v>
      </c>
      <c r="Z83" s="128">
        <v>0</v>
      </c>
      <c r="AA83" s="128">
        <v>0</v>
      </c>
      <c r="AB83" s="128">
        <v>0</v>
      </c>
      <c r="AC83" s="128">
        <v>0</v>
      </c>
    </row>
    <row r="84" spans="1:29" ht="16.5" thickTop="1" thickBot="1" x14ac:dyDescent="0.3">
      <c r="A84" s="42"/>
      <c r="B84" s="42"/>
      <c r="C84" s="42">
        <v>0</v>
      </c>
      <c r="D84" s="42">
        <v>0</v>
      </c>
      <c r="E84" s="42">
        <v>0</v>
      </c>
      <c r="F84" s="42">
        <v>0</v>
      </c>
      <c r="G84" s="42">
        <v>0</v>
      </c>
      <c r="H84" s="42"/>
      <c r="I84" s="42"/>
      <c r="J84" s="42">
        <v>0</v>
      </c>
      <c r="K84" s="42">
        <v>0</v>
      </c>
      <c r="L84" s="42">
        <v>0</v>
      </c>
      <c r="M84" s="42">
        <v>0</v>
      </c>
      <c r="N84" s="42">
        <v>0</v>
      </c>
      <c r="P84" s="128"/>
      <c r="Q84" s="128"/>
      <c r="R84" s="128">
        <v>0</v>
      </c>
      <c r="S84" s="128">
        <v>0</v>
      </c>
      <c r="T84" s="128">
        <v>0</v>
      </c>
      <c r="U84" s="128">
        <v>0</v>
      </c>
      <c r="V84" s="128">
        <v>0</v>
      </c>
      <c r="W84" s="42"/>
      <c r="X84" s="128">
        <v>0</v>
      </c>
      <c r="Y84" s="128">
        <v>0</v>
      </c>
      <c r="Z84" s="128">
        <v>0</v>
      </c>
      <c r="AA84" s="128">
        <v>0</v>
      </c>
      <c r="AB84" s="128">
        <v>0</v>
      </c>
      <c r="AC84" s="128">
        <v>0</v>
      </c>
    </row>
    <row r="85" spans="1:29" ht="16.5" thickTop="1" thickBot="1" x14ac:dyDescent="0.3">
      <c r="A85" s="42"/>
      <c r="B85" s="42"/>
      <c r="C85" s="42">
        <v>0</v>
      </c>
      <c r="D85" s="42">
        <v>0</v>
      </c>
      <c r="E85" s="42">
        <v>0</v>
      </c>
      <c r="F85" s="42">
        <v>0</v>
      </c>
      <c r="G85" s="42">
        <v>0</v>
      </c>
      <c r="H85" s="42"/>
      <c r="I85" s="42"/>
      <c r="J85" s="42">
        <v>0</v>
      </c>
      <c r="K85" s="42">
        <v>0</v>
      </c>
      <c r="L85" s="42">
        <v>0</v>
      </c>
      <c r="M85" s="42">
        <v>0</v>
      </c>
      <c r="N85" s="42">
        <v>0</v>
      </c>
      <c r="P85" s="128"/>
      <c r="Q85" s="128"/>
      <c r="R85" s="128">
        <v>0</v>
      </c>
      <c r="S85" s="128">
        <v>0</v>
      </c>
      <c r="T85" s="128">
        <v>0</v>
      </c>
      <c r="U85" s="128">
        <v>0</v>
      </c>
      <c r="V85" s="128">
        <v>0</v>
      </c>
      <c r="W85" s="42"/>
      <c r="X85" s="128">
        <v>0</v>
      </c>
      <c r="Y85" s="128">
        <v>0</v>
      </c>
      <c r="Z85" s="128">
        <v>0</v>
      </c>
      <c r="AA85" s="128">
        <v>0</v>
      </c>
      <c r="AB85" s="128">
        <v>0</v>
      </c>
      <c r="AC85" s="128">
        <v>0</v>
      </c>
    </row>
    <row r="86" spans="1:29" ht="16.5" thickTop="1" thickBot="1" x14ac:dyDescent="0.3">
      <c r="A86" s="42"/>
      <c r="B86" s="42"/>
      <c r="C86" s="42">
        <v>0</v>
      </c>
      <c r="D86" s="42">
        <v>0</v>
      </c>
      <c r="E86" s="42">
        <v>0</v>
      </c>
      <c r="F86" s="42">
        <v>0</v>
      </c>
      <c r="G86" s="42">
        <v>0</v>
      </c>
      <c r="H86" s="42"/>
      <c r="I86" s="42"/>
      <c r="J86" s="42">
        <v>0</v>
      </c>
      <c r="K86" s="42">
        <v>0</v>
      </c>
      <c r="L86" s="42">
        <v>0</v>
      </c>
      <c r="M86" s="42">
        <v>0</v>
      </c>
      <c r="N86" s="42">
        <v>0</v>
      </c>
      <c r="P86" s="128"/>
      <c r="Q86" s="128"/>
      <c r="R86" s="128">
        <v>0</v>
      </c>
      <c r="S86" s="128">
        <v>0</v>
      </c>
      <c r="T86" s="128">
        <v>0</v>
      </c>
      <c r="U86" s="128">
        <v>0</v>
      </c>
      <c r="V86" s="128">
        <v>0</v>
      </c>
      <c r="W86" s="42"/>
      <c r="X86" s="128">
        <v>0</v>
      </c>
      <c r="Y86" s="128">
        <v>0</v>
      </c>
      <c r="Z86" s="128">
        <v>0</v>
      </c>
      <c r="AA86" s="128">
        <v>0</v>
      </c>
      <c r="AB86" s="128">
        <v>0</v>
      </c>
      <c r="AC86" s="128">
        <v>0</v>
      </c>
    </row>
    <row r="87" spans="1:29" ht="16.5" thickTop="1" thickBot="1" x14ac:dyDescent="0.3">
      <c r="A87" s="42"/>
      <c r="B87" s="42"/>
      <c r="C87" s="42">
        <v>0</v>
      </c>
      <c r="D87" s="42">
        <v>0</v>
      </c>
      <c r="E87" s="42">
        <v>0</v>
      </c>
      <c r="F87" s="42">
        <v>0</v>
      </c>
      <c r="G87" s="42">
        <v>0</v>
      </c>
      <c r="H87" s="42"/>
      <c r="I87" s="42"/>
      <c r="J87" s="42">
        <v>0</v>
      </c>
      <c r="K87" s="42">
        <v>0</v>
      </c>
      <c r="L87" s="42">
        <v>0</v>
      </c>
      <c r="M87" s="42">
        <v>0</v>
      </c>
      <c r="N87" s="42">
        <v>0</v>
      </c>
      <c r="P87" s="128"/>
      <c r="Q87" s="128"/>
      <c r="R87" s="128">
        <v>0</v>
      </c>
      <c r="S87" s="128">
        <v>0</v>
      </c>
      <c r="T87" s="128">
        <v>0</v>
      </c>
      <c r="U87" s="128">
        <v>0</v>
      </c>
      <c r="V87" s="128">
        <v>0</v>
      </c>
      <c r="W87" s="42"/>
      <c r="X87" s="128">
        <v>0</v>
      </c>
      <c r="Y87" s="128">
        <v>0</v>
      </c>
      <c r="Z87" s="128">
        <v>0</v>
      </c>
      <c r="AA87" s="128">
        <v>0</v>
      </c>
      <c r="AB87" s="128">
        <v>0</v>
      </c>
      <c r="AC87" s="128">
        <v>0</v>
      </c>
    </row>
    <row r="88" spans="1:29" ht="16.5" thickTop="1" thickBot="1" x14ac:dyDescent="0.3">
      <c r="A88" s="42"/>
      <c r="B88" s="42"/>
      <c r="C88" s="42">
        <v>0</v>
      </c>
      <c r="D88" s="42">
        <v>0</v>
      </c>
      <c r="E88" s="42">
        <v>0</v>
      </c>
      <c r="F88" s="42">
        <v>0</v>
      </c>
      <c r="G88" s="42">
        <v>0</v>
      </c>
      <c r="H88" s="42"/>
      <c r="I88" s="42"/>
      <c r="J88" s="42">
        <v>0</v>
      </c>
      <c r="K88" s="42">
        <v>0</v>
      </c>
      <c r="L88" s="42">
        <v>0</v>
      </c>
      <c r="M88" s="42">
        <v>0</v>
      </c>
      <c r="N88" s="42">
        <v>0</v>
      </c>
      <c r="P88" s="128"/>
      <c r="Q88" s="128"/>
      <c r="R88" s="128">
        <v>0</v>
      </c>
      <c r="S88" s="128">
        <v>0</v>
      </c>
      <c r="T88" s="128">
        <v>0</v>
      </c>
      <c r="U88" s="128">
        <v>0</v>
      </c>
      <c r="V88" s="128">
        <v>0</v>
      </c>
      <c r="W88" s="42"/>
      <c r="X88" s="128">
        <v>0</v>
      </c>
      <c r="Y88" s="128">
        <v>0</v>
      </c>
      <c r="Z88" s="128">
        <v>0</v>
      </c>
      <c r="AA88" s="128">
        <v>0</v>
      </c>
      <c r="AB88" s="128">
        <v>0</v>
      </c>
      <c r="AC88" s="128">
        <v>0</v>
      </c>
    </row>
    <row r="89" spans="1:29" ht="16.5" thickTop="1" thickBot="1" x14ac:dyDescent="0.3">
      <c r="A89" s="42"/>
      <c r="B89" s="42"/>
      <c r="C89" s="42">
        <v>0</v>
      </c>
      <c r="D89" s="42">
        <v>0</v>
      </c>
      <c r="E89" s="42">
        <v>0</v>
      </c>
      <c r="F89" s="42">
        <v>0</v>
      </c>
      <c r="G89" s="42">
        <v>0</v>
      </c>
      <c r="H89" s="42"/>
      <c r="I89" s="42"/>
      <c r="J89" s="42">
        <v>0</v>
      </c>
      <c r="K89" s="42">
        <v>0</v>
      </c>
      <c r="L89" s="42">
        <v>0</v>
      </c>
      <c r="M89" s="42">
        <v>0</v>
      </c>
      <c r="N89" s="42">
        <v>0</v>
      </c>
      <c r="P89" s="128"/>
      <c r="Q89" s="128"/>
      <c r="R89" s="128">
        <v>0</v>
      </c>
      <c r="S89" s="128">
        <v>0</v>
      </c>
      <c r="T89" s="128">
        <v>0</v>
      </c>
      <c r="U89" s="128">
        <v>0</v>
      </c>
      <c r="V89" s="128">
        <v>0</v>
      </c>
      <c r="W89" s="42"/>
      <c r="X89" s="128">
        <v>0</v>
      </c>
      <c r="Y89" s="128">
        <v>0</v>
      </c>
      <c r="Z89" s="128">
        <v>0</v>
      </c>
      <c r="AA89" s="128">
        <v>0</v>
      </c>
      <c r="AB89" s="128">
        <v>0</v>
      </c>
      <c r="AC89" s="128">
        <v>0</v>
      </c>
    </row>
    <row r="90" spans="1:29" ht="16.5" thickTop="1" thickBot="1" x14ac:dyDescent="0.3">
      <c r="A90" s="42"/>
      <c r="B90" s="42"/>
      <c r="C90" s="42">
        <v>0</v>
      </c>
      <c r="D90" s="42">
        <v>0</v>
      </c>
      <c r="E90" s="42">
        <v>0</v>
      </c>
      <c r="F90" s="42">
        <v>0</v>
      </c>
      <c r="G90" s="42">
        <v>0</v>
      </c>
      <c r="H90" s="42"/>
      <c r="I90" s="42"/>
      <c r="J90" s="42">
        <v>0</v>
      </c>
      <c r="K90" s="42">
        <v>0</v>
      </c>
      <c r="L90" s="42">
        <v>0</v>
      </c>
      <c r="M90" s="42">
        <v>0</v>
      </c>
      <c r="N90" s="42">
        <v>0</v>
      </c>
      <c r="P90" s="128"/>
      <c r="Q90" s="128"/>
      <c r="R90" s="128">
        <v>0</v>
      </c>
      <c r="S90" s="128">
        <v>0</v>
      </c>
      <c r="T90" s="128">
        <v>0</v>
      </c>
      <c r="U90" s="128">
        <v>0</v>
      </c>
      <c r="V90" s="128">
        <v>0</v>
      </c>
      <c r="W90" s="42"/>
      <c r="X90" s="128">
        <v>0</v>
      </c>
      <c r="Y90" s="128">
        <v>0</v>
      </c>
      <c r="Z90" s="128">
        <v>0</v>
      </c>
      <c r="AA90" s="128">
        <v>0</v>
      </c>
      <c r="AB90" s="128">
        <v>0</v>
      </c>
      <c r="AC90" s="128">
        <v>0</v>
      </c>
    </row>
    <row r="91" spans="1:29" ht="16.5" thickTop="1" thickBot="1" x14ac:dyDescent="0.3">
      <c r="A91" s="42"/>
      <c r="B91" s="42"/>
      <c r="C91" s="42">
        <v>0</v>
      </c>
      <c r="D91" s="42">
        <v>0</v>
      </c>
      <c r="E91" s="42">
        <v>0</v>
      </c>
      <c r="F91" s="42">
        <v>0</v>
      </c>
      <c r="G91" s="42">
        <v>0</v>
      </c>
      <c r="H91" s="42"/>
      <c r="I91" s="42"/>
      <c r="J91" s="42">
        <v>0</v>
      </c>
      <c r="K91" s="42">
        <v>0</v>
      </c>
      <c r="L91" s="42">
        <v>0</v>
      </c>
      <c r="M91" s="42">
        <v>0</v>
      </c>
      <c r="N91" s="42">
        <v>0</v>
      </c>
      <c r="P91" s="128"/>
      <c r="Q91" s="128"/>
      <c r="R91" s="128">
        <v>0</v>
      </c>
      <c r="S91" s="128">
        <v>0</v>
      </c>
      <c r="T91" s="128">
        <v>0</v>
      </c>
      <c r="U91" s="128">
        <v>0</v>
      </c>
      <c r="V91" s="128">
        <v>0</v>
      </c>
      <c r="W91" s="42"/>
      <c r="X91" s="128">
        <v>0</v>
      </c>
      <c r="Y91" s="128">
        <v>0</v>
      </c>
      <c r="Z91" s="128">
        <v>0</v>
      </c>
      <c r="AA91" s="128">
        <v>0</v>
      </c>
      <c r="AB91" s="128">
        <v>0</v>
      </c>
      <c r="AC91" s="128">
        <v>0</v>
      </c>
    </row>
    <row r="92" spans="1:29" ht="16.5" thickTop="1" thickBot="1" x14ac:dyDescent="0.3">
      <c r="A92" s="42"/>
      <c r="B92" s="42"/>
      <c r="C92" s="42">
        <v>0</v>
      </c>
      <c r="D92" s="42">
        <v>0</v>
      </c>
      <c r="E92" s="42">
        <v>0</v>
      </c>
      <c r="F92" s="42">
        <v>0</v>
      </c>
      <c r="G92" s="42">
        <v>0</v>
      </c>
      <c r="H92" s="42"/>
      <c r="I92" s="42"/>
      <c r="J92" s="42">
        <v>0</v>
      </c>
      <c r="K92" s="42">
        <v>0</v>
      </c>
      <c r="L92" s="42">
        <v>0</v>
      </c>
      <c r="M92" s="42">
        <v>0</v>
      </c>
      <c r="N92" s="42">
        <v>0</v>
      </c>
      <c r="P92" s="128"/>
      <c r="Q92" s="128"/>
      <c r="R92" s="128">
        <v>0</v>
      </c>
      <c r="S92" s="128">
        <v>0</v>
      </c>
      <c r="T92" s="128">
        <v>0</v>
      </c>
      <c r="U92" s="128">
        <v>0</v>
      </c>
      <c r="V92" s="128">
        <v>0</v>
      </c>
      <c r="W92" s="42"/>
      <c r="X92" s="128">
        <v>0</v>
      </c>
      <c r="Y92" s="128">
        <v>0</v>
      </c>
      <c r="Z92" s="128">
        <v>0</v>
      </c>
      <c r="AA92" s="128">
        <v>0</v>
      </c>
      <c r="AB92" s="128">
        <v>0</v>
      </c>
      <c r="AC92" s="128">
        <v>0</v>
      </c>
    </row>
    <row r="93" spans="1:29" ht="16.5" thickTop="1" thickBot="1" x14ac:dyDescent="0.3">
      <c r="A93" s="42"/>
      <c r="B93" s="42"/>
      <c r="C93" s="42">
        <v>0</v>
      </c>
      <c r="D93" s="42">
        <v>0</v>
      </c>
      <c r="E93" s="42">
        <v>0</v>
      </c>
      <c r="F93" s="42">
        <v>0</v>
      </c>
      <c r="G93" s="42">
        <v>0</v>
      </c>
      <c r="H93" s="42"/>
      <c r="I93" s="42"/>
      <c r="J93" s="42">
        <v>0</v>
      </c>
      <c r="K93" s="42">
        <v>0</v>
      </c>
      <c r="L93" s="42">
        <v>0</v>
      </c>
      <c r="M93" s="42">
        <v>0</v>
      </c>
      <c r="N93" s="42">
        <v>0</v>
      </c>
      <c r="P93" s="128"/>
      <c r="Q93" s="128"/>
      <c r="R93" s="128">
        <v>0</v>
      </c>
      <c r="S93" s="128">
        <v>0</v>
      </c>
      <c r="T93" s="128">
        <v>0</v>
      </c>
      <c r="U93" s="128">
        <v>0</v>
      </c>
      <c r="V93" s="128">
        <v>0</v>
      </c>
      <c r="W93" s="42"/>
      <c r="X93" s="128">
        <v>0</v>
      </c>
      <c r="Y93" s="128">
        <v>0</v>
      </c>
      <c r="Z93" s="128">
        <v>0</v>
      </c>
      <c r="AA93" s="128">
        <v>0</v>
      </c>
      <c r="AB93" s="128">
        <v>0</v>
      </c>
      <c r="AC93" s="128">
        <v>0</v>
      </c>
    </row>
    <row r="94" spans="1:29" ht="16.5" thickTop="1" thickBot="1" x14ac:dyDescent="0.3">
      <c r="A94" s="42"/>
      <c r="B94" s="42"/>
      <c r="C94" s="42">
        <v>0</v>
      </c>
      <c r="D94" s="42">
        <v>0</v>
      </c>
      <c r="E94" s="42">
        <v>0</v>
      </c>
      <c r="F94" s="42">
        <v>0</v>
      </c>
      <c r="G94" s="42">
        <v>0</v>
      </c>
      <c r="H94" s="42"/>
      <c r="I94" s="42"/>
      <c r="J94" s="42">
        <v>0</v>
      </c>
      <c r="K94" s="42">
        <v>0</v>
      </c>
      <c r="L94" s="42">
        <v>0</v>
      </c>
      <c r="M94" s="42">
        <v>0</v>
      </c>
      <c r="N94" s="42">
        <v>0</v>
      </c>
      <c r="P94" s="128"/>
      <c r="Q94" s="128"/>
      <c r="R94" s="128">
        <v>0</v>
      </c>
      <c r="S94" s="128">
        <v>0</v>
      </c>
      <c r="T94" s="128">
        <v>0</v>
      </c>
      <c r="U94" s="128">
        <v>0</v>
      </c>
      <c r="V94" s="128">
        <v>0</v>
      </c>
      <c r="W94" s="42"/>
      <c r="X94" s="128">
        <v>0</v>
      </c>
      <c r="Y94" s="128">
        <v>0</v>
      </c>
      <c r="Z94" s="128">
        <v>0</v>
      </c>
      <c r="AA94" s="128">
        <v>0</v>
      </c>
      <c r="AB94" s="128">
        <v>0</v>
      </c>
      <c r="AC94" s="128">
        <v>0</v>
      </c>
    </row>
    <row r="95" spans="1:29" ht="16.5" thickTop="1" thickBot="1" x14ac:dyDescent="0.3">
      <c r="A95" s="42"/>
      <c r="B95" s="42"/>
      <c r="C95" s="42">
        <v>0</v>
      </c>
      <c r="D95" s="42">
        <v>0</v>
      </c>
      <c r="E95" s="42">
        <v>0</v>
      </c>
      <c r="F95" s="42">
        <v>0</v>
      </c>
      <c r="G95" s="42">
        <v>0</v>
      </c>
      <c r="H95" s="42"/>
      <c r="I95" s="42"/>
      <c r="J95" s="42">
        <v>0</v>
      </c>
      <c r="K95" s="42">
        <v>0</v>
      </c>
      <c r="L95" s="42">
        <v>0</v>
      </c>
      <c r="M95" s="42">
        <v>0</v>
      </c>
      <c r="N95" s="42">
        <v>0</v>
      </c>
      <c r="P95" s="128"/>
      <c r="Q95" s="128"/>
      <c r="R95" s="128">
        <v>0</v>
      </c>
      <c r="S95" s="128">
        <v>0</v>
      </c>
      <c r="T95" s="128">
        <v>0</v>
      </c>
      <c r="U95" s="128">
        <v>0</v>
      </c>
      <c r="V95" s="128">
        <v>0</v>
      </c>
      <c r="W95" s="42"/>
      <c r="X95" s="128">
        <v>0</v>
      </c>
      <c r="Y95" s="128">
        <v>0</v>
      </c>
      <c r="Z95" s="128">
        <v>0</v>
      </c>
      <c r="AA95" s="128">
        <v>0</v>
      </c>
      <c r="AB95" s="128">
        <v>0</v>
      </c>
      <c r="AC95" s="128">
        <v>0</v>
      </c>
    </row>
    <row r="96" spans="1:29" ht="16.5" thickTop="1" thickBot="1" x14ac:dyDescent="0.3">
      <c r="A96" s="42"/>
      <c r="B96" s="42"/>
      <c r="C96" s="42">
        <v>0</v>
      </c>
      <c r="D96" s="42">
        <v>0</v>
      </c>
      <c r="E96" s="42">
        <v>0</v>
      </c>
      <c r="F96" s="42">
        <v>0</v>
      </c>
      <c r="G96" s="42">
        <v>0</v>
      </c>
      <c r="H96" s="42"/>
      <c r="I96" s="42"/>
      <c r="J96" s="42">
        <v>0</v>
      </c>
      <c r="K96" s="42">
        <v>0</v>
      </c>
      <c r="L96" s="42">
        <v>0</v>
      </c>
      <c r="M96" s="42">
        <v>0</v>
      </c>
      <c r="N96" s="42">
        <v>0</v>
      </c>
      <c r="P96" s="128"/>
      <c r="Q96" s="128"/>
      <c r="R96" s="128">
        <v>0</v>
      </c>
      <c r="S96" s="128">
        <v>0</v>
      </c>
      <c r="T96" s="128">
        <v>0</v>
      </c>
      <c r="U96" s="128">
        <v>0</v>
      </c>
      <c r="V96" s="128">
        <v>0</v>
      </c>
      <c r="W96" s="42"/>
      <c r="X96" s="128">
        <v>0</v>
      </c>
      <c r="Y96" s="128">
        <v>0</v>
      </c>
      <c r="Z96" s="128">
        <v>0</v>
      </c>
      <c r="AA96" s="128">
        <v>0</v>
      </c>
      <c r="AB96" s="128">
        <v>0</v>
      </c>
      <c r="AC96" s="128">
        <v>0</v>
      </c>
    </row>
    <row r="97" spans="1:29" ht="16.5" thickTop="1" thickBot="1" x14ac:dyDescent="0.3">
      <c r="A97" s="42"/>
      <c r="B97" s="42"/>
      <c r="C97" s="42">
        <v>0</v>
      </c>
      <c r="D97" s="42">
        <v>0</v>
      </c>
      <c r="E97" s="42">
        <v>0</v>
      </c>
      <c r="F97" s="42">
        <v>0</v>
      </c>
      <c r="G97" s="42">
        <v>0</v>
      </c>
      <c r="H97" s="42"/>
      <c r="I97" s="42"/>
      <c r="J97" s="42">
        <v>0</v>
      </c>
      <c r="K97" s="42">
        <v>0</v>
      </c>
      <c r="L97" s="42">
        <v>0</v>
      </c>
      <c r="M97" s="42">
        <v>0</v>
      </c>
      <c r="N97" s="42">
        <v>0</v>
      </c>
      <c r="P97" s="128"/>
      <c r="Q97" s="128"/>
      <c r="R97" s="128">
        <v>0</v>
      </c>
      <c r="S97" s="128">
        <v>0</v>
      </c>
      <c r="T97" s="128">
        <v>0</v>
      </c>
      <c r="U97" s="128">
        <v>0</v>
      </c>
      <c r="V97" s="128">
        <v>0</v>
      </c>
      <c r="W97" s="42"/>
      <c r="X97" s="128">
        <v>0</v>
      </c>
      <c r="Y97" s="128">
        <v>0</v>
      </c>
      <c r="Z97" s="128">
        <v>0</v>
      </c>
      <c r="AA97" s="128">
        <v>0</v>
      </c>
      <c r="AB97" s="128">
        <v>0</v>
      </c>
      <c r="AC97" s="128">
        <v>0</v>
      </c>
    </row>
    <row r="98" spans="1:29" ht="16.5" thickTop="1" thickBot="1" x14ac:dyDescent="0.3">
      <c r="A98" s="42"/>
      <c r="B98" s="42"/>
      <c r="C98" s="42">
        <v>0</v>
      </c>
      <c r="D98" s="42">
        <v>0</v>
      </c>
      <c r="E98" s="42">
        <v>0</v>
      </c>
      <c r="F98" s="42">
        <v>0</v>
      </c>
      <c r="G98" s="42">
        <v>0</v>
      </c>
      <c r="H98" s="42"/>
      <c r="I98" s="42"/>
      <c r="J98" s="42">
        <v>0</v>
      </c>
      <c r="K98" s="42">
        <v>0</v>
      </c>
      <c r="L98" s="42">
        <v>0</v>
      </c>
      <c r="M98" s="42">
        <v>0</v>
      </c>
      <c r="N98" s="42">
        <v>0</v>
      </c>
      <c r="P98" s="128"/>
      <c r="Q98" s="128"/>
      <c r="R98" s="128">
        <v>0</v>
      </c>
      <c r="S98" s="128">
        <v>0</v>
      </c>
      <c r="T98" s="128">
        <v>0</v>
      </c>
      <c r="U98" s="128">
        <v>0</v>
      </c>
      <c r="V98" s="128">
        <v>0</v>
      </c>
      <c r="W98" s="42"/>
      <c r="X98" s="128">
        <v>0</v>
      </c>
      <c r="Y98" s="128">
        <v>0</v>
      </c>
      <c r="Z98" s="128">
        <v>0</v>
      </c>
      <c r="AA98" s="128">
        <v>0</v>
      </c>
      <c r="AB98" s="128">
        <v>0</v>
      </c>
      <c r="AC98" s="128">
        <v>0</v>
      </c>
    </row>
    <row r="99" spans="1:29" ht="16.5" thickTop="1" thickBot="1" x14ac:dyDescent="0.3">
      <c r="A99" s="42"/>
      <c r="B99" s="42"/>
      <c r="C99" s="42">
        <v>0</v>
      </c>
      <c r="D99" s="42">
        <v>0</v>
      </c>
      <c r="E99" s="42">
        <v>0</v>
      </c>
      <c r="F99" s="42">
        <v>0</v>
      </c>
      <c r="G99" s="42">
        <v>0</v>
      </c>
      <c r="H99" s="42"/>
      <c r="I99" s="42"/>
      <c r="J99" s="42">
        <v>0</v>
      </c>
      <c r="K99" s="42">
        <v>0</v>
      </c>
      <c r="L99" s="42">
        <v>0</v>
      </c>
      <c r="M99" s="42">
        <v>0</v>
      </c>
      <c r="N99" s="42">
        <v>0</v>
      </c>
      <c r="P99" s="128"/>
      <c r="Q99" s="128"/>
      <c r="R99" s="128">
        <v>0</v>
      </c>
      <c r="S99" s="128">
        <v>0</v>
      </c>
      <c r="T99" s="128">
        <v>0</v>
      </c>
      <c r="U99" s="128">
        <v>0</v>
      </c>
      <c r="V99" s="128">
        <v>0</v>
      </c>
      <c r="W99" s="42"/>
      <c r="X99" s="128">
        <v>0</v>
      </c>
      <c r="Y99" s="128">
        <v>0</v>
      </c>
      <c r="Z99" s="128">
        <v>0</v>
      </c>
      <c r="AA99" s="128">
        <v>0</v>
      </c>
      <c r="AB99" s="128">
        <v>0</v>
      </c>
      <c r="AC99" s="128">
        <v>0</v>
      </c>
    </row>
    <row r="100" spans="1:29" ht="16.5" thickTop="1" thickBot="1" x14ac:dyDescent="0.3">
      <c r="A100" s="42"/>
      <c r="B100" s="42"/>
      <c r="C100" s="42">
        <v>0</v>
      </c>
      <c r="D100" s="42">
        <v>0</v>
      </c>
      <c r="E100" s="42">
        <v>0</v>
      </c>
      <c r="F100" s="42">
        <v>0</v>
      </c>
      <c r="G100" s="42">
        <v>0</v>
      </c>
      <c r="H100" s="42"/>
      <c r="I100" s="42"/>
      <c r="J100" s="42">
        <v>0</v>
      </c>
      <c r="K100" s="42">
        <v>0</v>
      </c>
      <c r="L100" s="42">
        <v>0</v>
      </c>
      <c r="M100" s="42">
        <v>0</v>
      </c>
      <c r="N100" s="42">
        <v>0</v>
      </c>
      <c r="P100" s="128"/>
      <c r="Q100" s="128"/>
      <c r="R100" s="128">
        <v>0</v>
      </c>
      <c r="S100" s="128">
        <v>0</v>
      </c>
      <c r="T100" s="128">
        <v>0</v>
      </c>
      <c r="U100" s="128">
        <v>0</v>
      </c>
      <c r="V100" s="128">
        <v>0</v>
      </c>
      <c r="W100" s="42"/>
      <c r="X100" s="128">
        <v>0</v>
      </c>
      <c r="Y100" s="128">
        <v>0</v>
      </c>
      <c r="Z100" s="128">
        <v>0</v>
      </c>
      <c r="AA100" s="128">
        <v>0</v>
      </c>
      <c r="AB100" s="128">
        <v>0</v>
      </c>
      <c r="AC100" s="128">
        <v>0</v>
      </c>
    </row>
    <row r="101" spans="1:29" ht="15.75" thickTop="1" x14ac:dyDescent="0.25"/>
  </sheetData>
  <mergeCells count="3">
    <mergeCell ref="P4:AC4"/>
    <mergeCell ref="A1:AC2"/>
    <mergeCell ref="A4:N4"/>
  </mergeCells>
  <conditionalFormatting sqref="A43:B43 A6:B22 A25:B25">
    <cfRule type="expression" dxfId="23" priority="25">
      <formula>AND($A6&lt;&gt;"",$E6="INACTIVE")</formula>
    </cfRule>
  </conditionalFormatting>
  <conditionalFormatting sqref="A23">
    <cfRule type="expression" dxfId="22" priority="6">
      <formula>AND($A23&lt;&gt;"",$F23="INACTIVE")</formula>
    </cfRule>
  </conditionalFormatting>
  <conditionalFormatting sqref="A24:B24">
    <cfRule type="expression" dxfId="21" priority="5">
      <formula>AND($A24&lt;&gt;"",$F24="INACTIVE")</formula>
    </cfRule>
  </conditionalFormatting>
  <conditionalFormatting sqref="P26:Q32">
    <cfRule type="expression" dxfId="20" priority="4">
      <formula>AND($A26&lt;&gt;"",$F26="INACTIVE")</formula>
    </cfRule>
  </conditionalFormatting>
  <conditionalFormatting sqref="P26">
    <cfRule type="expression" dxfId="19" priority="3">
      <formula>AND($A26&lt;&gt;"",$F26="INACTIVE")</formula>
    </cfRule>
  </conditionalFormatting>
  <conditionalFormatting sqref="P24:Q24 P6:Q6">
    <cfRule type="expression" dxfId="18" priority="2">
      <formula>AND($A6&lt;&gt;"",$E6="INACTIVE")</formula>
    </cfRule>
  </conditionalFormatting>
  <conditionalFormatting sqref="Q16">
    <cfRule type="expression" dxfId="17" priority="1">
      <formula>AND($A16&lt;&gt;"",$F16="INACTIVE")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000066"/>
  </sheetPr>
  <dimension ref="A1:O96"/>
  <sheetViews>
    <sheetView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J14" sqref="J14"/>
    </sheetView>
  </sheetViews>
  <sheetFormatPr defaultRowHeight="15" x14ac:dyDescent="0.25"/>
  <cols>
    <col min="1" max="1" width="12.140625" bestFit="1" customWidth="1"/>
    <col min="2" max="2" width="20.5703125" bestFit="1" customWidth="1"/>
    <col min="8" max="10" width="12.5703125" bestFit="1" customWidth="1"/>
  </cols>
  <sheetData>
    <row r="1" spans="1:14" ht="41.25" thickTop="1" thickBot="1" x14ac:dyDescent="0.3">
      <c r="A1" s="115" t="s">
        <v>174</v>
      </c>
      <c r="B1" s="115" t="s">
        <v>11</v>
      </c>
      <c r="C1" s="113">
        <v>44287</v>
      </c>
      <c r="D1" s="113">
        <v>44317</v>
      </c>
      <c r="E1" s="113">
        <v>44348</v>
      </c>
      <c r="F1" s="113">
        <v>44378</v>
      </c>
      <c r="G1" s="113">
        <v>44409</v>
      </c>
      <c r="H1" s="113">
        <v>44440</v>
      </c>
      <c r="I1" s="113">
        <v>44470</v>
      </c>
      <c r="J1" s="113">
        <v>44501</v>
      </c>
      <c r="K1" s="113">
        <v>44531</v>
      </c>
      <c r="L1" s="113">
        <v>44562</v>
      </c>
      <c r="M1" s="113">
        <v>44593</v>
      </c>
      <c r="N1" s="113">
        <v>44621</v>
      </c>
    </row>
    <row r="2" spans="1:14" ht="16.5" thickTop="1" thickBot="1" x14ac:dyDescent="0.3">
      <c r="A2" s="38" t="s">
        <v>23</v>
      </c>
      <c r="B2" s="38" t="s">
        <v>97</v>
      </c>
      <c r="C2" s="42">
        <v>0</v>
      </c>
      <c r="D2" s="42">
        <v>0</v>
      </c>
      <c r="E2" s="42">
        <v>0</v>
      </c>
      <c r="F2" s="42">
        <v>0</v>
      </c>
      <c r="G2" s="42">
        <v>0</v>
      </c>
      <c r="H2" s="42">
        <v>0</v>
      </c>
      <c r="I2" s="42">
        <v>0</v>
      </c>
      <c r="J2" s="42">
        <v>0</v>
      </c>
      <c r="K2" s="42">
        <v>0</v>
      </c>
      <c r="L2" s="42">
        <v>0</v>
      </c>
      <c r="M2" s="42">
        <v>0</v>
      </c>
      <c r="N2" s="42">
        <v>0</v>
      </c>
    </row>
    <row r="3" spans="1:14" ht="16.5" thickTop="1" thickBot="1" x14ac:dyDescent="0.3">
      <c r="A3" s="38" t="s">
        <v>24</v>
      </c>
      <c r="B3" s="38" t="s">
        <v>95</v>
      </c>
      <c r="C3" s="42">
        <v>0</v>
      </c>
      <c r="D3" s="42">
        <v>0</v>
      </c>
      <c r="E3" s="42">
        <v>0</v>
      </c>
      <c r="F3" s="42">
        <v>0</v>
      </c>
      <c r="G3" s="42">
        <v>0</v>
      </c>
      <c r="H3" s="42">
        <v>0</v>
      </c>
      <c r="I3" s="42">
        <v>0</v>
      </c>
      <c r="J3" s="42">
        <v>0</v>
      </c>
      <c r="K3" s="42">
        <v>0</v>
      </c>
      <c r="L3" s="42">
        <v>0</v>
      </c>
      <c r="M3" s="42">
        <v>0</v>
      </c>
      <c r="N3" s="42">
        <v>0</v>
      </c>
    </row>
    <row r="4" spans="1:14" ht="16.5" thickTop="1" thickBot="1" x14ac:dyDescent="0.3">
      <c r="A4" s="38" t="s">
        <v>26</v>
      </c>
      <c r="B4" s="38" t="s">
        <v>117</v>
      </c>
      <c r="C4" s="42">
        <v>0</v>
      </c>
      <c r="D4" s="42">
        <v>0</v>
      </c>
      <c r="E4" s="42">
        <v>0</v>
      </c>
      <c r="F4" s="42">
        <v>0</v>
      </c>
      <c r="G4" s="42">
        <v>0</v>
      </c>
      <c r="H4" s="42">
        <v>0</v>
      </c>
      <c r="I4" s="42">
        <v>0</v>
      </c>
      <c r="J4" s="42">
        <v>0</v>
      </c>
      <c r="K4" s="42">
        <v>0</v>
      </c>
      <c r="L4" s="42">
        <v>0</v>
      </c>
      <c r="M4" s="42">
        <v>0</v>
      </c>
      <c r="N4" s="42">
        <v>0</v>
      </c>
    </row>
    <row r="5" spans="1:14" ht="16.5" thickTop="1" thickBot="1" x14ac:dyDescent="0.3">
      <c r="A5" s="38" t="s">
        <v>30</v>
      </c>
      <c r="B5" s="38" t="s">
        <v>121</v>
      </c>
      <c r="C5" s="42">
        <v>0</v>
      </c>
      <c r="D5" s="42">
        <v>0</v>
      </c>
      <c r="E5" s="42">
        <v>0</v>
      </c>
      <c r="F5" s="42">
        <v>0</v>
      </c>
      <c r="G5" s="42">
        <v>0</v>
      </c>
      <c r="H5" s="42">
        <v>0</v>
      </c>
      <c r="I5" s="42">
        <v>0</v>
      </c>
      <c r="J5" s="42">
        <v>0</v>
      </c>
      <c r="K5" s="42">
        <v>0</v>
      </c>
      <c r="L5" s="42">
        <v>0</v>
      </c>
      <c r="M5" s="42">
        <v>0</v>
      </c>
      <c r="N5" s="42">
        <v>0</v>
      </c>
    </row>
    <row r="6" spans="1:14" ht="16.5" thickTop="1" thickBot="1" x14ac:dyDescent="0.3">
      <c r="A6" s="38" t="s">
        <v>76</v>
      </c>
      <c r="B6" s="38" t="s">
        <v>96</v>
      </c>
      <c r="C6" s="42">
        <v>0</v>
      </c>
      <c r="D6" s="42">
        <v>0</v>
      </c>
      <c r="E6" s="42">
        <v>0</v>
      </c>
      <c r="F6" s="42">
        <v>0</v>
      </c>
      <c r="G6" s="42">
        <v>0</v>
      </c>
      <c r="H6" s="42">
        <v>0</v>
      </c>
      <c r="I6" s="42">
        <v>0</v>
      </c>
      <c r="J6" s="42">
        <v>0</v>
      </c>
      <c r="K6" s="42">
        <v>0</v>
      </c>
      <c r="L6" s="42">
        <v>0</v>
      </c>
      <c r="M6" s="42">
        <v>0</v>
      </c>
      <c r="N6" s="42">
        <v>0</v>
      </c>
    </row>
    <row r="7" spans="1:14" ht="16.5" thickTop="1" thickBot="1" x14ac:dyDescent="0.3">
      <c r="A7" s="38" t="s">
        <v>77</v>
      </c>
      <c r="B7" s="38" t="s">
        <v>119</v>
      </c>
      <c r="C7" s="42">
        <v>0</v>
      </c>
      <c r="D7" s="42">
        <v>0</v>
      </c>
      <c r="E7" s="42">
        <v>0</v>
      </c>
      <c r="F7" s="42">
        <v>0</v>
      </c>
      <c r="G7" s="42">
        <v>0</v>
      </c>
      <c r="H7" s="42">
        <v>0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>
        <v>0</v>
      </c>
    </row>
    <row r="8" spans="1:14" ht="16.5" thickTop="1" thickBot="1" x14ac:dyDescent="0.3">
      <c r="A8" s="38" t="s">
        <v>78</v>
      </c>
      <c r="B8" s="38" t="s">
        <v>122</v>
      </c>
      <c r="C8" s="42">
        <v>0</v>
      </c>
      <c r="D8" s="42">
        <v>0</v>
      </c>
      <c r="E8" s="42">
        <v>0</v>
      </c>
      <c r="F8" s="42">
        <v>0</v>
      </c>
      <c r="G8" s="42">
        <v>0</v>
      </c>
      <c r="H8" s="42">
        <v>0</v>
      </c>
      <c r="I8" s="42">
        <v>0</v>
      </c>
      <c r="J8" s="42">
        <v>0</v>
      </c>
      <c r="K8" s="42">
        <v>0</v>
      </c>
      <c r="L8" s="42">
        <v>0</v>
      </c>
      <c r="M8" s="42">
        <v>0</v>
      </c>
      <c r="N8" s="42">
        <v>0</v>
      </c>
    </row>
    <row r="9" spans="1:14" ht="16.5" thickTop="1" thickBot="1" x14ac:dyDescent="0.3">
      <c r="A9" s="38" t="s">
        <v>79</v>
      </c>
      <c r="B9" s="38" t="s">
        <v>118</v>
      </c>
      <c r="C9" s="42">
        <v>0</v>
      </c>
      <c r="D9" s="42">
        <v>0</v>
      </c>
      <c r="E9" s="42">
        <v>0</v>
      </c>
      <c r="F9" s="42">
        <v>0</v>
      </c>
      <c r="G9" s="42">
        <v>0</v>
      </c>
      <c r="H9" s="42">
        <v>0</v>
      </c>
      <c r="I9" s="42">
        <v>0</v>
      </c>
      <c r="J9" s="42">
        <v>0</v>
      </c>
      <c r="K9" s="42">
        <v>0</v>
      </c>
      <c r="L9" s="42">
        <v>0</v>
      </c>
      <c r="M9" s="42">
        <v>0</v>
      </c>
      <c r="N9" s="42">
        <v>0</v>
      </c>
    </row>
    <row r="10" spans="1:14" ht="16.5" thickTop="1" thickBot="1" x14ac:dyDescent="0.3">
      <c r="A10" s="38" t="s">
        <v>80</v>
      </c>
      <c r="B10" s="38" t="s">
        <v>180</v>
      </c>
      <c r="C10" s="42">
        <v>0</v>
      </c>
      <c r="D10" s="42">
        <v>0</v>
      </c>
      <c r="E10" s="42">
        <v>0</v>
      </c>
      <c r="F10" s="42">
        <v>0</v>
      </c>
      <c r="G10" s="42">
        <v>0</v>
      </c>
      <c r="H10" s="42">
        <v>0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>
        <v>0</v>
      </c>
    </row>
    <row r="11" spans="1:14" ht="16.5" thickTop="1" thickBot="1" x14ac:dyDescent="0.3">
      <c r="A11" s="38" t="s">
        <v>81</v>
      </c>
      <c r="B11" s="38" t="s">
        <v>120</v>
      </c>
      <c r="C11" s="42">
        <v>0</v>
      </c>
      <c r="D11" s="42">
        <v>0</v>
      </c>
      <c r="E11" s="42">
        <v>0</v>
      </c>
      <c r="F11" s="42">
        <v>0</v>
      </c>
      <c r="G11" s="42">
        <v>0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>
        <v>0</v>
      </c>
    </row>
    <row r="12" spans="1:14" ht="16.5" thickTop="1" thickBot="1" x14ac:dyDescent="0.3">
      <c r="A12" s="38" t="s">
        <v>84</v>
      </c>
      <c r="B12" s="38" t="s">
        <v>31</v>
      </c>
      <c r="C12" s="42">
        <v>0</v>
      </c>
      <c r="D12" s="42">
        <v>0</v>
      </c>
      <c r="E12" s="42">
        <v>0</v>
      </c>
      <c r="F12" s="42">
        <v>0</v>
      </c>
      <c r="G12" s="42">
        <v>0</v>
      </c>
      <c r="H12" s="42">
        <v>0</v>
      </c>
      <c r="I12" s="42">
        <v>0</v>
      </c>
      <c r="J12" s="42">
        <v>0</v>
      </c>
      <c r="K12" s="42">
        <v>0</v>
      </c>
      <c r="L12" s="42">
        <v>0</v>
      </c>
      <c r="M12" s="42">
        <v>0</v>
      </c>
      <c r="N12" s="42">
        <v>0</v>
      </c>
    </row>
    <row r="13" spans="1:14" ht="16.5" thickTop="1" thickBot="1" x14ac:dyDescent="0.3">
      <c r="A13" s="38" t="s">
        <v>123</v>
      </c>
      <c r="B13" s="38" t="s">
        <v>163</v>
      </c>
      <c r="C13" s="42">
        <v>0</v>
      </c>
      <c r="D13" s="42">
        <v>0</v>
      </c>
      <c r="E13" s="42">
        <v>0</v>
      </c>
      <c r="F13" s="42">
        <v>0</v>
      </c>
      <c r="G13" s="42">
        <v>0</v>
      </c>
      <c r="H13" s="42">
        <v>0</v>
      </c>
      <c r="I13" s="42">
        <v>0</v>
      </c>
      <c r="J13" s="42">
        <v>1548</v>
      </c>
      <c r="K13" s="42">
        <v>0</v>
      </c>
      <c r="L13" s="42">
        <v>0</v>
      </c>
      <c r="M13" s="42">
        <v>0</v>
      </c>
      <c r="N13" s="42">
        <v>0</v>
      </c>
    </row>
    <row r="14" spans="1:14" ht="16.5" thickTop="1" thickBot="1" x14ac:dyDescent="0.3">
      <c r="A14" s="38" t="s">
        <v>124</v>
      </c>
      <c r="B14" s="38" t="s">
        <v>91</v>
      </c>
      <c r="C14" s="42">
        <v>0</v>
      </c>
      <c r="D14" s="42">
        <v>0</v>
      </c>
      <c r="E14" s="42">
        <v>0</v>
      </c>
      <c r="F14" s="42">
        <v>0</v>
      </c>
      <c r="G14" s="42">
        <v>0</v>
      </c>
      <c r="H14" s="42">
        <v>0</v>
      </c>
      <c r="I14" s="42">
        <v>0</v>
      </c>
      <c r="J14" s="42">
        <v>0</v>
      </c>
      <c r="K14" s="42">
        <v>0</v>
      </c>
      <c r="L14" s="42">
        <v>0</v>
      </c>
      <c r="M14" s="42">
        <v>0</v>
      </c>
      <c r="N14" s="42">
        <v>0</v>
      </c>
    </row>
    <row r="15" spans="1:14" ht="16.5" thickTop="1" thickBot="1" x14ac:dyDescent="0.3">
      <c r="A15" s="38" t="s">
        <v>125</v>
      </c>
      <c r="B15" s="38" t="s">
        <v>25</v>
      </c>
      <c r="C15" s="42">
        <v>0</v>
      </c>
      <c r="D15" s="42">
        <v>0</v>
      </c>
      <c r="E15" s="42">
        <v>0</v>
      </c>
      <c r="F15" s="42">
        <v>0</v>
      </c>
      <c r="G15" s="42">
        <v>0</v>
      </c>
      <c r="H15" s="42">
        <v>0</v>
      </c>
      <c r="I15" s="42">
        <v>0</v>
      </c>
      <c r="J15" s="42">
        <v>0</v>
      </c>
      <c r="K15" s="42">
        <v>0</v>
      </c>
      <c r="L15" s="42">
        <v>0</v>
      </c>
      <c r="M15" s="42">
        <v>0</v>
      </c>
      <c r="N15" s="42">
        <v>0</v>
      </c>
    </row>
    <row r="16" spans="1:14" ht="16.5" thickTop="1" thickBot="1" x14ac:dyDescent="0.3">
      <c r="A16" s="38" t="s">
        <v>126</v>
      </c>
      <c r="B16" s="38" t="s">
        <v>27</v>
      </c>
      <c r="C16" s="42">
        <v>0</v>
      </c>
      <c r="D16" s="42">
        <v>0</v>
      </c>
      <c r="E16" s="42">
        <v>0</v>
      </c>
      <c r="F16" s="42">
        <v>0</v>
      </c>
      <c r="G16" s="42">
        <v>0</v>
      </c>
      <c r="H16" s="42">
        <v>0</v>
      </c>
      <c r="I16" s="42">
        <v>0</v>
      </c>
      <c r="J16" s="42">
        <v>10</v>
      </c>
      <c r="K16" s="42">
        <v>0</v>
      </c>
      <c r="L16" s="42">
        <v>0</v>
      </c>
      <c r="M16" s="42">
        <v>0</v>
      </c>
      <c r="N16" s="42">
        <v>0</v>
      </c>
    </row>
    <row r="17" spans="1:15" ht="16.5" thickTop="1" thickBot="1" x14ac:dyDescent="0.3">
      <c r="A17" s="38" t="s">
        <v>127</v>
      </c>
      <c r="B17" s="38" t="s">
        <v>92</v>
      </c>
      <c r="C17" s="42">
        <v>0</v>
      </c>
      <c r="D17" s="42">
        <v>0</v>
      </c>
      <c r="E17" s="42">
        <v>0</v>
      </c>
      <c r="F17" s="42">
        <v>0</v>
      </c>
      <c r="G17" s="42">
        <v>0</v>
      </c>
      <c r="H17" s="42">
        <v>0</v>
      </c>
      <c r="I17" s="42">
        <v>0</v>
      </c>
      <c r="J17" s="42">
        <v>10</v>
      </c>
      <c r="K17" s="42">
        <v>0</v>
      </c>
      <c r="L17" s="42">
        <v>0</v>
      </c>
      <c r="M17" s="42">
        <v>0</v>
      </c>
      <c r="N17" s="42">
        <v>0</v>
      </c>
    </row>
    <row r="18" spans="1:15" ht="16.5" thickTop="1" thickBot="1" x14ac:dyDescent="0.3">
      <c r="A18" s="38" t="s">
        <v>128</v>
      </c>
      <c r="B18" s="38" t="s">
        <v>94</v>
      </c>
      <c r="C18" s="42">
        <v>0</v>
      </c>
      <c r="D18" s="42">
        <v>0</v>
      </c>
      <c r="E18" s="42">
        <v>0</v>
      </c>
      <c r="F18" s="42">
        <v>0</v>
      </c>
      <c r="G18" s="42">
        <v>0</v>
      </c>
      <c r="H18" s="42">
        <v>0</v>
      </c>
      <c r="I18" s="42">
        <v>0</v>
      </c>
      <c r="J18" s="42">
        <v>60</v>
      </c>
      <c r="K18" s="42">
        <v>0</v>
      </c>
      <c r="L18" s="42">
        <v>0</v>
      </c>
      <c r="M18" s="42">
        <v>0</v>
      </c>
      <c r="N18" s="42">
        <v>0</v>
      </c>
    </row>
    <row r="19" spans="1:15" ht="16.5" thickTop="1" thickBot="1" x14ac:dyDescent="0.3">
      <c r="A19" s="38" t="s">
        <v>129</v>
      </c>
      <c r="B19" s="38" t="s">
        <v>93</v>
      </c>
      <c r="C19" s="42">
        <v>0</v>
      </c>
      <c r="D19" s="42">
        <v>0</v>
      </c>
      <c r="E19" s="42">
        <v>0</v>
      </c>
      <c r="F19" s="42">
        <v>0</v>
      </c>
      <c r="G19" s="42">
        <v>0</v>
      </c>
      <c r="H19" s="42">
        <v>0</v>
      </c>
      <c r="I19" s="42">
        <v>0</v>
      </c>
      <c r="J19" s="42">
        <v>70</v>
      </c>
      <c r="K19" s="42">
        <v>0</v>
      </c>
      <c r="L19" s="42">
        <v>0</v>
      </c>
      <c r="M19" s="42">
        <v>0</v>
      </c>
      <c r="N19" s="42">
        <v>0</v>
      </c>
    </row>
    <row r="20" spans="1:15" ht="16.5" thickTop="1" thickBot="1" x14ac:dyDescent="0.3">
      <c r="A20" s="38" t="s">
        <v>130</v>
      </c>
      <c r="B20" s="38" t="s">
        <v>90</v>
      </c>
      <c r="C20" s="42">
        <v>0</v>
      </c>
      <c r="D20" s="42">
        <v>0</v>
      </c>
      <c r="E20" s="42">
        <v>0</v>
      </c>
      <c r="F20" s="42">
        <v>0</v>
      </c>
      <c r="G20" s="42">
        <v>0</v>
      </c>
      <c r="H20" s="42">
        <v>0</v>
      </c>
      <c r="I20" s="42">
        <v>0</v>
      </c>
      <c r="J20" s="42">
        <v>0</v>
      </c>
      <c r="K20" s="42">
        <v>0</v>
      </c>
      <c r="L20" s="42">
        <v>0</v>
      </c>
      <c r="M20" s="42">
        <v>0</v>
      </c>
      <c r="N20" s="42">
        <v>0</v>
      </c>
    </row>
    <row r="21" spans="1:15" ht="16.5" thickTop="1" thickBot="1" x14ac:dyDescent="0.3">
      <c r="A21" s="42" t="s">
        <v>131</v>
      </c>
      <c r="B21" s="42" t="s">
        <v>98</v>
      </c>
      <c r="C21" s="42">
        <v>0</v>
      </c>
      <c r="D21" s="42">
        <v>0</v>
      </c>
      <c r="E21" s="42">
        <v>0</v>
      </c>
      <c r="F21" s="42">
        <v>0</v>
      </c>
      <c r="G21" s="42">
        <v>0</v>
      </c>
      <c r="H21" s="42">
        <v>0</v>
      </c>
      <c r="I21" s="42">
        <v>0</v>
      </c>
      <c r="J21" s="42">
        <v>0</v>
      </c>
      <c r="K21" s="42">
        <v>0</v>
      </c>
      <c r="L21" s="42">
        <v>0</v>
      </c>
      <c r="M21" s="42">
        <v>0</v>
      </c>
      <c r="N21" s="42">
        <v>0</v>
      </c>
    </row>
    <row r="22" spans="1:15" ht="16.5" thickTop="1" thickBot="1" x14ac:dyDescent="0.3">
      <c r="A22" s="42" t="s">
        <v>132</v>
      </c>
      <c r="B22" s="42" t="s">
        <v>99</v>
      </c>
      <c r="C22" s="42">
        <v>0</v>
      </c>
      <c r="D22" s="42">
        <v>0</v>
      </c>
      <c r="E22" s="42">
        <v>0</v>
      </c>
      <c r="F22" s="42">
        <v>0</v>
      </c>
      <c r="G22" s="42">
        <v>0</v>
      </c>
      <c r="H22" s="42">
        <v>0</v>
      </c>
      <c r="I22" s="42">
        <v>0</v>
      </c>
      <c r="J22" s="42">
        <v>50</v>
      </c>
      <c r="K22" s="42">
        <v>0</v>
      </c>
      <c r="L22" s="42">
        <v>0</v>
      </c>
      <c r="M22" s="42">
        <v>0</v>
      </c>
      <c r="N22" s="42">
        <v>0</v>
      </c>
    </row>
    <row r="23" spans="1:15" ht="16.5" thickTop="1" thickBot="1" x14ac:dyDescent="0.3">
      <c r="A23" s="42" t="s">
        <v>133</v>
      </c>
      <c r="B23" s="42" t="s">
        <v>100</v>
      </c>
      <c r="C23" s="42">
        <v>0</v>
      </c>
      <c r="D23" s="42">
        <v>0</v>
      </c>
      <c r="E23" s="42">
        <v>0</v>
      </c>
      <c r="F23" s="42">
        <v>0</v>
      </c>
      <c r="G23" s="42">
        <v>0</v>
      </c>
      <c r="H23" s="42">
        <v>0</v>
      </c>
      <c r="I23" s="42">
        <v>0</v>
      </c>
      <c r="J23" s="42">
        <v>20</v>
      </c>
      <c r="K23" s="42">
        <v>0</v>
      </c>
      <c r="L23" s="42">
        <v>0</v>
      </c>
      <c r="M23" s="42">
        <v>0</v>
      </c>
      <c r="N23" s="42">
        <v>0</v>
      </c>
    </row>
    <row r="24" spans="1:15" ht="16.5" thickTop="1" thickBot="1" x14ac:dyDescent="0.3">
      <c r="A24" s="42" t="s">
        <v>134</v>
      </c>
      <c r="B24" s="42" t="s">
        <v>101</v>
      </c>
      <c r="C24" s="42">
        <v>0</v>
      </c>
      <c r="D24" s="42">
        <v>0</v>
      </c>
      <c r="E24" s="42">
        <v>0</v>
      </c>
      <c r="F24" s="42">
        <v>0</v>
      </c>
      <c r="G24" s="42">
        <v>0</v>
      </c>
      <c r="H24" s="42">
        <v>0</v>
      </c>
      <c r="I24" s="42">
        <v>0</v>
      </c>
      <c r="J24" s="42">
        <v>0</v>
      </c>
      <c r="K24" s="42">
        <v>0</v>
      </c>
      <c r="L24" s="42">
        <v>0</v>
      </c>
      <c r="M24" s="42">
        <v>0</v>
      </c>
      <c r="N24" s="42">
        <v>0</v>
      </c>
    </row>
    <row r="25" spans="1:15" ht="16.5" thickTop="1" thickBot="1" x14ac:dyDescent="0.3">
      <c r="A25" s="42" t="s">
        <v>135</v>
      </c>
      <c r="B25" s="42" t="s">
        <v>102</v>
      </c>
      <c r="C25" s="42">
        <v>0</v>
      </c>
      <c r="D25" s="42">
        <v>0</v>
      </c>
      <c r="E25" s="42">
        <v>0</v>
      </c>
      <c r="F25" s="42">
        <v>0</v>
      </c>
      <c r="G25" s="42">
        <v>0</v>
      </c>
      <c r="H25" s="42">
        <v>0</v>
      </c>
      <c r="I25" s="42">
        <v>0</v>
      </c>
      <c r="J25" s="42">
        <v>0</v>
      </c>
      <c r="K25" s="42">
        <v>0</v>
      </c>
      <c r="L25" s="42">
        <v>0</v>
      </c>
      <c r="M25" s="42">
        <v>0</v>
      </c>
      <c r="N25" s="42">
        <v>0</v>
      </c>
    </row>
    <row r="26" spans="1:15" ht="16.5" thickTop="1" thickBot="1" x14ac:dyDescent="0.3">
      <c r="A26" s="42" t="s">
        <v>136</v>
      </c>
      <c r="B26" s="42" t="s">
        <v>103</v>
      </c>
      <c r="C26" s="42">
        <v>0</v>
      </c>
      <c r="D26" s="42">
        <v>0</v>
      </c>
      <c r="E26" s="42">
        <v>0</v>
      </c>
      <c r="F26" s="42">
        <v>0</v>
      </c>
      <c r="G26" s="42">
        <v>0</v>
      </c>
      <c r="H26" s="42">
        <v>0</v>
      </c>
      <c r="I26" s="42">
        <v>0</v>
      </c>
      <c r="J26" s="42">
        <v>0</v>
      </c>
      <c r="K26" s="42">
        <v>0</v>
      </c>
      <c r="L26" s="42">
        <v>0</v>
      </c>
      <c r="M26" s="42">
        <v>0</v>
      </c>
      <c r="N26" s="42">
        <v>0</v>
      </c>
    </row>
    <row r="27" spans="1:15" ht="16.5" thickTop="1" thickBot="1" x14ac:dyDescent="0.3">
      <c r="A27" s="42" t="s">
        <v>137</v>
      </c>
      <c r="B27" s="42" t="s">
        <v>104</v>
      </c>
      <c r="C27" s="42">
        <v>0</v>
      </c>
      <c r="D27" s="42">
        <v>0</v>
      </c>
      <c r="E27" s="42">
        <v>0</v>
      </c>
      <c r="F27" s="42">
        <v>0</v>
      </c>
      <c r="G27" s="42">
        <v>0</v>
      </c>
      <c r="H27" s="42">
        <v>0</v>
      </c>
      <c r="I27" s="42">
        <v>0</v>
      </c>
      <c r="J27" s="42">
        <v>60</v>
      </c>
      <c r="K27" s="42">
        <v>0</v>
      </c>
      <c r="L27" s="42">
        <v>0</v>
      </c>
      <c r="M27" s="42">
        <v>0</v>
      </c>
      <c r="N27" s="42">
        <v>0</v>
      </c>
    </row>
    <row r="28" spans="1:15" ht="16.5" thickTop="1" thickBot="1" x14ac:dyDescent="0.3">
      <c r="A28" s="42" t="s">
        <v>138</v>
      </c>
      <c r="B28" s="42" t="s">
        <v>105</v>
      </c>
      <c r="C28" s="42">
        <v>0</v>
      </c>
      <c r="D28" s="42">
        <v>0</v>
      </c>
      <c r="E28" s="42">
        <v>0</v>
      </c>
      <c r="F28" s="42">
        <v>0</v>
      </c>
      <c r="G28" s="42">
        <v>0</v>
      </c>
      <c r="H28" s="42">
        <v>0</v>
      </c>
      <c r="I28" s="42">
        <v>0</v>
      </c>
      <c r="J28" s="42">
        <v>500</v>
      </c>
      <c r="K28" s="42">
        <v>0</v>
      </c>
      <c r="L28" s="42">
        <v>0</v>
      </c>
      <c r="M28" s="42">
        <v>0</v>
      </c>
      <c r="N28" s="42">
        <v>0</v>
      </c>
      <c r="O28" t="s">
        <v>243</v>
      </c>
    </row>
    <row r="29" spans="1:15" ht="16.5" thickTop="1" thickBot="1" x14ac:dyDescent="0.3">
      <c r="A29" s="42" t="s">
        <v>139</v>
      </c>
      <c r="B29" s="42" t="s">
        <v>106</v>
      </c>
      <c r="C29" s="42">
        <v>0</v>
      </c>
      <c r="D29" s="42">
        <v>0</v>
      </c>
      <c r="E29" s="42">
        <v>0</v>
      </c>
      <c r="F29" s="42">
        <v>0</v>
      </c>
      <c r="G29" s="42">
        <v>0</v>
      </c>
      <c r="H29" s="42">
        <v>0</v>
      </c>
      <c r="I29" s="42">
        <v>0</v>
      </c>
      <c r="J29" s="42">
        <v>20</v>
      </c>
      <c r="K29" s="42">
        <v>0</v>
      </c>
      <c r="L29" s="42">
        <v>0</v>
      </c>
      <c r="M29" s="42">
        <v>0</v>
      </c>
      <c r="N29" s="42">
        <v>0</v>
      </c>
    </row>
    <row r="30" spans="1:15" ht="16.5" thickTop="1" thickBot="1" x14ac:dyDescent="0.3">
      <c r="A30" s="42" t="s">
        <v>140</v>
      </c>
      <c r="B30" s="42" t="s">
        <v>107</v>
      </c>
      <c r="C30" s="42">
        <v>0</v>
      </c>
      <c r="D30" s="42">
        <v>0</v>
      </c>
      <c r="E30" s="42">
        <v>0</v>
      </c>
      <c r="F30" s="42">
        <v>0</v>
      </c>
      <c r="G30" s="42">
        <v>0</v>
      </c>
      <c r="H30" s="42">
        <v>0</v>
      </c>
      <c r="I30" s="42">
        <v>0</v>
      </c>
      <c r="J30" s="42">
        <v>0</v>
      </c>
      <c r="K30" s="42">
        <v>0</v>
      </c>
      <c r="L30" s="42">
        <v>0</v>
      </c>
      <c r="M30" s="42">
        <v>0</v>
      </c>
      <c r="N30" s="42">
        <v>0</v>
      </c>
    </row>
    <row r="31" spans="1:15" ht="16.5" thickTop="1" thickBot="1" x14ac:dyDescent="0.3">
      <c r="A31" s="42" t="s">
        <v>141</v>
      </c>
      <c r="B31" s="38" t="s">
        <v>238</v>
      </c>
      <c r="C31" s="42">
        <v>0</v>
      </c>
      <c r="D31" s="42">
        <v>0</v>
      </c>
      <c r="E31" s="42">
        <v>0</v>
      </c>
      <c r="F31" s="42">
        <v>0</v>
      </c>
      <c r="G31" s="42">
        <v>0</v>
      </c>
      <c r="H31" s="42">
        <v>0</v>
      </c>
      <c r="I31" s="42">
        <v>0</v>
      </c>
      <c r="J31" s="42">
        <v>2000</v>
      </c>
      <c r="K31" s="42">
        <v>0</v>
      </c>
      <c r="L31" s="42">
        <v>0</v>
      </c>
      <c r="M31" s="42">
        <v>0</v>
      </c>
      <c r="N31" s="42">
        <v>0</v>
      </c>
      <c r="O31" t="s">
        <v>244</v>
      </c>
    </row>
    <row r="32" spans="1:15" ht="16.5" thickTop="1" thickBot="1" x14ac:dyDescent="0.3">
      <c r="A32" s="42" t="s">
        <v>142</v>
      </c>
      <c r="B32" s="42" t="s">
        <v>108</v>
      </c>
      <c r="C32" s="42">
        <v>0</v>
      </c>
      <c r="D32" s="42">
        <v>0</v>
      </c>
      <c r="E32" s="42">
        <v>0</v>
      </c>
      <c r="F32" s="42">
        <v>0</v>
      </c>
      <c r="G32" s="42">
        <v>0</v>
      </c>
      <c r="H32" s="42">
        <v>0</v>
      </c>
      <c r="I32" s="42">
        <v>0</v>
      </c>
      <c r="J32" s="42">
        <v>50</v>
      </c>
      <c r="K32" s="42">
        <v>0</v>
      </c>
      <c r="L32" s="42">
        <v>0</v>
      </c>
      <c r="M32" s="42">
        <v>0</v>
      </c>
      <c r="N32" s="42">
        <v>0</v>
      </c>
    </row>
    <row r="33" spans="1:15" ht="16.5" thickTop="1" thickBot="1" x14ac:dyDescent="0.3">
      <c r="A33" s="42" t="s">
        <v>143</v>
      </c>
      <c r="B33" s="42" t="s">
        <v>109</v>
      </c>
      <c r="C33" s="42">
        <v>0</v>
      </c>
      <c r="D33" s="42">
        <v>0</v>
      </c>
      <c r="E33" s="42">
        <v>0</v>
      </c>
      <c r="F33" s="42">
        <v>0</v>
      </c>
      <c r="G33" s="42">
        <v>0</v>
      </c>
      <c r="H33" s="42">
        <v>0</v>
      </c>
      <c r="I33" s="42">
        <v>0</v>
      </c>
      <c r="J33" s="42">
        <v>0</v>
      </c>
      <c r="K33" s="42">
        <v>0</v>
      </c>
      <c r="L33" s="42">
        <v>0</v>
      </c>
      <c r="M33" s="42">
        <v>0</v>
      </c>
      <c r="N33" s="42">
        <v>0</v>
      </c>
    </row>
    <row r="34" spans="1:15" ht="16.5" thickTop="1" thickBot="1" x14ac:dyDescent="0.3">
      <c r="A34" s="42" t="s">
        <v>144</v>
      </c>
      <c r="B34" s="42" t="s">
        <v>110</v>
      </c>
      <c r="C34" s="42">
        <v>0</v>
      </c>
      <c r="D34" s="42">
        <v>0</v>
      </c>
      <c r="E34" s="42">
        <v>0</v>
      </c>
      <c r="F34" s="42">
        <v>0</v>
      </c>
      <c r="G34" s="42">
        <v>0</v>
      </c>
      <c r="H34" s="42">
        <v>0</v>
      </c>
      <c r="I34" s="42">
        <v>0</v>
      </c>
      <c r="J34" s="42">
        <v>0</v>
      </c>
      <c r="K34" s="42">
        <v>0</v>
      </c>
      <c r="L34" s="42">
        <v>0</v>
      </c>
      <c r="M34" s="42">
        <v>0</v>
      </c>
      <c r="N34" s="42">
        <v>0</v>
      </c>
    </row>
    <row r="35" spans="1:15" ht="16.5" thickTop="1" thickBot="1" x14ac:dyDescent="0.3">
      <c r="A35" s="42" t="s">
        <v>145</v>
      </c>
      <c r="B35" s="42" t="s">
        <v>111</v>
      </c>
      <c r="C35" s="42">
        <v>0</v>
      </c>
      <c r="D35" s="42">
        <v>0</v>
      </c>
      <c r="E35" s="42">
        <v>0</v>
      </c>
      <c r="F35" s="42">
        <v>0</v>
      </c>
      <c r="G35" s="42">
        <v>0</v>
      </c>
      <c r="H35" s="42">
        <v>0</v>
      </c>
      <c r="I35" s="42">
        <v>0</v>
      </c>
      <c r="J35" s="42">
        <v>0</v>
      </c>
      <c r="K35" s="42">
        <v>0</v>
      </c>
      <c r="L35" s="42">
        <v>0</v>
      </c>
      <c r="M35" s="42">
        <v>0</v>
      </c>
      <c r="N35" s="42">
        <v>0</v>
      </c>
    </row>
    <row r="36" spans="1:15" ht="16.5" thickTop="1" thickBot="1" x14ac:dyDescent="0.3">
      <c r="A36" s="42" t="s">
        <v>146</v>
      </c>
      <c r="B36" s="42" t="s">
        <v>112</v>
      </c>
      <c r="C36" s="42">
        <v>0</v>
      </c>
      <c r="D36" s="42">
        <v>0</v>
      </c>
      <c r="E36" s="42">
        <v>0</v>
      </c>
      <c r="F36" s="42">
        <v>0</v>
      </c>
      <c r="G36" s="42">
        <v>0</v>
      </c>
      <c r="H36" s="42">
        <v>0</v>
      </c>
      <c r="I36" s="42">
        <v>0</v>
      </c>
      <c r="J36" s="42">
        <v>20</v>
      </c>
      <c r="K36" s="42">
        <v>0</v>
      </c>
      <c r="L36" s="42">
        <v>0</v>
      </c>
      <c r="M36" s="42">
        <v>0</v>
      </c>
      <c r="N36" s="42">
        <v>0</v>
      </c>
    </row>
    <row r="37" spans="1:15" ht="16.5" thickTop="1" thickBot="1" x14ac:dyDescent="0.3">
      <c r="A37" s="42" t="s">
        <v>147</v>
      </c>
      <c r="B37" s="42" t="s">
        <v>113</v>
      </c>
      <c r="C37" s="42">
        <v>0</v>
      </c>
      <c r="D37" s="42">
        <v>0</v>
      </c>
      <c r="E37" s="42">
        <v>0</v>
      </c>
      <c r="F37" s="42">
        <v>0</v>
      </c>
      <c r="G37" s="42">
        <v>0</v>
      </c>
      <c r="H37" s="42">
        <v>0</v>
      </c>
      <c r="I37" s="42">
        <v>0</v>
      </c>
      <c r="J37" s="42">
        <v>2000</v>
      </c>
      <c r="K37" s="42">
        <v>0</v>
      </c>
      <c r="L37" s="42">
        <v>0</v>
      </c>
      <c r="M37" s="42">
        <v>0</v>
      </c>
      <c r="N37" s="42">
        <v>0</v>
      </c>
      <c r="O37" t="s">
        <v>244</v>
      </c>
    </row>
    <row r="38" spans="1:15" ht="16.5" thickTop="1" thickBot="1" x14ac:dyDescent="0.3">
      <c r="A38" s="42" t="s">
        <v>148</v>
      </c>
      <c r="B38" s="42" t="s">
        <v>114</v>
      </c>
      <c r="C38" s="42">
        <v>0</v>
      </c>
      <c r="D38" s="42">
        <v>0</v>
      </c>
      <c r="E38" s="42">
        <v>0</v>
      </c>
      <c r="F38" s="42">
        <v>0</v>
      </c>
      <c r="G38" s="42">
        <v>0</v>
      </c>
      <c r="H38" s="42">
        <v>0</v>
      </c>
      <c r="I38" s="42">
        <v>0</v>
      </c>
      <c r="J38" s="42">
        <v>0</v>
      </c>
      <c r="K38" s="42">
        <v>0</v>
      </c>
      <c r="L38" s="42">
        <v>0</v>
      </c>
      <c r="M38" s="42">
        <v>0</v>
      </c>
      <c r="N38" s="42">
        <v>0</v>
      </c>
    </row>
    <row r="39" spans="1:15" ht="16.5" thickTop="1" thickBot="1" x14ac:dyDescent="0.3">
      <c r="A39" s="42" t="s">
        <v>149</v>
      </c>
      <c r="B39" s="42" t="s">
        <v>115</v>
      </c>
      <c r="C39" s="42">
        <v>0</v>
      </c>
      <c r="D39" s="42">
        <v>0</v>
      </c>
      <c r="E39" s="42">
        <v>0</v>
      </c>
      <c r="F39" s="42">
        <v>0</v>
      </c>
      <c r="G39" s="42">
        <v>0</v>
      </c>
      <c r="H39" s="42">
        <v>0</v>
      </c>
      <c r="I39" s="42">
        <v>0</v>
      </c>
      <c r="J39" s="42">
        <v>0</v>
      </c>
      <c r="K39" s="42">
        <v>0</v>
      </c>
      <c r="L39" s="42">
        <v>0</v>
      </c>
      <c r="M39" s="42">
        <v>0</v>
      </c>
      <c r="N39" s="42">
        <v>0</v>
      </c>
    </row>
    <row r="40" spans="1:15" ht="16.5" thickTop="1" thickBot="1" x14ac:dyDescent="0.3">
      <c r="A40" s="42" t="s">
        <v>181</v>
      </c>
      <c r="B40" s="42" t="s">
        <v>116</v>
      </c>
      <c r="C40" s="128">
        <v>0</v>
      </c>
      <c r="D40" s="128">
        <v>0</v>
      </c>
      <c r="E40" s="128">
        <v>0</v>
      </c>
      <c r="F40" s="128">
        <v>0</v>
      </c>
      <c r="G40" s="128">
        <v>0</v>
      </c>
      <c r="H40" s="42">
        <v>0</v>
      </c>
      <c r="I40" s="42">
        <v>0</v>
      </c>
      <c r="J40" s="42">
        <v>0</v>
      </c>
      <c r="K40" s="42">
        <v>0</v>
      </c>
      <c r="L40" s="42">
        <v>0</v>
      </c>
      <c r="M40" s="42">
        <v>0</v>
      </c>
      <c r="N40" s="42">
        <v>0</v>
      </c>
    </row>
    <row r="41" spans="1:15" ht="16.5" thickTop="1" thickBot="1" x14ac:dyDescent="0.3">
      <c r="A41" s="42"/>
      <c r="B41" s="42"/>
      <c r="C41" s="42">
        <v>0</v>
      </c>
      <c r="D41" s="42">
        <v>0</v>
      </c>
      <c r="E41" s="42">
        <v>0</v>
      </c>
      <c r="F41" s="42">
        <v>0</v>
      </c>
      <c r="G41" s="42">
        <v>0</v>
      </c>
      <c r="H41" s="42">
        <v>0</v>
      </c>
      <c r="I41" s="42">
        <v>0</v>
      </c>
      <c r="J41" s="42">
        <v>0</v>
      </c>
      <c r="K41" s="42">
        <v>0</v>
      </c>
      <c r="L41" s="42">
        <v>0</v>
      </c>
      <c r="M41" s="42">
        <v>0</v>
      </c>
      <c r="N41" s="42">
        <v>0</v>
      </c>
    </row>
    <row r="42" spans="1:15" ht="16.5" thickTop="1" thickBot="1" x14ac:dyDescent="0.3">
      <c r="A42" s="42"/>
      <c r="B42" s="42"/>
      <c r="C42" s="42">
        <v>0</v>
      </c>
      <c r="D42" s="42">
        <v>0</v>
      </c>
      <c r="E42" s="42">
        <v>0</v>
      </c>
      <c r="F42" s="42">
        <v>0</v>
      </c>
      <c r="G42" s="42">
        <v>0</v>
      </c>
      <c r="H42" s="42">
        <v>0</v>
      </c>
      <c r="I42" s="42">
        <v>0</v>
      </c>
      <c r="J42" s="42">
        <v>0</v>
      </c>
      <c r="K42" s="42">
        <v>0</v>
      </c>
      <c r="L42" s="42">
        <v>0</v>
      </c>
      <c r="M42" s="42">
        <v>0</v>
      </c>
      <c r="N42" s="42">
        <v>0</v>
      </c>
    </row>
    <row r="43" spans="1:15" ht="16.5" thickTop="1" thickBot="1" x14ac:dyDescent="0.3">
      <c r="A43" s="42"/>
      <c r="B43" s="42"/>
      <c r="C43" s="42">
        <v>0</v>
      </c>
      <c r="D43" s="42">
        <v>0</v>
      </c>
      <c r="E43" s="42">
        <v>0</v>
      </c>
      <c r="F43" s="42">
        <v>0</v>
      </c>
      <c r="G43" s="42">
        <v>0</v>
      </c>
      <c r="H43" s="42">
        <v>0</v>
      </c>
      <c r="I43" s="42">
        <v>0</v>
      </c>
      <c r="J43" s="42">
        <v>0</v>
      </c>
      <c r="K43" s="42">
        <v>0</v>
      </c>
      <c r="L43" s="42">
        <v>0</v>
      </c>
      <c r="M43" s="42">
        <v>0</v>
      </c>
      <c r="N43" s="42">
        <v>0</v>
      </c>
    </row>
    <row r="44" spans="1:15" ht="16.5" thickTop="1" thickBot="1" x14ac:dyDescent="0.3">
      <c r="A44" s="42"/>
      <c r="B44" s="42"/>
      <c r="C44" s="42">
        <v>0</v>
      </c>
      <c r="D44" s="42">
        <v>0</v>
      </c>
      <c r="E44" s="42">
        <v>0</v>
      </c>
      <c r="F44" s="42">
        <v>0</v>
      </c>
      <c r="G44" s="42">
        <v>0</v>
      </c>
      <c r="H44" s="42">
        <v>0</v>
      </c>
      <c r="I44" s="42">
        <v>0</v>
      </c>
      <c r="J44" s="42">
        <v>0</v>
      </c>
      <c r="K44" s="42">
        <v>0</v>
      </c>
      <c r="L44" s="42">
        <v>0</v>
      </c>
      <c r="M44" s="42">
        <v>0</v>
      </c>
      <c r="N44" s="42">
        <v>0</v>
      </c>
    </row>
    <row r="45" spans="1:15" ht="16.5" thickTop="1" thickBot="1" x14ac:dyDescent="0.3">
      <c r="A45" s="42"/>
      <c r="B45" s="42"/>
      <c r="C45" s="42">
        <v>0</v>
      </c>
      <c r="D45" s="42">
        <v>0</v>
      </c>
      <c r="E45" s="42">
        <v>0</v>
      </c>
      <c r="F45" s="42">
        <v>0</v>
      </c>
      <c r="G45" s="42">
        <v>0</v>
      </c>
      <c r="H45" s="42">
        <v>0</v>
      </c>
      <c r="I45" s="42">
        <v>0</v>
      </c>
      <c r="J45" s="42">
        <v>0</v>
      </c>
      <c r="K45" s="42">
        <v>0</v>
      </c>
      <c r="L45" s="42">
        <v>0</v>
      </c>
      <c r="M45" s="42">
        <v>0</v>
      </c>
      <c r="N45" s="42">
        <v>0</v>
      </c>
    </row>
    <row r="46" spans="1:15" ht="16.5" thickTop="1" thickBot="1" x14ac:dyDescent="0.3">
      <c r="A46" s="42"/>
      <c r="B46" s="42"/>
      <c r="C46" s="42">
        <v>0</v>
      </c>
      <c r="D46" s="42">
        <v>0</v>
      </c>
      <c r="E46" s="42">
        <v>0</v>
      </c>
      <c r="F46" s="42">
        <v>0</v>
      </c>
      <c r="G46" s="42">
        <v>0</v>
      </c>
      <c r="H46" s="42">
        <v>0</v>
      </c>
      <c r="I46" s="42">
        <v>0</v>
      </c>
      <c r="J46" s="42">
        <v>0</v>
      </c>
      <c r="K46" s="42">
        <v>0</v>
      </c>
      <c r="L46" s="42">
        <v>0</v>
      </c>
      <c r="M46" s="42">
        <v>0</v>
      </c>
      <c r="N46" s="42">
        <v>0</v>
      </c>
    </row>
    <row r="47" spans="1:15" ht="16.5" thickTop="1" thickBot="1" x14ac:dyDescent="0.3">
      <c r="A47" s="42"/>
      <c r="B47" s="42"/>
      <c r="C47" s="42">
        <v>0</v>
      </c>
      <c r="D47" s="42">
        <v>0</v>
      </c>
      <c r="E47" s="42">
        <v>0</v>
      </c>
      <c r="F47" s="42">
        <v>0</v>
      </c>
      <c r="G47" s="42">
        <v>0</v>
      </c>
      <c r="H47" s="42">
        <v>0</v>
      </c>
      <c r="I47" s="42">
        <v>0</v>
      </c>
      <c r="J47" s="42">
        <v>0</v>
      </c>
      <c r="K47" s="42">
        <v>0</v>
      </c>
      <c r="L47" s="42">
        <v>0</v>
      </c>
      <c r="M47" s="42">
        <v>0</v>
      </c>
      <c r="N47" s="42">
        <v>0</v>
      </c>
    </row>
    <row r="48" spans="1:15" ht="16.5" thickTop="1" thickBot="1" x14ac:dyDescent="0.3">
      <c r="A48" s="42"/>
      <c r="B48" s="42"/>
      <c r="C48" s="42">
        <v>0</v>
      </c>
      <c r="D48" s="42">
        <v>0</v>
      </c>
      <c r="E48" s="42">
        <v>0</v>
      </c>
      <c r="F48" s="42">
        <v>0</v>
      </c>
      <c r="G48" s="42">
        <v>0</v>
      </c>
      <c r="H48" s="42">
        <v>0</v>
      </c>
      <c r="I48" s="42">
        <v>0</v>
      </c>
      <c r="J48" s="42">
        <v>0</v>
      </c>
      <c r="K48" s="42">
        <v>0</v>
      </c>
      <c r="L48" s="42">
        <v>0</v>
      </c>
      <c r="M48" s="42">
        <v>0</v>
      </c>
      <c r="N48" s="42">
        <v>0</v>
      </c>
    </row>
    <row r="49" spans="1:14" ht="16.5" thickTop="1" thickBot="1" x14ac:dyDescent="0.3">
      <c r="A49" s="42"/>
      <c r="B49" s="42"/>
      <c r="C49" s="42">
        <v>0</v>
      </c>
      <c r="D49" s="42">
        <v>0</v>
      </c>
      <c r="E49" s="42">
        <v>0</v>
      </c>
      <c r="F49" s="42">
        <v>0</v>
      </c>
      <c r="G49" s="42">
        <v>0</v>
      </c>
      <c r="H49" s="42">
        <v>0</v>
      </c>
      <c r="I49" s="42">
        <v>0</v>
      </c>
      <c r="J49" s="42">
        <v>0</v>
      </c>
      <c r="K49" s="42">
        <v>0</v>
      </c>
      <c r="L49" s="42">
        <v>0</v>
      </c>
      <c r="M49" s="42">
        <v>0</v>
      </c>
      <c r="N49" s="42">
        <v>0</v>
      </c>
    </row>
    <row r="50" spans="1:14" ht="16.5" thickTop="1" thickBot="1" x14ac:dyDescent="0.3">
      <c r="A50" s="42"/>
      <c r="B50" s="42"/>
      <c r="C50" s="42">
        <v>0</v>
      </c>
      <c r="D50" s="42">
        <v>0</v>
      </c>
      <c r="E50" s="42">
        <v>0</v>
      </c>
      <c r="F50" s="42">
        <v>0</v>
      </c>
      <c r="G50" s="42">
        <v>0</v>
      </c>
      <c r="H50" s="42">
        <v>0</v>
      </c>
      <c r="I50" s="42">
        <v>0</v>
      </c>
      <c r="J50" s="42">
        <v>0</v>
      </c>
      <c r="K50" s="42">
        <v>0</v>
      </c>
      <c r="L50" s="42">
        <v>0</v>
      </c>
      <c r="M50" s="42">
        <v>0</v>
      </c>
      <c r="N50" s="42">
        <v>0</v>
      </c>
    </row>
    <row r="51" spans="1:14" ht="16.5" thickTop="1" thickBot="1" x14ac:dyDescent="0.3">
      <c r="A51" s="42"/>
      <c r="B51" s="42"/>
      <c r="C51" s="42">
        <v>0</v>
      </c>
      <c r="D51" s="42">
        <v>0</v>
      </c>
      <c r="E51" s="42">
        <v>0</v>
      </c>
      <c r="F51" s="42">
        <v>0</v>
      </c>
      <c r="G51" s="42">
        <v>0</v>
      </c>
      <c r="H51" s="42">
        <v>0</v>
      </c>
      <c r="I51" s="42">
        <v>0</v>
      </c>
      <c r="J51" s="42">
        <v>0</v>
      </c>
      <c r="K51" s="42">
        <v>0</v>
      </c>
      <c r="L51" s="42">
        <v>0</v>
      </c>
      <c r="M51" s="42">
        <v>0</v>
      </c>
      <c r="N51" s="42">
        <v>0</v>
      </c>
    </row>
    <row r="52" spans="1:14" ht="16.5" thickTop="1" thickBot="1" x14ac:dyDescent="0.3">
      <c r="A52" s="42"/>
      <c r="B52" s="42"/>
      <c r="C52" s="42">
        <v>0</v>
      </c>
      <c r="D52" s="42">
        <v>0</v>
      </c>
      <c r="E52" s="42">
        <v>0</v>
      </c>
      <c r="F52" s="42">
        <v>0</v>
      </c>
      <c r="G52" s="42">
        <v>0</v>
      </c>
      <c r="H52" s="42">
        <v>0</v>
      </c>
      <c r="I52" s="42">
        <v>0</v>
      </c>
      <c r="J52" s="42">
        <v>0</v>
      </c>
      <c r="K52" s="42">
        <v>0</v>
      </c>
      <c r="L52" s="42">
        <v>0</v>
      </c>
      <c r="M52" s="42">
        <v>0</v>
      </c>
      <c r="N52" s="42">
        <v>0</v>
      </c>
    </row>
    <row r="53" spans="1:14" ht="16.5" thickTop="1" thickBot="1" x14ac:dyDescent="0.3">
      <c r="A53" s="42"/>
      <c r="B53" s="42"/>
      <c r="C53" s="42">
        <v>0</v>
      </c>
      <c r="D53" s="42">
        <v>0</v>
      </c>
      <c r="E53" s="42">
        <v>0</v>
      </c>
      <c r="F53" s="42">
        <v>0</v>
      </c>
      <c r="G53" s="42">
        <v>0</v>
      </c>
      <c r="H53" s="42">
        <v>0</v>
      </c>
      <c r="I53" s="42">
        <v>0</v>
      </c>
      <c r="J53" s="42">
        <v>0</v>
      </c>
      <c r="K53" s="42">
        <v>0</v>
      </c>
      <c r="L53" s="42">
        <v>0</v>
      </c>
      <c r="M53" s="42">
        <v>0</v>
      </c>
      <c r="N53" s="42">
        <v>0</v>
      </c>
    </row>
    <row r="54" spans="1:14" ht="16.5" thickTop="1" thickBot="1" x14ac:dyDescent="0.3">
      <c r="A54" s="42"/>
      <c r="B54" s="42"/>
      <c r="C54" s="42">
        <v>0</v>
      </c>
      <c r="D54" s="42">
        <v>0</v>
      </c>
      <c r="E54" s="42">
        <v>0</v>
      </c>
      <c r="F54" s="42">
        <v>0</v>
      </c>
      <c r="G54" s="42">
        <v>0</v>
      </c>
      <c r="H54" s="42">
        <v>0</v>
      </c>
      <c r="I54" s="42">
        <v>0</v>
      </c>
      <c r="J54" s="42">
        <v>0</v>
      </c>
      <c r="K54" s="42">
        <v>0</v>
      </c>
      <c r="L54" s="42">
        <v>0</v>
      </c>
      <c r="M54" s="42">
        <v>0</v>
      </c>
      <c r="N54" s="42">
        <v>0</v>
      </c>
    </row>
    <row r="55" spans="1:14" ht="16.5" thickTop="1" thickBot="1" x14ac:dyDescent="0.3">
      <c r="A55" s="42"/>
      <c r="B55" s="42"/>
      <c r="C55" s="42">
        <v>0</v>
      </c>
      <c r="D55" s="42">
        <v>0</v>
      </c>
      <c r="E55" s="42">
        <v>0</v>
      </c>
      <c r="F55" s="42">
        <v>0</v>
      </c>
      <c r="G55" s="42">
        <v>0</v>
      </c>
      <c r="H55" s="42">
        <v>0</v>
      </c>
      <c r="I55" s="42">
        <v>0</v>
      </c>
      <c r="J55" s="42">
        <v>0</v>
      </c>
      <c r="K55" s="42">
        <v>0</v>
      </c>
      <c r="L55" s="42">
        <v>0</v>
      </c>
      <c r="M55" s="42">
        <v>0</v>
      </c>
      <c r="N55" s="42">
        <v>0</v>
      </c>
    </row>
    <row r="56" spans="1:14" ht="16.5" thickTop="1" thickBot="1" x14ac:dyDescent="0.3">
      <c r="A56" s="42"/>
      <c r="B56" s="42"/>
      <c r="C56" s="42">
        <v>0</v>
      </c>
      <c r="D56" s="42">
        <v>0</v>
      </c>
      <c r="E56" s="42">
        <v>0</v>
      </c>
      <c r="F56" s="42">
        <v>0</v>
      </c>
      <c r="G56" s="42">
        <v>0</v>
      </c>
      <c r="H56" s="42">
        <v>0</v>
      </c>
      <c r="I56" s="42">
        <v>0</v>
      </c>
      <c r="J56" s="42">
        <v>0</v>
      </c>
      <c r="K56" s="42">
        <v>0</v>
      </c>
      <c r="L56" s="42">
        <v>0</v>
      </c>
      <c r="M56" s="42">
        <v>0</v>
      </c>
      <c r="N56" s="42">
        <v>0</v>
      </c>
    </row>
    <row r="57" spans="1:14" ht="16.5" thickTop="1" thickBot="1" x14ac:dyDescent="0.3">
      <c r="A57" s="42"/>
      <c r="B57" s="42"/>
      <c r="C57" s="42">
        <v>0</v>
      </c>
      <c r="D57" s="42">
        <v>0</v>
      </c>
      <c r="E57" s="42">
        <v>0</v>
      </c>
      <c r="F57" s="42">
        <v>0</v>
      </c>
      <c r="G57" s="42">
        <v>0</v>
      </c>
      <c r="H57" s="42">
        <v>0</v>
      </c>
      <c r="I57" s="42">
        <v>0</v>
      </c>
      <c r="J57" s="42">
        <v>0</v>
      </c>
      <c r="K57" s="42">
        <v>0</v>
      </c>
      <c r="L57" s="42">
        <v>0</v>
      </c>
      <c r="M57" s="42">
        <v>0</v>
      </c>
      <c r="N57" s="42">
        <v>0</v>
      </c>
    </row>
    <row r="58" spans="1:14" ht="16.5" thickTop="1" thickBot="1" x14ac:dyDescent="0.3">
      <c r="A58" s="42"/>
      <c r="B58" s="42"/>
      <c r="C58" s="42">
        <v>0</v>
      </c>
      <c r="D58" s="42">
        <v>0</v>
      </c>
      <c r="E58" s="42">
        <v>0</v>
      </c>
      <c r="F58" s="42">
        <v>0</v>
      </c>
      <c r="G58" s="42">
        <v>0</v>
      </c>
      <c r="H58" s="42">
        <v>0</v>
      </c>
      <c r="I58" s="42">
        <v>0</v>
      </c>
      <c r="J58" s="42">
        <v>0</v>
      </c>
      <c r="K58" s="42">
        <v>0</v>
      </c>
      <c r="L58" s="42">
        <v>0</v>
      </c>
      <c r="M58" s="42">
        <v>0</v>
      </c>
      <c r="N58" s="42">
        <v>0</v>
      </c>
    </row>
    <row r="59" spans="1:14" ht="16.5" thickTop="1" thickBot="1" x14ac:dyDescent="0.3">
      <c r="A59" s="42"/>
      <c r="B59" s="42"/>
      <c r="C59" s="42">
        <v>0</v>
      </c>
      <c r="D59" s="42">
        <v>0</v>
      </c>
      <c r="E59" s="42">
        <v>0</v>
      </c>
      <c r="F59" s="42">
        <v>0</v>
      </c>
      <c r="G59" s="42">
        <v>0</v>
      </c>
      <c r="H59" s="42">
        <v>0</v>
      </c>
      <c r="I59" s="42">
        <v>0</v>
      </c>
      <c r="J59" s="42">
        <v>0</v>
      </c>
      <c r="K59" s="42">
        <v>0</v>
      </c>
      <c r="L59" s="42">
        <v>0</v>
      </c>
      <c r="M59" s="42">
        <v>0</v>
      </c>
      <c r="N59" s="42">
        <v>0</v>
      </c>
    </row>
    <row r="60" spans="1:14" ht="16.5" thickTop="1" thickBot="1" x14ac:dyDescent="0.3">
      <c r="A60" s="42"/>
      <c r="B60" s="42"/>
      <c r="C60" s="42">
        <v>0</v>
      </c>
      <c r="D60" s="42">
        <v>0</v>
      </c>
      <c r="E60" s="42">
        <v>0</v>
      </c>
      <c r="F60" s="42">
        <v>0</v>
      </c>
      <c r="G60" s="42">
        <v>0</v>
      </c>
      <c r="H60" s="42">
        <v>0</v>
      </c>
      <c r="I60" s="42">
        <v>0</v>
      </c>
      <c r="J60" s="42">
        <v>0</v>
      </c>
      <c r="K60" s="42">
        <v>0</v>
      </c>
      <c r="L60" s="42">
        <v>0</v>
      </c>
      <c r="M60" s="42">
        <v>0</v>
      </c>
      <c r="N60" s="42">
        <v>0</v>
      </c>
    </row>
    <row r="61" spans="1:14" ht="16.5" thickTop="1" thickBot="1" x14ac:dyDescent="0.3">
      <c r="A61" s="42"/>
      <c r="B61" s="42"/>
      <c r="C61" s="42">
        <v>0</v>
      </c>
      <c r="D61" s="42">
        <v>0</v>
      </c>
      <c r="E61" s="42">
        <v>0</v>
      </c>
      <c r="F61" s="42">
        <v>0</v>
      </c>
      <c r="G61" s="42">
        <v>0</v>
      </c>
      <c r="H61" s="42">
        <v>0</v>
      </c>
      <c r="I61" s="42">
        <v>0</v>
      </c>
      <c r="J61" s="42">
        <v>0</v>
      </c>
      <c r="K61" s="42">
        <v>0</v>
      </c>
      <c r="L61" s="42">
        <v>0</v>
      </c>
      <c r="M61" s="42">
        <v>0</v>
      </c>
      <c r="N61" s="42">
        <v>0</v>
      </c>
    </row>
    <row r="62" spans="1:14" ht="16.5" thickTop="1" thickBot="1" x14ac:dyDescent="0.3">
      <c r="A62" s="42"/>
      <c r="B62" s="42"/>
      <c r="C62" s="42">
        <v>0</v>
      </c>
      <c r="D62" s="42">
        <v>0</v>
      </c>
      <c r="E62" s="42">
        <v>0</v>
      </c>
      <c r="F62" s="42">
        <v>0</v>
      </c>
      <c r="G62" s="42">
        <v>0</v>
      </c>
      <c r="H62" s="42">
        <v>0</v>
      </c>
      <c r="I62" s="42">
        <v>0</v>
      </c>
      <c r="J62" s="42">
        <v>0</v>
      </c>
      <c r="K62" s="42">
        <v>0</v>
      </c>
      <c r="L62" s="42">
        <v>0</v>
      </c>
      <c r="M62" s="42">
        <v>0</v>
      </c>
      <c r="N62" s="42">
        <v>0</v>
      </c>
    </row>
    <row r="63" spans="1:14" ht="16.5" thickTop="1" thickBot="1" x14ac:dyDescent="0.3">
      <c r="A63" s="42"/>
      <c r="B63" s="42"/>
      <c r="C63" s="42">
        <v>0</v>
      </c>
      <c r="D63" s="42">
        <v>0</v>
      </c>
      <c r="E63" s="42">
        <v>0</v>
      </c>
      <c r="F63" s="42">
        <v>0</v>
      </c>
      <c r="G63" s="42">
        <v>0</v>
      </c>
      <c r="H63" s="42">
        <v>0</v>
      </c>
      <c r="I63" s="42">
        <v>0</v>
      </c>
      <c r="J63" s="42">
        <v>0</v>
      </c>
      <c r="K63" s="42">
        <v>0</v>
      </c>
      <c r="L63" s="42">
        <v>0</v>
      </c>
      <c r="M63" s="42">
        <v>0</v>
      </c>
      <c r="N63" s="42">
        <v>0</v>
      </c>
    </row>
    <row r="64" spans="1:14" ht="16.5" thickTop="1" thickBot="1" x14ac:dyDescent="0.3">
      <c r="A64" s="42"/>
      <c r="B64" s="42"/>
      <c r="C64" s="42">
        <v>0</v>
      </c>
      <c r="D64" s="42">
        <v>0</v>
      </c>
      <c r="E64" s="42">
        <v>0</v>
      </c>
      <c r="F64" s="42">
        <v>0</v>
      </c>
      <c r="G64" s="42">
        <v>0</v>
      </c>
      <c r="H64" s="42">
        <v>0</v>
      </c>
      <c r="I64" s="42">
        <v>0</v>
      </c>
      <c r="J64" s="42">
        <v>0</v>
      </c>
      <c r="K64" s="42">
        <v>0</v>
      </c>
      <c r="L64" s="42">
        <v>0</v>
      </c>
      <c r="M64" s="42">
        <v>0</v>
      </c>
      <c r="N64" s="42">
        <v>0</v>
      </c>
    </row>
    <row r="65" spans="1:14" ht="16.5" thickTop="1" thickBot="1" x14ac:dyDescent="0.3">
      <c r="A65" s="42"/>
      <c r="B65" s="42"/>
      <c r="C65" s="42">
        <v>0</v>
      </c>
      <c r="D65" s="42">
        <v>0</v>
      </c>
      <c r="E65" s="42">
        <v>0</v>
      </c>
      <c r="F65" s="42">
        <v>0</v>
      </c>
      <c r="G65" s="42">
        <v>0</v>
      </c>
      <c r="H65" s="42">
        <v>0</v>
      </c>
      <c r="I65" s="42">
        <v>0</v>
      </c>
      <c r="J65" s="42">
        <v>0</v>
      </c>
      <c r="K65" s="42">
        <v>0</v>
      </c>
      <c r="L65" s="42">
        <v>0</v>
      </c>
      <c r="M65" s="42">
        <v>0</v>
      </c>
      <c r="N65" s="42">
        <v>0</v>
      </c>
    </row>
    <row r="66" spans="1:14" ht="16.5" thickTop="1" thickBot="1" x14ac:dyDescent="0.3">
      <c r="A66" s="42"/>
      <c r="B66" s="42"/>
      <c r="C66" s="42">
        <v>0</v>
      </c>
      <c r="D66" s="42">
        <v>0</v>
      </c>
      <c r="E66" s="42">
        <v>0</v>
      </c>
      <c r="F66" s="42">
        <v>0</v>
      </c>
      <c r="G66" s="42">
        <v>0</v>
      </c>
      <c r="H66" s="42">
        <v>0</v>
      </c>
      <c r="I66" s="42">
        <v>0</v>
      </c>
      <c r="J66" s="42">
        <v>0</v>
      </c>
      <c r="K66" s="42">
        <v>0</v>
      </c>
      <c r="L66" s="42">
        <v>0</v>
      </c>
      <c r="M66" s="42">
        <v>0</v>
      </c>
      <c r="N66" s="42">
        <v>0</v>
      </c>
    </row>
    <row r="67" spans="1:14" ht="16.5" thickTop="1" thickBot="1" x14ac:dyDescent="0.3">
      <c r="A67" s="42"/>
      <c r="B67" s="42"/>
      <c r="C67" s="42">
        <v>0</v>
      </c>
      <c r="D67" s="42">
        <v>0</v>
      </c>
      <c r="E67" s="42">
        <v>0</v>
      </c>
      <c r="F67" s="42">
        <v>0</v>
      </c>
      <c r="G67" s="42">
        <v>0</v>
      </c>
      <c r="H67" s="42">
        <v>0</v>
      </c>
      <c r="I67" s="42">
        <v>0</v>
      </c>
      <c r="J67" s="42">
        <v>0</v>
      </c>
      <c r="K67" s="42">
        <v>0</v>
      </c>
      <c r="L67" s="42">
        <v>0</v>
      </c>
      <c r="M67" s="42">
        <v>0</v>
      </c>
      <c r="N67" s="42">
        <v>0</v>
      </c>
    </row>
    <row r="68" spans="1:14" ht="16.5" thickTop="1" thickBot="1" x14ac:dyDescent="0.3">
      <c r="A68" s="42"/>
      <c r="B68" s="42"/>
      <c r="C68" s="42">
        <v>0</v>
      </c>
      <c r="D68" s="42">
        <v>0</v>
      </c>
      <c r="E68" s="42">
        <v>0</v>
      </c>
      <c r="F68" s="42">
        <v>0</v>
      </c>
      <c r="G68" s="42">
        <v>0</v>
      </c>
      <c r="H68" s="42">
        <v>0</v>
      </c>
      <c r="I68" s="42">
        <v>0</v>
      </c>
      <c r="J68" s="42">
        <v>0</v>
      </c>
      <c r="K68" s="42">
        <v>0</v>
      </c>
      <c r="L68" s="42">
        <v>0</v>
      </c>
      <c r="M68" s="42">
        <v>0</v>
      </c>
      <c r="N68" s="42">
        <v>0</v>
      </c>
    </row>
    <row r="69" spans="1:14" ht="16.5" thickTop="1" thickBot="1" x14ac:dyDescent="0.3">
      <c r="A69" s="42"/>
      <c r="B69" s="42"/>
      <c r="C69" s="42">
        <v>0</v>
      </c>
      <c r="D69" s="42">
        <v>0</v>
      </c>
      <c r="E69" s="42">
        <v>0</v>
      </c>
      <c r="F69" s="42">
        <v>0</v>
      </c>
      <c r="G69" s="42">
        <v>0</v>
      </c>
      <c r="H69" s="42">
        <v>0</v>
      </c>
      <c r="I69" s="42">
        <v>0</v>
      </c>
      <c r="J69" s="42">
        <v>0</v>
      </c>
      <c r="K69" s="42">
        <v>0</v>
      </c>
      <c r="L69" s="42">
        <v>0</v>
      </c>
      <c r="M69" s="42">
        <v>0</v>
      </c>
      <c r="N69" s="42">
        <v>0</v>
      </c>
    </row>
    <row r="70" spans="1:14" ht="16.5" thickTop="1" thickBot="1" x14ac:dyDescent="0.3">
      <c r="A70" s="42"/>
      <c r="B70" s="42"/>
      <c r="C70" s="42">
        <v>0</v>
      </c>
      <c r="D70" s="42">
        <v>0</v>
      </c>
      <c r="E70" s="42">
        <v>0</v>
      </c>
      <c r="F70" s="42">
        <v>0</v>
      </c>
      <c r="G70" s="42">
        <v>0</v>
      </c>
      <c r="H70" s="42">
        <v>0</v>
      </c>
      <c r="I70" s="42">
        <v>0</v>
      </c>
      <c r="J70" s="42">
        <v>0</v>
      </c>
      <c r="K70" s="42">
        <v>0</v>
      </c>
      <c r="L70" s="42">
        <v>0</v>
      </c>
      <c r="M70" s="42">
        <v>0</v>
      </c>
      <c r="N70" s="42">
        <v>0</v>
      </c>
    </row>
    <row r="71" spans="1:14" ht="16.5" thickTop="1" thickBot="1" x14ac:dyDescent="0.3">
      <c r="A71" s="42"/>
      <c r="B71" s="42"/>
      <c r="C71" s="42">
        <v>0</v>
      </c>
      <c r="D71" s="42">
        <v>0</v>
      </c>
      <c r="E71" s="42">
        <v>0</v>
      </c>
      <c r="F71" s="42">
        <v>0</v>
      </c>
      <c r="G71" s="42">
        <v>0</v>
      </c>
      <c r="H71" s="42">
        <v>0</v>
      </c>
      <c r="I71" s="42">
        <v>0</v>
      </c>
      <c r="J71" s="42">
        <v>0</v>
      </c>
      <c r="K71" s="42">
        <v>0</v>
      </c>
      <c r="L71" s="42">
        <v>0</v>
      </c>
      <c r="M71" s="42">
        <v>0</v>
      </c>
      <c r="N71" s="42">
        <v>0</v>
      </c>
    </row>
    <row r="72" spans="1:14" ht="16.5" thickTop="1" thickBot="1" x14ac:dyDescent="0.3">
      <c r="A72" s="42"/>
      <c r="B72" s="42"/>
      <c r="C72" s="42">
        <v>0</v>
      </c>
      <c r="D72" s="42">
        <v>0</v>
      </c>
      <c r="E72" s="42">
        <v>0</v>
      </c>
      <c r="F72" s="42">
        <v>0</v>
      </c>
      <c r="G72" s="42">
        <v>0</v>
      </c>
      <c r="H72" s="42">
        <v>0</v>
      </c>
      <c r="I72" s="42">
        <v>0</v>
      </c>
      <c r="J72" s="42">
        <v>0</v>
      </c>
      <c r="K72" s="42">
        <v>0</v>
      </c>
      <c r="L72" s="42">
        <v>0</v>
      </c>
      <c r="M72" s="42">
        <v>0</v>
      </c>
      <c r="N72" s="42">
        <v>0</v>
      </c>
    </row>
    <row r="73" spans="1:14" ht="16.5" thickTop="1" thickBot="1" x14ac:dyDescent="0.3">
      <c r="A73" s="42"/>
      <c r="B73" s="42"/>
      <c r="C73" s="42">
        <v>0</v>
      </c>
      <c r="D73" s="42">
        <v>0</v>
      </c>
      <c r="E73" s="42">
        <v>0</v>
      </c>
      <c r="F73" s="42">
        <v>0</v>
      </c>
      <c r="G73" s="42">
        <v>0</v>
      </c>
      <c r="H73" s="42">
        <v>0</v>
      </c>
      <c r="I73" s="42">
        <v>0</v>
      </c>
      <c r="J73" s="42">
        <v>0</v>
      </c>
      <c r="K73" s="42">
        <v>0</v>
      </c>
      <c r="L73" s="42">
        <v>0</v>
      </c>
      <c r="M73" s="42">
        <v>0</v>
      </c>
      <c r="N73" s="42">
        <v>0</v>
      </c>
    </row>
    <row r="74" spans="1:14" ht="16.5" thickTop="1" thickBot="1" x14ac:dyDescent="0.3">
      <c r="A74" s="42"/>
      <c r="B74" s="42"/>
      <c r="C74" s="42">
        <v>0</v>
      </c>
      <c r="D74" s="42">
        <v>0</v>
      </c>
      <c r="E74" s="42">
        <v>0</v>
      </c>
      <c r="F74" s="42">
        <v>0</v>
      </c>
      <c r="G74" s="42">
        <v>0</v>
      </c>
      <c r="H74" s="42">
        <v>0</v>
      </c>
      <c r="I74" s="42">
        <v>0</v>
      </c>
      <c r="J74" s="42">
        <v>0</v>
      </c>
      <c r="K74" s="42">
        <v>0</v>
      </c>
      <c r="L74" s="42">
        <v>0</v>
      </c>
      <c r="M74" s="42">
        <v>0</v>
      </c>
      <c r="N74" s="42">
        <v>0</v>
      </c>
    </row>
    <row r="75" spans="1:14" ht="16.5" thickTop="1" thickBot="1" x14ac:dyDescent="0.3">
      <c r="A75" s="42"/>
      <c r="B75" s="42"/>
      <c r="C75" s="42">
        <v>0</v>
      </c>
      <c r="D75" s="42">
        <v>0</v>
      </c>
      <c r="E75" s="42">
        <v>0</v>
      </c>
      <c r="F75" s="42">
        <v>0</v>
      </c>
      <c r="G75" s="42">
        <v>0</v>
      </c>
      <c r="H75" s="42">
        <v>0</v>
      </c>
      <c r="I75" s="42">
        <v>0</v>
      </c>
      <c r="J75" s="42">
        <v>0</v>
      </c>
      <c r="K75" s="42">
        <v>0</v>
      </c>
      <c r="L75" s="42">
        <v>0</v>
      </c>
      <c r="M75" s="42">
        <v>0</v>
      </c>
      <c r="N75" s="42">
        <v>0</v>
      </c>
    </row>
    <row r="76" spans="1:14" ht="16.5" thickTop="1" thickBot="1" x14ac:dyDescent="0.3">
      <c r="A76" s="42"/>
      <c r="B76" s="42"/>
      <c r="C76" s="42">
        <v>0</v>
      </c>
      <c r="D76" s="42">
        <v>0</v>
      </c>
      <c r="E76" s="42">
        <v>0</v>
      </c>
      <c r="F76" s="42">
        <v>0</v>
      </c>
      <c r="G76" s="42">
        <v>0</v>
      </c>
      <c r="H76" s="42">
        <v>0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</row>
    <row r="77" spans="1:14" ht="16.5" thickTop="1" thickBot="1" x14ac:dyDescent="0.3">
      <c r="A77" s="42"/>
      <c r="B77" s="42"/>
      <c r="C77" s="42">
        <v>0</v>
      </c>
      <c r="D77" s="42">
        <v>0</v>
      </c>
      <c r="E77" s="42">
        <v>0</v>
      </c>
      <c r="F77" s="42">
        <v>0</v>
      </c>
      <c r="G77" s="42">
        <v>0</v>
      </c>
      <c r="H77" s="42">
        <v>0</v>
      </c>
      <c r="I77" s="42">
        <v>0</v>
      </c>
      <c r="J77" s="42">
        <v>0</v>
      </c>
      <c r="K77" s="42">
        <v>0</v>
      </c>
      <c r="L77" s="42">
        <v>0</v>
      </c>
      <c r="M77" s="42">
        <v>0</v>
      </c>
      <c r="N77" s="42">
        <v>0</v>
      </c>
    </row>
    <row r="78" spans="1:14" ht="16.5" thickTop="1" thickBot="1" x14ac:dyDescent="0.3">
      <c r="A78" s="42"/>
      <c r="B78" s="42"/>
      <c r="C78" s="42">
        <v>0</v>
      </c>
      <c r="D78" s="42">
        <v>0</v>
      </c>
      <c r="E78" s="42">
        <v>0</v>
      </c>
      <c r="F78" s="42">
        <v>0</v>
      </c>
      <c r="G78" s="42">
        <v>0</v>
      </c>
      <c r="H78" s="42">
        <v>0</v>
      </c>
      <c r="I78" s="42">
        <v>0</v>
      </c>
      <c r="J78" s="42">
        <v>0</v>
      </c>
      <c r="K78" s="42">
        <v>0</v>
      </c>
      <c r="L78" s="42">
        <v>0</v>
      </c>
      <c r="M78" s="42">
        <v>0</v>
      </c>
      <c r="N78" s="42">
        <v>0</v>
      </c>
    </row>
    <row r="79" spans="1:14" ht="16.5" thickTop="1" thickBot="1" x14ac:dyDescent="0.3">
      <c r="A79" s="42"/>
      <c r="B79" s="42"/>
      <c r="C79" s="42">
        <v>0</v>
      </c>
      <c r="D79" s="42">
        <v>0</v>
      </c>
      <c r="E79" s="42">
        <v>0</v>
      </c>
      <c r="F79" s="42">
        <v>0</v>
      </c>
      <c r="G79" s="42">
        <v>0</v>
      </c>
      <c r="H79" s="42">
        <v>0</v>
      </c>
      <c r="I79" s="42">
        <v>0</v>
      </c>
      <c r="J79" s="42">
        <v>0</v>
      </c>
      <c r="K79" s="42">
        <v>0</v>
      </c>
      <c r="L79" s="42">
        <v>0</v>
      </c>
      <c r="M79" s="42">
        <v>0</v>
      </c>
      <c r="N79" s="42">
        <v>0</v>
      </c>
    </row>
    <row r="80" spans="1:14" ht="16.5" thickTop="1" thickBot="1" x14ac:dyDescent="0.3">
      <c r="A80" s="42"/>
      <c r="B80" s="42"/>
      <c r="C80" s="42">
        <v>0</v>
      </c>
      <c r="D80" s="42">
        <v>0</v>
      </c>
      <c r="E80" s="42">
        <v>0</v>
      </c>
      <c r="F80" s="42">
        <v>0</v>
      </c>
      <c r="G80" s="42">
        <v>0</v>
      </c>
      <c r="H80" s="42">
        <v>0</v>
      </c>
      <c r="I80" s="42">
        <v>0</v>
      </c>
      <c r="J80" s="42">
        <v>0</v>
      </c>
      <c r="K80" s="42">
        <v>0</v>
      </c>
      <c r="L80" s="42">
        <v>0</v>
      </c>
      <c r="M80" s="42">
        <v>0</v>
      </c>
      <c r="N80" s="42">
        <v>0</v>
      </c>
    </row>
    <row r="81" spans="1:14" ht="16.5" thickTop="1" thickBot="1" x14ac:dyDescent="0.3">
      <c r="A81" s="42"/>
      <c r="B81" s="42"/>
      <c r="C81" s="42">
        <v>0</v>
      </c>
      <c r="D81" s="42">
        <v>0</v>
      </c>
      <c r="E81" s="42">
        <v>0</v>
      </c>
      <c r="F81" s="42">
        <v>0</v>
      </c>
      <c r="G81" s="42">
        <v>0</v>
      </c>
      <c r="H81" s="42">
        <v>0</v>
      </c>
      <c r="I81" s="42">
        <v>0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</row>
    <row r="82" spans="1:14" ht="16.5" thickTop="1" thickBot="1" x14ac:dyDescent="0.3">
      <c r="A82" s="42"/>
      <c r="B82" s="42"/>
      <c r="C82" s="42">
        <v>0</v>
      </c>
      <c r="D82" s="42">
        <v>0</v>
      </c>
      <c r="E82" s="42">
        <v>0</v>
      </c>
      <c r="F82" s="42">
        <v>0</v>
      </c>
      <c r="G82" s="42">
        <v>0</v>
      </c>
      <c r="H82" s="42">
        <v>0</v>
      </c>
      <c r="I82" s="42">
        <v>0</v>
      </c>
      <c r="J82" s="42">
        <v>0</v>
      </c>
      <c r="K82" s="42">
        <v>0</v>
      </c>
      <c r="L82" s="42">
        <v>0</v>
      </c>
      <c r="M82" s="42">
        <v>0</v>
      </c>
      <c r="N82" s="42">
        <v>0</v>
      </c>
    </row>
    <row r="83" spans="1:14" ht="16.5" thickTop="1" thickBot="1" x14ac:dyDescent="0.3">
      <c r="A83" s="42"/>
      <c r="B83" s="42"/>
      <c r="C83" s="42">
        <v>0</v>
      </c>
      <c r="D83" s="42">
        <v>0</v>
      </c>
      <c r="E83" s="42">
        <v>0</v>
      </c>
      <c r="F83" s="42">
        <v>0</v>
      </c>
      <c r="G83" s="42">
        <v>0</v>
      </c>
      <c r="H83" s="42">
        <v>0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0</v>
      </c>
    </row>
    <row r="84" spans="1:14" ht="16.5" thickTop="1" thickBot="1" x14ac:dyDescent="0.3">
      <c r="A84" s="42"/>
      <c r="B84" s="42"/>
      <c r="C84" s="42">
        <v>0</v>
      </c>
      <c r="D84" s="42">
        <v>0</v>
      </c>
      <c r="E84" s="42">
        <v>0</v>
      </c>
      <c r="F84" s="42">
        <v>0</v>
      </c>
      <c r="G84" s="42">
        <v>0</v>
      </c>
      <c r="H84" s="42">
        <v>0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</row>
    <row r="85" spans="1:14" ht="16.5" thickTop="1" thickBot="1" x14ac:dyDescent="0.3">
      <c r="A85" s="42"/>
      <c r="B85" s="42"/>
      <c r="C85" s="42">
        <v>0</v>
      </c>
      <c r="D85" s="42">
        <v>0</v>
      </c>
      <c r="E85" s="42">
        <v>0</v>
      </c>
      <c r="F85" s="42">
        <v>0</v>
      </c>
      <c r="G85" s="42">
        <v>0</v>
      </c>
      <c r="H85" s="42">
        <v>0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</row>
    <row r="86" spans="1:14" ht="16.5" thickTop="1" thickBot="1" x14ac:dyDescent="0.3">
      <c r="A86" s="42"/>
      <c r="B86" s="42"/>
      <c r="C86" s="42">
        <v>0</v>
      </c>
      <c r="D86" s="42">
        <v>0</v>
      </c>
      <c r="E86" s="42">
        <v>0</v>
      </c>
      <c r="F86" s="42">
        <v>0</v>
      </c>
      <c r="G86" s="42">
        <v>0</v>
      </c>
      <c r="H86" s="42">
        <v>0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</row>
    <row r="87" spans="1:14" ht="16.5" thickTop="1" thickBot="1" x14ac:dyDescent="0.3">
      <c r="A87" s="42"/>
      <c r="B87" s="42"/>
      <c r="C87" s="42">
        <v>0</v>
      </c>
      <c r="D87" s="42">
        <v>0</v>
      </c>
      <c r="E87" s="42">
        <v>0</v>
      </c>
      <c r="F87" s="42">
        <v>0</v>
      </c>
      <c r="G87" s="42">
        <v>0</v>
      </c>
      <c r="H87" s="42">
        <v>0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</row>
    <row r="88" spans="1:14" ht="16.5" thickTop="1" thickBot="1" x14ac:dyDescent="0.3">
      <c r="A88" s="42"/>
      <c r="B88" s="42"/>
      <c r="C88" s="42">
        <v>0</v>
      </c>
      <c r="D88" s="42">
        <v>0</v>
      </c>
      <c r="E88" s="42">
        <v>0</v>
      </c>
      <c r="F88" s="42">
        <v>0</v>
      </c>
      <c r="G88" s="42">
        <v>0</v>
      </c>
      <c r="H88" s="42">
        <v>0</v>
      </c>
      <c r="I88" s="42">
        <v>0</v>
      </c>
      <c r="J88" s="42">
        <v>0</v>
      </c>
      <c r="K88" s="42">
        <v>0</v>
      </c>
      <c r="L88" s="42">
        <v>0</v>
      </c>
      <c r="M88" s="42">
        <v>0</v>
      </c>
      <c r="N88" s="42">
        <v>0</v>
      </c>
    </row>
    <row r="89" spans="1:14" ht="16.5" thickTop="1" thickBot="1" x14ac:dyDescent="0.3">
      <c r="A89" s="42"/>
      <c r="B89" s="42"/>
      <c r="C89" s="42">
        <v>0</v>
      </c>
      <c r="D89" s="42">
        <v>0</v>
      </c>
      <c r="E89" s="42">
        <v>0</v>
      </c>
      <c r="F89" s="42">
        <v>0</v>
      </c>
      <c r="G89" s="42">
        <v>0</v>
      </c>
      <c r="H89" s="42">
        <v>0</v>
      </c>
      <c r="I89" s="42">
        <v>0</v>
      </c>
      <c r="J89" s="42">
        <v>0</v>
      </c>
      <c r="K89" s="42">
        <v>0</v>
      </c>
      <c r="L89" s="42">
        <v>0</v>
      </c>
      <c r="M89" s="42">
        <v>0</v>
      </c>
      <c r="N89" s="42">
        <v>0</v>
      </c>
    </row>
    <row r="90" spans="1:14" ht="16.5" thickTop="1" thickBot="1" x14ac:dyDescent="0.3">
      <c r="A90" s="42"/>
      <c r="B90" s="42"/>
      <c r="C90" s="42">
        <v>0</v>
      </c>
      <c r="D90" s="42">
        <v>0</v>
      </c>
      <c r="E90" s="42">
        <v>0</v>
      </c>
      <c r="F90" s="42">
        <v>0</v>
      </c>
      <c r="G90" s="42">
        <v>0</v>
      </c>
      <c r="H90" s="42">
        <v>0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0</v>
      </c>
    </row>
    <row r="91" spans="1:14" ht="16.5" thickTop="1" thickBot="1" x14ac:dyDescent="0.3">
      <c r="A91" s="42"/>
      <c r="B91" s="42"/>
      <c r="C91" s="42">
        <v>0</v>
      </c>
      <c r="D91" s="42">
        <v>0</v>
      </c>
      <c r="E91" s="42">
        <v>0</v>
      </c>
      <c r="F91" s="42">
        <v>0</v>
      </c>
      <c r="G91" s="42">
        <v>0</v>
      </c>
      <c r="H91" s="42">
        <v>0</v>
      </c>
      <c r="I91" s="42">
        <v>0</v>
      </c>
      <c r="J91" s="42">
        <v>0</v>
      </c>
      <c r="K91" s="42">
        <v>0</v>
      </c>
      <c r="L91" s="42">
        <v>0</v>
      </c>
      <c r="M91" s="42">
        <v>0</v>
      </c>
      <c r="N91" s="42">
        <v>0</v>
      </c>
    </row>
    <row r="92" spans="1:14" ht="16.5" thickTop="1" thickBot="1" x14ac:dyDescent="0.3">
      <c r="A92" s="42"/>
      <c r="B92" s="42"/>
      <c r="C92" s="42">
        <v>0</v>
      </c>
      <c r="D92" s="42">
        <v>0</v>
      </c>
      <c r="E92" s="42">
        <v>0</v>
      </c>
      <c r="F92" s="42">
        <v>0</v>
      </c>
      <c r="G92" s="42">
        <v>0</v>
      </c>
      <c r="H92" s="42">
        <v>0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</row>
    <row r="93" spans="1:14" ht="16.5" thickTop="1" thickBot="1" x14ac:dyDescent="0.3">
      <c r="A93" s="42"/>
      <c r="B93" s="42"/>
      <c r="C93" s="42">
        <v>0</v>
      </c>
      <c r="D93" s="42">
        <v>0</v>
      </c>
      <c r="E93" s="42">
        <v>0</v>
      </c>
      <c r="F93" s="42">
        <v>0</v>
      </c>
      <c r="G93" s="42">
        <v>0</v>
      </c>
      <c r="H93" s="42">
        <v>0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</row>
    <row r="94" spans="1:14" ht="16.5" thickTop="1" thickBot="1" x14ac:dyDescent="0.3">
      <c r="A94" s="42"/>
      <c r="B94" s="42"/>
      <c r="C94" s="42">
        <v>0</v>
      </c>
      <c r="D94" s="42">
        <v>0</v>
      </c>
      <c r="E94" s="42">
        <v>0</v>
      </c>
      <c r="F94" s="42">
        <v>0</v>
      </c>
      <c r="G94" s="42">
        <v>0</v>
      </c>
      <c r="H94" s="42">
        <v>0</v>
      </c>
      <c r="I94" s="42">
        <v>0</v>
      </c>
      <c r="J94" s="42">
        <v>0</v>
      </c>
      <c r="K94" s="42">
        <v>0</v>
      </c>
      <c r="L94" s="42">
        <v>0</v>
      </c>
      <c r="M94" s="42">
        <v>0</v>
      </c>
      <c r="N94" s="42">
        <v>0</v>
      </c>
    </row>
    <row r="95" spans="1:14" ht="16.5" thickTop="1" thickBot="1" x14ac:dyDescent="0.3">
      <c r="A95" s="42"/>
      <c r="B95" s="42"/>
      <c r="C95" s="42">
        <v>0</v>
      </c>
      <c r="D95" s="42">
        <v>0</v>
      </c>
      <c r="E95" s="42">
        <v>0</v>
      </c>
      <c r="F95" s="42">
        <v>0</v>
      </c>
      <c r="G95" s="42">
        <v>0</v>
      </c>
      <c r="H95" s="42">
        <v>0</v>
      </c>
      <c r="I95" s="42">
        <v>0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</row>
    <row r="96" spans="1:14" ht="15.75" thickTop="1" x14ac:dyDescent="0.25"/>
  </sheetData>
  <conditionalFormatting sqref="A2:B18">
    <cfRule type="expression" dxfId="16" priority="5">
      <formula>AND($A2&lt;&gt;"",$E2="INACTIVE")</formula>
    </cfRule>
  </conditionalFormatting>
  <conditionalFormatting sqref="A19">
    <cfRule type="expression" dxfId="15" priority="4">
      <formula>AND($A19&lt;&gt;"",$F19="INACTIVE")</formula>
    </cfRule>
  </conditionalFormatting>
  <conditionalFormatting sqref="A20:B20">
    <cfRule type="expression" dxfId="14" priority="3">
      <formula>AND($A20&lt;&gt;"",$F20="INACTIVE")</formula>
    </cfRule>
  </conditionalFormatting>
  <conditionalFormatting sqref="A39:B39 A21:B21">
    <cfRule type="expression" dxfId="13" priority="2">
      <formula>AND($A21&lt;&gt;"",$E21="INACTIVE")</formula>
    </cfRule>
  </conditionalFormatting>
  <conditionalFormatting sqref="B31">
    <cfRule type="expression" dxfId="12" priority="1">
      <formula>AND($A31&lt;&gt;"",$F31="INACTIVE")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FF00FF"/>
  </sheetPr>
  <dimension ref="A1:AR101"/>
  <sheetViews>
    <sheetView zoomScaleNormal="100" zoomScaleSheetLayoutView="100" workbookViewId="0">
      <pane xSplit="2" ySplit="3" topLeftCell="U4" activePane="bottomRight" state="frozen"/>
      <selection pane="topRight" activeCell="C1" sqref="C1"/>
      <selection pane="bottomLeft" activeCell="A4" sqref="A4"/>
      <selection pane="bottomRight" activeCell="Z10" sqref="Z10"/>
    </sheetView>
  </sheetViews>
  <sheetFormatPr defaultColWidth="9.140625" defaultRowHeight="15" x14ac:dyDescent="0.25"/>
  <cols>
    <col min="1" max="1" width="12.140625" bestFit="1" customWidth="1"/>
    <col min="2" max="2" width="20.5703125" bestFit="1" customWidth="1"/>
    <col min="3" max="3" width="13.28515625" bestFit="1" customWidth="1"/>
    <col min="4" max="4" width="10.7109375" bestFit="1" customWidth="1"/>
    <col min="5" max="8" width="6.28515625" bestFit="1" customWidth="1"/>
    <col min="9" max="9" width="11.7109375" bestFit="1" customWidth="1"/>
    <col min="10" max="10" width="11.5703125" bestFit="1" customWidth="1"/>
    <col min="11" max="12" width="6.140625" customWidth="1"/>
    <col min="13" max="13" width="10.7109375" bestFit="1" customWidth="1"/>
    <col min="14" max="15" width="6.140625" customWidth="1"/>
    <col min="16" max="16" width="11.7109375" bestFit="1" customWidth="1"/>
    <col min="17" max="17" width="10.5703125" bestFit="1" customWidth="1"/>
    <col min="18" max="18" width="20.7109375" style="2" bestFit="1" customWidth="1"/>
    <col min="19" max="20" width="10.7109375" style="2" bestFit="1" customWidth="1"/>
    <col min="21" max="22" width="10.5703125" style="2" customWidth="1"/>
    <col min="23" max="23" width="12.7109375" style="2" customWidth="1"/>
    <col min="24" max="27" width="10.5703125" style="2" customWidth="1"/>
    <col min="28" max="28" width="10.7109375" style="2" bestFit="1" customWidth="1"/>
    <col min="29" max="29" width="11.42578125" style="2" customWidth="1"/>
    <col min="30" max="31" width="11.7109375" style="2" bestFit="1" customWidth="1"/>
    <col min="32" max="32" width="13.28515625" style="2" bestFit="1" customWidth="1"/>
    <col min="33" max="40" width="10.5703125" style="93" customWidth="1"/>
    <col min="41" max="41" width="11.5703125" style="93" customWidth="1"/>
    <col min="42" max="42" width="11.28515625" style="93" bestFit="1" customWidth="1"/>
    <col min="43" max="53" width="6.140625" style="93" customWidth="1"/>
    <col min="54" max="16384" width="9.140625" style="93"/>
  </cols>
  <sheetData>
    <row r="1" spans="1:44" ht="15.75" thickBot="1" x14ac:dyDescent="0.3">
      <c r="S1"/>
      <c r="AQ1" s="121"/>
    </row>
    <row r="2" spans="1:44" ht="16.5" customHeight="1" thickTop="1" thickBot="1" x14ac:dyDescent="0.3">
      <c r="A2" s="320" t="s">
        <v>174</v>
      </c>
      <c r="B2" s="320" t="s">
        <v>11</v>
      </c>
      <c r="C2" s="322" t="s">
        <v>186</v>
      </c>
      <c r="D2" s="323" t="s">
        <v>184</v>
      </c>
      <c r="E2" s="324"/>
      <c r="F2" s="324"/>
      <c r="G2" s="324"/>
      <c r="H2" s="324"/>
      <c r="I2" s="324"/>
      <c r="J2" s="324"/>
      <c r="K2" s="324"/>
      <c r="L2" s="324"/>
      <c r="M2" s="324"/>
      <c r="N2" s="324"/>
      <c r="O2" s="324"/>
      <c r="P2" s="324"/>
      <c r="Q2" s="127"/>
      <c r="R2" s="125"/>
      <c r="S2" s="324" t="s">
        <v>185</v>
      </c>
      <c r="T2" s="324"/>
      <c r="U2" s="324"/>
      <c r="V2" s="324"/>
      <c r="W2" s="324"/>
      <c r="X2" s="324"/>
      <c r="Y2" s="324"/>
      <c r="Z2" s="324"/>
      <c r="AA2" s="324"/>
      <c r="AB2" s="324"/>
      <c r="AC2" s="324"/>
      <c r="AD2" s="324"/>
      <c r="AE2" s="325"/>
      <c r="AF2" s="319" t="s">
        <v>183</v>
      </c>
    </row>
    <row r="3" spans="1:44" ht="41.25" thickTop="1" thickBot="1" x14ac:dyDescent="0.3">
      <c r="A3" s="321"/>
      <c r="B3" s="321"/>
      <c r="C3" s="321"/>
      <c r="D3" s="113">
        <v>44287</v>
      </c>
      <c r="E3" s="113">
        <v>44317</v>
      </c>
      <c r="F3" s="113">
        <v>44348</v>
      </c>
      <c r="G3" s="113">
        <v>44378</v>
      </c>
      <c r="H3" s="113">
        <v>44409</v>
      </c>
      <c r="I3" s="113">
        <v>44440</v>
      </c>
      <c r="J3" s="113">
        <v>44470</v>
      </c>
      <c r="K3" s="113">
        <v>44501</v>
      </c>
      <c r="L3" s="113">
        <v>44531</v>
      </c>
      <c r="M3" s="113">
        <v>44562</v>
      </c>
      <c r="N3" s="113">
        <v>44593</v>
      </c>
      <c r="O3" s="113">
        <v>44621</v>
      </c>
      <c r="P3" s="119" t="s">
        <v>182</v>
      </c>
      <c r="Q3" s="123" t="s">
        <v>174</v>
      </c>
      <c r="R3" s="126" t="s">
        <v>11</v>
      </c>
      <c r="S3" s="118">
        <v>44287</v>
      </c>
      <c r="T3" s="113">
        <v>44317</v>
      </c>
      <c r="U3" s="113">
        <v>44348</v>
      </c>
      <c r="V3" s="113">
        <v>44378</v>
      </c>
      <c r="W3" s="113">
        <v>44409</v>
      </c>
      <c r="X3" s="113">
        <v>44440</v>
      </c>
      <c r="Y3" s="113">
        <v>44470</v>
      </c>
      <c r="Z3" s="113">
        <v>44501</v>
      </c>
      <c r="AA3" s="113">
        <v>44531</v>
      </c>
      <c r="AB3" s="113">
        <v>44562</v>
      </c>
      <c r="AC3" s="113">
        <v>44593</v>
      </c>
      <c r="AD3" s="113">
        <v>44621</v>
      </c>
      <c r="AE3" s="119" t="s">
        <v>182</v>
      </c>
      <c r="AF3" s="319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</row>
    <row r="4" spans="1:44" ht="16.5" thickTop="1" thickBot="1" x14ac:dyDescent="0.3">
      <c r="A4" s="38" t="s">
        <v>23</v>
      </c>
      <c r="B4" s="38" t="s">
        <v>97</v>
      </c>
      <c r="C4" s="42"/>
      <c r="D4" s="42">
        <v>0</v>
      </c>
      <c r="E4" s="42">
        <v>0</v>
      </c>
      <c r="F4" s="42">
        <v>0</v>
      </c>
      <c r="G4" s="42">
        <v>0</v>
      </c>
      <c r="H4" s="42">
        <v>0</v>
      </c>
      <c r="I4" s="42">
        <v>0</v>
      </c>
      <c r="J4" s="42">
        <v>0</v>
      </c>
      <c r="K4" s="42">
        <v>0</v>
      </c>
      <c r="L4" s="42">
        <v>0</v>
      </c>
      <c r="M4" s="42">
        <v>0</v>
      </c>
      <c r="N4" s="42">
        <v>0</v>
      </c>
      <c r="O4" s="42">
        <v>0</v>
      </c>
      <c r="P4" s="42">
        <f t="shared" ref="P4:P20" si="0">SUM(D4:O4)</f>
        <v>0</v>
      </c>
      <c r="Q4" s="124" t="str">
        <f>IF(A4&lt;&gt;"",$A4,"")</f>
        <v>Emp_0001</v>
      </c>
      <c r="R4" s="124" t="str">
        <f>IF(B4&lt;&gt;"",B4,"")</f>
        <v>VIVEK PATIL</v>
      </c>
      <c r="S4" s="42">
        <v>0</v>
      </c>
      <c r="T4" s="42">
        <v>0</v>
      </c>
      <c r="U4" s="42">
        <v>0</v>
      </c>
      <c r="V4" s="42">
        <v>0</v>
      </c>
      <c r="W4" s="42">
        <v>0</v>
      </c>
      <c r="X4" s="42">
        <v>0</v>
      </c>
      <c r="Y4" s="42">
        <v>0</v>
      </c>
      <c r="Z4" s="42">
        <v>0</v>
      </c>
      <c r="AA4" s="42">
        <v>0</v>
      </c>
      <c r="AB4" s="42">
        <v>0</v>
      </c>
      <c r="AC4" s="42">
        <v>0</v>
      </c>
      <c r="AD4" s="42">
        <v>0</v>
      </c>
      <c r="AE4" s="120">
        <f>SUM(S4:AD4)</f>
        <v>0</v>
      </c>
      <c r="AF4" s="42">
        <f t="shared" ref="AF4:AF42" si="1">(C4+SUM(D4:O4)-AE4)</f>
        <v>0</v>
      </c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AQ4" s="121"/>
      <c r="AR4" s="121"/>
    </row>
    <row r="5" spans="1:44" ht="16.5" thickTop="1" thickBot="1" x14ac:dyDescent="0.3">
      <c r="A5" s="38" t="s">
        <v>24</v>
      </c>
      <c r="B5" s="38" t="s">
        <v>95</v>
      </c>
      <c r="C5" s="42"/>
      <c r="D5" s="42">
        <v>0</v>
      </c>
      <c r="E5" s="42">
        <v>0</v>
      </c>
      <c r="F5" s="42">
        <v>0</v>
      </c>
      <c r="G5" s="42">
        <v>0</v>
      </c>
      <c r="H5" s="42">
        <v>0</v>
      </c>
      <c r="I5" s="42">
        <v>0</v>
      </c>
      <c r="J5" s="42">
        <v>0</v>
      </c>
      <c r="K5" s="42">
        <v>0</v>
      </c>
      <c r="L5" s="42">
        <v>0</v>
      </c>
      <c r="M5" s="42">
        <v>0</v>
      </c>
      <c r="N5" s="42">
        <v>0</v>
      </c>
      <c r="O5" s="42">
        <v>0</v>
      </c>
      <c r="P5" s="42">
        <f t="shared" si="0"/>
        <v>0</v>
      </c>
      <c r="Q5" s="124" t="str">
        <f t="shared" ref="Q5:Q68" si="2">IF(A5&lt;&gt;"",$A5,"")</f>
        <v>Emp_0002</v>
      </c>
      <c r="R5" s="124" t="str">
        <f t="shared" ref="R5:R68" si="3">IF(B5&lt;&gt;"",B5,"")</f>
        <v>SHRINIVAS IRABHATTI</v>
      </c>
      <c r="S5" s="42">
        <v>0</v>
      </c>
      <c r="T5" s="42">
        <v>0</v>
      </c>
      <c r="U5" s="42">
        <v>0</v>
      </c>
      <c r="V5" s="42">
        <v>0</v>
      </c>
      <c r="W5" s="42">
        <v>0</v>
      </c>
      <c r="X5" s="42">
        <v>0</v>
      </c>
      <c r="Y5" s="42">
        <v>0</v>
      </c>
      <c r="Z5" s="42">
        <v>0</v>
      </c>
      <c r="AA5" s="42">
        <v>0</v>
      </c>
      <c r="AB5" s="42">
        <v>0</v>
      </c>
      <c r="AC5" s="42">
        <v>0</v>
      </c>
      <c r="AD5" s="42">
        <v>0</v>
      </c>
      <c r="AE5" s="120">
        <f t="shared" ref="AE5:AE22" si="4">SUM(S5:AD5)</f>
        <v>0</v>
      </c>
      <c r="AF5" s="42">
        <f t="shared" si="1"/>
        <v>0</v>
      </c>
      <c r="AG5" s="121"/>
      <c r="AH5" s="121"/>
      <c r="AI5" s="121"/>
      <c r="AJ5" s="121"/>
      <c r="AK5" s="121"/>
      <c r="AL5" s="121"/>
      <c r="AM5" s="121"/>
      <c r="AN5" s="121"/>
      <c r="AO5" s="121"/>
      <c r="AP5" s="121"/>
      <c r="AQ5" s="121"/>
      <c r="AR5" s="121"/>
    </row>
    <row r="6" spans="1:44" ht="16.5" thickTop="1" thickBot="1" x14ac:dyDescent="0.3">
      <c r="A6" s="38" t="s">
        <v>26</v>
      </c>
      <c r="B6" s="38" t="s">
        <v>117</v>
      </c>
      <c r="C6" s="42">
        <v>52000</v>
      </c>
      <c r="D6" s="42">
        <v>0</v>
      </c>
      <c r="E6" s="42">
        <v>0</v>
      </c>
      <c r="F6" s="42">
        <v>0</v>
      </c>
      <c r="G6" s="42">
        <v>0</v>
      </c>
      <c r="H6" s="42">
        <v>0</v>
      </c>
      <c r="I6" s="42">
        <v>0</v>
      </c>
      <c r="J6" s="42">
        <v>0</v>
      </c>
      <c r="K6" s="42">
        <v>0</v>
      </c>
      <c r="L6" s="42">
        <v>0</v>
      </c>
      <c r="M6" s="42">
        <v>0</v>
      </c>
      <c r="N6" s="42">
        <v>0</v>
      </c>
      <c r="O6" s="42">
        <v>0</v>
      </c>
      <c r="P6" s="42">
        <f t="shared" si="0"/>
        <v>0</v>
      </c>
      <c r="Q6" s="124" t="str">
        <f t="shared" si="2"/>
        <v>Emp_0003</v>
      </c>
      <c r="R6" s="124" t="str">
        <f t="shared" si="3"/>
        <v>KUMAR PATIL</v>
      </c>
      <c r="S6" s="42">
        <v>0</v>
      </c>
      <c r="T6" s="42">
        <v>0</v>
      </c>
      <c r="U6" s="42">
        <v>0</v>
      </c>
      <c r="V6" s="42">
        <v>0</v>
      </c>
      <c r="W6" s="42">
        <v>0</v>
      </c>
      <c r="X6" s="42">
        <v>2000</v>
      </c>
      <c r="Y6" s="42">
        <v>2000</v>
      </c>
      <c r="Z6" s="42">
        <v>0</v>
      </c>
      <c r="AA6" s="42">
        <v>0</v>
      </c>
      <c r="AB6" s="42">
        <v>0</v>
      </c>
      <c r="AC6" s="42">
        <v>0</v>
      </c>
      <c r="AD6" s="42">
        <v>0</v>
      </c>
      <c r="AE6" s="120">
        <f t="shared" si="4"/>
        <v>4000</v>
      </c>
      <c r="AF6" s="42">
        <f t="shared" si="1"/>
        <v>48000</v>
      </c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</row>
    <row r="7" spans="1:44" ht="16.5" thickTop="1" thickBot="1" x14ac:dyDescent="0.3">
      <c r="A7" s="38" t="s">
        <v>30</v>
      </c>
      <c r="B7" s="38" t="s">
        <v>121</v>
      </c>
      <c r="C7" s="42"/>
      <c r="D7" s="42">
        <v>0</v>
      </c>
      <c r="E7" s="42">
        <v>0</v>
      </c>
      <c r="F7" s="42">
        <v>0</v>
      </c>
      <c r="G7" s="42">
        <v>0</v>
      </c>
      <c r="H7" s="42">
        <v>0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>
        <v>0</v>
      </c>
      <c r="O7" s="42">
        <v>0</v>
      </c>
      <c r="P7" s="42">
        <f t="shared" si="0"/>
        <v>0</v>
      </c>
      <c r="Q7" s="124" t="str">
        <f t="shared" si="2"/>
        <v>Emp_0004</v>
      </c>
      <c r="R7" s="124" t="str">
        <f t="shared" si="3"/>
        <v>VINOD MALUSARE</v>
      </c>
      <c r="S7" s="42">
        <v>0</v>
      </c>
      <c r="T7" s="42">
        <v>0</v>
      </c>
      <c r="U7" s="42">
        <v>0</v>
      </c>
      <c r="V7" s="42">
        <v>0</v>
      </c>
      <c r="W7" s="42">
        <v>0</v>
      </c>
      <c r="X7" s="42">
        <v>0</v>
      </c>
      <c r="Y7" s="42">
        <v>0</v>
      </c>
      <c r="Z7" s="42">
        <v>0</v>
      </c>
      <c r="AA7" s="42">
        <v>0</v>
      </c>
      <c r="AB7" s="42">
        <v>0</v>
      </c>
      <c r="AC7" s="42">
        <v>0</v>
      </c>
      <c r="AD7" s="42">
        <v>0</v>
      </c>
      <c r="AE7" s="120">
        <f t="shared" si="4"/>
        <v>0</v>
      </c>
      <c r="AF7" s="42">
        <f t="shared" si="1"/>
        <v>0</v>
      </c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</row>
    <row r="8" spans="1:44" ht="16.5" thickTop="1" thickBot="1" x14ac:dyDescent="0.3">
      <c r="A8" s="38" t="s">
        <v>76</v>
      </c>
      <c r="B8" s="38" t="s">
        <v>96</v>
      </c>
      <c r="C8" s="42"/>
      <c r="D8" s="42">
        <v>0</v>
      </c>
      <c r="E8" s="42">
        <v>0</v>
      </c>
      <c r="F8" s="42">
        <v>0</v>
      </c>
      <c r="G8" s="42">
        <v>0</v>
      </c>
      <c r="H8" s="42">
        <v>0</v>
      </c>
      <c r="I8" s="42">
        <v>0</v>
      </c>
      <c r="J8" s="42">
        <v>0</v>
      </c>
      <c r="K8" s="42">
        <v>0</v>
      </c>
      <c r="L8" s="42">
        <v>0</v>
      </c>
      <c r="M8" s="42">
        <v>0</v>
      </c>
      <c r="N8" s="42">
        <v>0</v>
      </c>
      <c r="O8" s="42">
        <v>0</v>
      </c>
      <c r="P8" s="42">
        <f t="shared" si="0"/>
        <v>0</v>
      </c>
      <c r="Q8" s="124" t="str">
        <f t="shared" si="2"/>
        <v>Emp_0005</v>
      </c>
      <c r="R8" s="124" t="str">
        <f t="shared" si="3"/>
        <v>VAHILE</v>
      </c>
      <c r="S8" s="42">
        <v>0</v>
      </c>
      <c r="T8" s="42">
        <v>0</v>
      </c>
      <c r="U8" s="42">
        <v>0</v>
      </c>
      <c r="V8" s="42">
        <v>0</v>
      </c>
      <c r="W8" s="42">
        <v>0</v>
      </c>
      <c r="X8" s="42">
        <v>0</v>
      </c>
      <c r="Y8" s="42">
        <v>0</v>
      </c>
      <c r="Z8" s="42">
        <v>0</v>
      </c>
      <c r="AA8" s="42">
        <v>0</v>
      </c>
      <c r="AB8" s="42">
        <v>0</v>
      </c>
      <c r="AC8" s="42">
        <v>0</v>
      </c>
      <c r="AD8" s="42">
        <v>0</v>
      </c>
      <c r="AE8" s="120">
        <f t="shared" si="4"/>
        <v>0</v>
      </c>
      <c r="AF8" s="42">
        <f t="shared" si="1"/>
        <v>0</v>
      </c>
      <c r="AG8" s="121"/>
      <c r="AH8" s="121"/>
      <c r="AI8" s="121"/>
      <c r="AJ8" s="121"/>
      <c r="AK8" s="121"/>
      <c r="AL8" s="121"/>
      <c r="AM8" s="121"/>
      <c r="AN8" s="121"/>
      <c r="AO8" s="121"/>
      <c r="AP8" s="121"/>
      <c r="AQ8" s="121"/>
      <c r="AR8" s="121"/>
    </row>
    <row r="9" spans="1:44" ht="16.5" thickTop="1" thickBot="1" x14ac:dyDescent="0.3">
      <c r="A9" s="38" t="s">
        <v>77</v>
      </c>
      <c r="B9" s="38" t="s">
        <v>119</v>
      </c>
      <c r="C9" s="42"/>
      <c r="D9" s="42">
        <v>0</v>
      </c>
      <c r="E9" s="42">
        <v>0</v>
      </c>
      <c r="F9" s="42">
        <v>0</v>
      </c>
      <c r="G9" s="42">
        <v>0</v>
      </c>
      <c r="H9" s="42">
        <v>0</v>
      </c>
      <c r="I9" s="42">
        <v>0</v>
      </c>
      <c r="J9" s="42">
        <v>0</v>
      </c>
      <c r="K9" s="42">
        <v>0</v>
      </c>
      <c r="L9" s="42">
        <v>0</v>
      </c>
      <c r="M9" s="42">
        <v>0</v>
      </c>
      <c r="N9" s="42">
        <v>0</v>
      </c>
      <c r="O9" s="42">
        <v>0</v>
      </c>
      <c r="P9" s="42">
        <f t="shared" si="0"/>
        <v>0</v>
      </c>
      <c r="Q9" s="124" t="str">
        <f t="shared" si="2"/>
        <v>Emp_0006</v>
      </c>
      <c r="R9" s="124" t="str">
        <f t="shared" si="3"/>
        <v>SWAPNIL J</v>
      </c>
      <c r="S9" s="42">
        <v>0</v>
      </c>
      <c r="T9" s="42">
        <v>0</v>
      </c>
      <c r="U9" s="42">
        <v>0</v>
      </c>
      <c r="V9" s="42">
        <v>0</v>
      </c>
      <c r="W9" s="42">
        <v>0</v>
      </c>
      <c r="X9" s="42">
        <v>0</v>
      </c>
      <c r="Y9" s="42">
        <v>0</v>
      </c>
      <c r="Z9" s="42">
        <v>0</v>
      </c>
      <c r="AA9" s="42">
        <v>0</v>
      </c>
      <c r="AB9" s="42">
        <v>0</v>
      </c>
      <c r="AC9" s="42">
        <v>0</v>
      </c>
      <c r="AD9" s="42">
        <v>0</v>
      </c>
      <c r="AE9" s="120">
        <f t="shared" si="4"/>
        <v>0</v>
      </c>
      <c r="AF9" s="42">
        <f t="shared" si="1"/>
        <v>0</v>
      </c>
      <c r="AG9" s="121"/>
      <c r="AH9" s="121"/>
      <c r="AI9" s="121"/>
      <c r="AJ9" s="121"/>
      <c r="AK9" s="121"/>
      <c r="AL9" s="121"/>
      <c r="AM9" s="121"/>
      <c r="AN9" s="121"/>
      <c r="AO9" s="121"/>
      <c r="AP9" s="121"/>
      <c r="AQ9" s="121"/>
      <c r="AR9" s="121"/>
    </row>
    <row r="10" spans="1:44" ht="16.5" thickTop="1" thickBot="1" x14ac:dyDescent="0.3">
      <c r="A10" s="38" t="s">
        <v>78</v>
      </c>
      <c r="B10" s="38" t="s">
        <v>122</v>
      </c>
      <c r="C10" s="42"/>
      <c r="D10" s="42">
        <v>0</v>
      </c>
      <c r="E10" s="42">
        <v>0</v>
      </c>
      <c r="F10" s="42">
        <v>0</v>
      </c>
      <c r="G10" s="42">
        <v>0</v>
      </c>
      <c r="H10" s="42">
        <v>0</v>
      </c>
      <c r="I10" s="42">
        <v>0</v>
      </c>
      <c r="J10" s="42">
        <v>6000</v>
      </c>
      <c r="K10" s="42">
        <v>0</v>
      </c>
      <c r="L10" s="42">
        <v>0</v>
      </c>
      <c r="M10" s="42">
        <v>0</v>
      </c>
      <c r="N10" s="42">
        <v>0</v>
      </c>
      <c r="O10" s="42">
        <v>0</v>
      </c>
      <c r="P10" s="42">
        <f t="shared" si="0"/>
        <v>6000</v>
      </c>
      <c r="Q10" s="124" t="str">
        <f t="shared" si="2"/>
        <v>Emp_0007</v>
      </c>
      <c r="R10" s="124" t="str">
        <f t="shared" si="3"/>
        <v xml:space="preserve">MAHADEV </v>
      </c>
      <c r="S10" s="42">
        <v>0</v>
      </c>
      <c r="T10" s="42">
        <v>0</v>
      </c>
      <c r="U10" s="42">
        <v>0</v>
      </c>
      <c r="V10" s="42">
        <v>0</v>
      </c>
      <c r="W10" s="42">
        <v>0</v>
      </c>
      <c r="X10" s="42">
        <v>1000</v>
      </c>
      <c r="Y10" s="42">
        <v>1000</v>
      </c>
      <c r="Z10" s="42">
        <v>0</v>
      </c>
      <c r="AA10" s="42">
        <v>0</v>
      </c>
      <c r="AB10" s="42">
        <v>0</v>
      </c>
      <c r="AC10" s="42">
        <v>0</v>
      </c>
      <c r="AD10" s="42">
        <v>0</v>
      </c>
      <c r="AE10" s="120">
        <f t="shared" si="4"/>
        <v>2000</v>
      </c>
      <c r="AF10" s="42">
        <f t="shared" si="1"/>
        <v>4000</v>
      </c>
      <c r="AG10" s="121"/>
      <c r="AH10" s="121"/>
      <c r="AI10" s="121"/>
      <c r="AJ10" s="121"/>
      <c r="AK10" s="121"/>
      <c r="AL10" s="121"/>
      <c r="AM10" s="121"/>
      <c r="AN10" s="121"/>
      <c r="AO10" s="121"/>
      <c r="AP10" s="121"/>
      <c r="AQ10" s="121"/>
      <c r="AR10" s="121"/>
    </row>
    <row r="11" spans="1:44" ht="16.5" thickTop="1" thickBot="1" x14ac:dyDescent="0.3">
      <c r="A11" s="38" t="s">
        <v>79</v>
      </c>
      <c r="B11" s="38" t="s">
        <v>118</v>
      </c>
      <c r="C11" s="42"/>
      <c r="D11" s="42">
        <v>0</v>
      </c>
      <c r="E11" s="42">
        <v>0</v>
      </c>
      <c r="F11" s="42">
        <v>0</v>
      </c>
      <c r="G11" s="42">
        <v>0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>
        <v>0</v>
      </c>
      <c r="O11" s="42">
        <v>0</v>
      </c>
      <c r="P11" s="42">
        <f t="shared" si="0"/>
        <v>0</v>
      </c>
      <c r="Q11" s="124" t="str">
        <f t="shared" si="2"/>
        <v>Emp_0008</v>
      </c>
      <c r="R11" s="124" t="str">
        <f t="shared" si="3"/>
        <v>GANESH IYER</v>
      </c>
      <c r="S11" s="42">
        <v>0</v>
      </c>
      <c r="T11" s="42">
        <v>0</v>
      </c>
      <c r="U11" s="42">
        <v>0</v>
      </c>
      <c r="V11" s="42">
        <v>0</v>
      </c>
      <c r="W11" s="42">
        <v>0</v>
      </c>
      <c r="X11" s="42">
        <v>0</v>
      </c>
      <c r="Y11" s="42">
        <v>0</v>
      </c>
      <c r="Z11" s="42">
        <v>0</v>
      </c>
      <c r="AA11" s="42">
        <v>0</v>
      </c>
      <c r="AB11" s="42">
        <v>0</v>
      </c>
      <c r="AC11" s="42">
        <v>0</v>
      </c>
      <c r="AD11" s="42">
        <v>0</v>
      </c>
      <c r="AE11" s="120">
        <f t="shared" si="4"/>
        <v>0</v>
      </c>
      <c r="AF11" s="42">
        <f t="shared" si="1"/>
        <v>0</v>
      </c>
      <c r="AG11" s="121"/>
      <c r="AH11" s="121"/>
      <c r="AI11" s="121"/>
      <c r="AJ11" s="121"/>
      <c r="AK11" s="121"/>
      <c r="AL11" s="121"/>
      <c r="AM11" s="121"/>
      <c r="AN11" s="121"/>
      <c r="AO11" s="121"/>
      <c r="AP11" s="121"/>
      <c r="AQ11" s="121"/>
      <c r="AR11" s="121"/>
    </row>
    <row r="12" spans="1:44" ht="16.5" thickTop="1" thickBot="1" x14ac:dyDescent="0.3">
      <c r="A12" s="38" t="s">
        <v>80</v>
      </c>
      <c r="B12" s="38" t="s">
        <v>180</v>
      </c>
      <c r="C12" s="42"/>
      <c r="D12" s="42">
        <v>0</v>
      </c>
      <c r="E12" s="42">
        <v>0</v>
      </c>
      <c r="F12" s="42">
        <v>0</v>
      </c>
      <c r="G12" s="42">
        <v>0</v>
      </c>
      <c r="H12" s="42">
        <v>0</v>
      </c>
      <c r="I12" s="42">
        <v>0</v>
      </c>
      <c r="J12" s="42">
        <v>0</v>
      </c>
      <c r="K12" s="42">
        <v>0</v>
      </c>
      <c r="L12" s="42">
        <v>0</v>
      </c>
      <c r="M12" s="42">
        <v>0</v>
      </c>
      <c r="N12" s="42">
        <v>0</v>
      </c>
      <c r="O12" s="42">
        <v>0</v>
      </c>
      <c r="P12" s="42">
        <f t="shared" si="0"/>
        <v>0</v>
      </c>
      <c r="Q12" s="124" t="str">
        <f t="shared" si="2"/>
        <v>Emp_0009</v>
      </c>
      <c r="R12" s="124" t="str">
        <f t="shared" si="3"/>
        <v>VISHAKHA SHARMA</v>
      </c>
      <c r="S12" s="42">
        <v>0</v>
      </c>
      <c r="T12" s="42">
        <v>0</v>
      </c>
      <c r="U12" s="42">
        <v>0</v>
      </c>
      <c r="V12" s="42">
        <v>0</v>
      </c>
      <c r="W12" s="42">
        <v>0</v>
      </c>
      <c r="X12" s="42">
        <v>0</v>
      </c>
      <c r="Y12" s="42">
        <v>0</v>
      </c>
      <c r="Z12" s="42">
        <v>0</v>
      </c>
      <c r="AA12" s="42">
        <v>0</v>
      </c>
      <c r="AB12" s="42">
        <v>0</v>
      </c>
      <c r="AC12" s="42">
        <v>0</v>
      </c>
      <c r="AD12" s="42">
        <v>0</v>
      </c>
      <c r="AE12" s="120">
        <f t="shared" si="4"/>
        <v>0</v>
      </c>
      <c r="AF12" s="42">
        <f t="shared" si="1"/>
        <v>0</v>
      </c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</row>
    <row r="13" spans="1:44" ht="16.5" thickTop="1" thickBot="1" x14ac:dyDescent="0.3">
      <c r="A13" s="38" t="s">
        <v>81</v>
      </c>
      <c r="B13" s="38" t="s">
        <v>120</v>
      </c>
      <c r="C13" s="42"/>
      <c r="D13" s="42">
        <v>0</v>
      </c>
      <c r="E13" s="42">
        <v>0</v>
      </c>
      <c r="F13" s="42">
        <v>0</v>
      </c>
      <c r="G13" s="42">
        <v>0</v>
      </c>
      <c r="H13" s="42">
        <v>0</v>
      </c>
      <c r="I13" s="42">
        <v>0</v>
      </c>
      <c r="J13" s="42">
        <v>0</v>
      </c>
      <c r="K13" s="42">
        <v>0</v>
      </c>
      <c r="L13" s="42">
        <v>0</v>
      </c>
      <c r="M13" s="42">
        <v>0</v>
      </c>
      <c r="N13" s="42">
        <v>0</v>
      </c>
      <c r="O13" s="42">
        <v>0</v>
      </c>
      <c r="P13" s="42">
        <f t="shared" si="0"/>
        <v>0</v>
      </c>
      <c r="Q13" s="124" t="str">
        <f t="shared" si="2"/>
        <v>Emp_0010</v>
      </c>
      <c r="R13" s="124" t="str">
        <f t="shared" si="3"/>
        <v>RAJEEV</v>
      </c>
      <c r="S13" s="42">
        <v>0</v>
      </c>
      <c r="T13" s="42">
        <v>0</v>
      </c>
      <c r="U13" s="42">
        <v>0</v>
      </c>
      <c r="V13" s="42">
        <v>0</v>
      </c>
      <c r="W13" s="42">
        <v>0</v>
      </c>
      <c r="X13" s="42">
        <v>0</v>
      </c>
      <c r="Y13" s="42">
        <v>0</v>
      </c>
      <c r="Z13" s="42">
        <v>0</v>
      </c>
      <c r="AA13" s="42">
        <v>0</v>
      </c>
      <c r="AB13" s="42">
        <v>0</v>
      </c>
      <c r="AC13" s="42">
        <v>0</v>
      </c>
      <c r="AD13" s="42">
        <v>0</v>
      </c>
      <c r="AE13" s="120">
        <f t="shared" si="4"/>
        <v>0</v>
      </c>
      <c r="AF13" s="42">
        <f t="shared" si="1"/>
        <v>0</v>
      </c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1"/>
      <c r="AR13" s="121"/>
    </row>
    <row r="14" spans="1:44" ht="16.5" thickTop="1" thickBot="1" x14ac:dyDescent="0.3">
      <c r="A14" s="38" t="s">
        <v>84</v>
      </c>
      <c r="B14" s="38" t="s">
        <v>31</v>
      </c>
      <c r="C14" s="42"/>
      <c r="D14" s="42">
        <v>0</v>
      </c>
      <c r="E14" s="42">
        <v>0</v>
      </c>
      <c r="F14" s="42">
        <v>0</v>
      </c>
      <c r="G14" s="42">
        <v>0</v>
      </c>
      <c r="H14" s="42">
        <v>0</v>
      </c>
      <c r="I14" s="42">
        <v>0</v>
      </c>
      <c r="J14" s="42">
        <v>0</v>
      </c>
      <c r="K14" s="42">
        <v>0</v>
      </c>
      <c r="L14" s="42">
        <v>0</v>
      </c>
      <c r="M14" s="42">
        <v>0</v>
      </c>
      <c r="N14" s="42">
        <v>0</v>
      </c>
      <c r="O14" s="42">
        <v>0</v>
      </c>
      <c r="P14" s="42">
        <f t="shared" si="0"/>
        <v>0</v>
      </c>
      <c r="Q14" s="124" t="str">
        <f t="shared" si="2"/>
        <v>Emp_0011</v>
      </c>
      <c r="R14" s="124" t="str">
        <f t="shared" si="3"/>
        <v>MANISH KADAM</v>
      </c>
      <c r="S14" s="42">
        <v>0</v>
      </c>
      <c r="T14" s="42">
        <v>0</v>
      </c>
      <c r="U14" s="42">
        <v>0</v>
      </c>
      <c r="V14" s="42">
        <v>0</v>
      </c>
      <c r="W14" s="42">
        <v>0</v>
      </c>
      <c r="X14" s="42">
        <v>0</v>
      </c>
      <c r="Y14" s="42">
        <v>0</v>
      </c>
      <c r="Z14" s="42">
        <v>0</v>
      </c>
      <c r="AA14" s="42">
        <v>0</v>
      </c>
      <c r="AB14" s="42">
        <v>0</v>
      </c>
      <c r="AC14" s="42">
        <v>0</v>
      </c>
      <c r="AD14" s="42">
        <v>0</v>
      </c>
      <c r="AE14" s="120">
        <f t="shared" si="4"/>
        <v>0</v>
      </c>
      <c r="AF14" s="42">
        <f t="shared" si="1"/>
        <v>0</v>
      </c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1"/>
      <c r="AR14" s="121"/>
    </row>
    <row r="15" spans="1:44" ht="16.5" thickTop="1" thickBot="1" x14ac:dyDescent="0.3">
      <c r="A15" s="38" t="s">
        <v>123</v>
      </c>
      <c r="B15" s="38" t="s">
        <v>163</v>
      </c>
      <c r="C15" s="42"/>
      <c r="D15" s="42">
        <v>0</v>
      </c>
      <c r="E15" s="42">
        <v>0</v>
      </c>
      <c r="F15" s="42">
        <v>0</v>
      </c>
      <c r="G15" s="42">
        <v>0</v>
      </c>
      <c r="H15" s="42">
        <v>0</v>
      </c>
      <c r="I15" s="42">
        <v>0</v>
      </c>
      <c r="J15" s="42">
        <v>0</v>
      </c>
      <c r="K15" s="42">
        <v>0</v>
      </c>
      <c r="L15" s="42">
        <v>0</v>
      </c>
      <c r="M15" s="42">
        <v>0</v>
      </c>
      <c r="N15" s="42">
        <v>0</v>
      </c>
      <c r="O15" s="42">
        <v>0</v>
      </c>
      <c r="P15" s="42">
        <f t="shared" si="0"/>
        <v>0</v>
      </c>
      <c r="Q15" s="124" t="str">
        <f t="shared" si="2"/>
        <v>Emp_0012</v>
      </c>
      <c r="R15" s="124" t="str">
        <f t="shared" si="3"/>
        <v>VIRENDRA ETHAPE</v>
      </c>
      <c r="S15" s="42">
        <v>0</v>
      </c>
      <c r="T15" s="42">
        <v>0</v>
      </c>
      <c r="U15" s="42">
        <v>0</v>
      </c>
      <c r="V15" s="42">
        <v>0</v>
      </c>
      <c r="W15" s="42">
        <v>0</v>
      </c>
      <c r="X15" s="42">
        <v>0</v>
      </c>
      <c r="Y15" s="42">
        <v>0</v>
      </c>
      <c r="Z15" s="42">
        <v>0</v>
      </c>
      <c r="AA15" s="42">
        <v>0</v>
      </c>
      <c r="AB15" s="42">
        <v>0</v>
      </c>
      <c r="AC15" s="42">
        <v>0</v>
      </c>
      <c r="AD15" s="42">
        <v>0</v>
      </c>
      <c r="AE15" s="120">
        <f t="shared" si="4"/>
        <v>0</v>
      </c>
      <c r="AF15" s="42">
        <f t="shared" si="1"/>
        <v>0</v>
      </c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1"/>
      <c r="AR15" s="121"/>
    </row>
    <row r="16" spans="1:44" ht="16.5" thickTop="1" thickBot="1" x14ac:dyDescent="0.3">
      <c r="A16" s="38" t="s">
        <v>124</v>
      </c>
      <c r="B16" s="38" t="s">
        <v>91</v>
      </c>
      <c r="C16" s="42"/>
      <c r="D16" s="42">
        <v>0</v>
      </c>
      <c r="E16" s="42">
        <v>0</v>
      </c>
      <c r="F16" s="42">
        <v>0</v>
      </c>
      <c r="G16" s="42">
        <v>0</v>
      </c>
      <c r="H16" s="42">
        <v>0</v>
      </c>
      <c r="I16" s="42">
        <v>0</v>
      </c>
      <c r="J16" s="42">
        <v>0</v>
      </c>
      <c r="K16" s="42">
        <v>0</v>
      </c>
      <c r="L16" s="42">
        <v>0</v>
      </c>
      <c r="M16" s="42">
        <v>0</v>
      </c>
      <c r="N16" s="42">
        <v>0</v>
      </c>
      <c r="O16" s="42">
        <v>0</v>
      </c>
      <c r="P16" s="42">
        <f t="shared" si="0"/>
        <v>0</v>
      </c>
      <c r="Q16" s="124" t="str">
        <f t="shared" si="2"/>
        <v>Emp_0013</v>
      </c>
      <c r="R16" s="124" t="str">
        <f t="shared" si="3"/>
        <v>KALPESH SHELAR</v>
      </c>
      <c r="S16" s="42">
        <v>0</v>
      </c>
      <c r="T16" s="42">
        <v>0</v>
      </c>
      <c r="U16" s="42">
        <v>0</v>
      </c>
      <c r="V16" s="42">
        <v>0</v>
      </c>
      <c r="W16" s="42">
        <v>0</v>
      </c>
      <c r="X16" s="42">
        <v>0</v>
      </c>
      <c r="Y16" s="42">
        <v>0</v>
      </c>
      <c r="Z16" s="42">
        <v>0</v>
      </c>
      <c r="AA16" s="42">
        <v>0</v>
      </c>
      <c r="AB16" s="42">
        <v>0</v>
      </c>
      <c r="AC16" s="42">
        <v>0</v>
      </c>
      <c r="AD16" s="42">
        <v>0</v>
      </c>
      <c r="AE16" s="120">
        <f t="shared" si="4"/>
        <v>0</v>
      </c>
      <c r="AF16" s="42">
        <f t="shared" si="1"/>
        <v>0</v>
      </c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</row>
    <row r="17" spans="1:44" ht="16.5" thickTop="1" thickBot="1" x14ac:dyDescent="0.3">
      <c r="A17" s="38" t="s">
        <v>125</v>
      </c>
      <c r="B17" s="38" t="s">
        <v>25</v>
      </c>
      <c r="C17" s="42"/>
      <c r="D17" s="42">
        <v>0</v>
      </c>
      <c r="E17" s="42">
        <v>0</v>
      </c>
      <c r="F17" s="42">
        <v>0</v>
      </c>
      <c r="G17" s="42">
        <v>0</v>
      </c>
      <c r="H17" s="42">
        <v>0</v>
      </c>
      <c r="I17" s="42">
        <v>0</v>
      </c>
      <c r="J17" s="42">
        <v>0</v>
      </c>
      <c r="K17" s="42">
        <v>0</v>
      </c>
      <c r="L17" s="42">
        <v>0</v>
      </c>
      <c r="M17" s="42">
        <v>0</v>
      </c>
      <c r="N17" s="42">
        <v>0</v>
      </c>
      <c r="O17" s="42">
        <v>0</v>
      </c>
      <c r="P17" s="42">
        <f t="shared" si="0"/>
        <v>0</v>
      </c>
      <c r="Q17" s="124" t="str">
        <f t="shared" si="2"/>
        <v>Emp_0014</v>
      </c>
      <c r="R17" s="124" t="str">
        <f t="shared" si="3"/>
        <v>AJAY SAVARA</v>
      </c>
      <c r="S17" s="42">
        <v>0</v>
      </c>
      <c r="T17" s="42">
        <v>0</v>
      </c>
      <c r="U17" s="42">
        <v>0</v>
      </c>
      <c r="V17" s="42">
        <v>0</v>
      </c>
      <c r="W17" s="42">
        <v>0</v>
      </c>
      <c r="X17" s="42">
        <v>0</v>
      </c>
      <c r="Y17" s="42">
        <v>0</v>
      </c>
      <c r="Z17" s="42">
        <v>0</v>
      </c>
      <c r="AA17" s="42">
        <v>0</v>
      </c>
      <c r="AB17" s="42">
        <v>0</v>
      </c>
      <c r="AC17" s="42">
        <v>0</v>
      </c>
      <c r="AD17" s="42">
        <v>0</v>
      </c>
      <c r="AE17" s="120">
        <f t="shared" si="4"/>
        <v>0</v>
      </c>
      <c r="AF17" s="42">
        <f t="shared" si="1"/>
        <v>0</v>
      </c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1"/>
      <c r="AR17" s="121"/>
    </row>
    <row r="18" spans="1:44" ht="16.5" thickTop="1" thickBot="1" x14ac:dyDescent="0.3">
      <c r="A18" s="38" t="s">
        <v>126</v>
      </c>
      <c r="B18" s="38" t="s">
        <v>27</v>
      </c>
      <c r="C18" s="42"/>
      <c r="D18" s="42">
        <v>0</v>
      </c>
      <c r="E18" s="42">
        <v>0</v>
      </c>
      <c r="F18" s="42">
        <v>0</v>
      </c>
      <c r="G18" s="42">
        <v>0</v>
      </c>
      <c r="H18" s="42">
        <v>0</v>
      </c>
      <c r="I18" s="42">
        <v>0</v>
      </c>
      <c r="J18" s="42">
        <v>0</v>
      </c>
      <c r="K18" s="42">
        <v>0</v>
      </c>
      <c r="L18" s="42">
        <v>0</v>
      </c>
      <c r="M18" s="42">
        <v>0</v>
      </c>
      <c r="N18" s="42">
        <v>0</v>
      </c>
      <c r="O18" s="42">
        <v>0</v>
      </c>
      <c r="P18" s="42">
        <f t="shared" si="0"/>
        <v>0</v>
      </c>
      <c r="Q18" s="124" t="str">
        <f t="shared" si="2"/>
        <v>Emp_0015</v>
      </c>
      <c r="R18" s="124" t="str">
        <f t="shared" si="3"/>
        <v>AKSHAY SHELAR</v>
      </c>
      <c r="S18" s="42">
        <v>0</v>
      </c>
      <c r="T18" s="42">
        <v>0</v>
      </c>
      <c r="U18" s="42">
        <v>0</v>
      </c>
      <c r="V18" s="42">
        <v>0</v>
      </c>
      <c r="W18" s="42">
        <v>0</v>
      </c>
      <c r="X18" s="42">
        <v>0</v>
      </c>
      <c r="Y18" s="42">
        <v>0</v>
      </c>
      <c r="Z18" s="42">
        <v>0</v>
      </c>
      <c r="AA18" s="42">
        <v>0</v>
      </c>
      <c r="AB18" s="42">
        <v>0</v>
      </c>
      <c r="AC18" s="42">
        <v>0</v>
      </c>
      <c r="AD18" s="42">
        <v>0</v>
      </c>
      <c r="AE18" s="120">
        <f t="shared" si="4"/>
        <v>0</v>
      </c>
      <c r="AF18" s="42">
        <f t="shared" si="1"/>
        <v>0</v>
      </c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1"/>
      <c r="AR18" s="121"/>
    </row>
    <row r="19" spans="1:44" ht="16.5" thickTop="1" thickBot="1" x14ac:dyDescent="0.3">
      <c r="A19" s="38" t="s">
        <v>127</v>
      </c>
      <c r="B19" s="38" t="s">
        <v>92</v>
      </c>
      <c r="C19" s="42">
        <v>500</v>
      </c>
      <c r="D19" s="42">
        <v>0</v>
      </c>
      <c r="E19" s="42">
        <v>0</v>
      </c>
      <c r="F19" s="42">
        <v>0</v>
      </c>
      <c r="G19" s="42">
        <v>0</v>
      </c>
      <c r="H19" s="42">
        <v>0</v>
      </c>
      <c r="I19" s="42">
        <v>0</v>
      </c>
      <c r="J19" s="42">
        <v>0</v>
      </c>
      <c r="K19" s="42">
        <v>0</v>
      </c>
      <c r="L19" s="42">
        <v>0</v>
      </c>
      <c r="M19" s="42">
        <v>0</v>
      </c>
      <c r="N19" s="42">
        <v>0</v>
      </c>
      <c r="O19" s="42">
        <v>0</v>
      </c>
      <c r="P19" s="42">
        <f t="shared" si="0"/>
        <v>0</v>
      </c>
      <c r="Q19" s="124" t="str">
        <f t="shared" si="2"/>
        <v>Emp_0016</v>
      </c>
      <c r="R19" s="124" t="str">
        <f t="shared" si="3"/>
        <v>MILIND PAWAR</v>
      </c>
      <c r="S19" s="42">
        <v>0</v>
      </c>
      <c r="T19" s="42">
        <v>0</v>
      </c>
      <c r="U19" s="42">
        <v>0</v>
      </c>
      <c r="V19" s="42">
        <v>0</v>
      </c>
      <c r="W19" s="42">
        <v>0</v>
      </c>
      <c r="X19" s="42">
        <v>500</v>
      </c>
      <c r="Y19" s="42">
        <v>1500</v>
      </c>
      <c r="Z19" s="42">
        <v>0</v>
      </c>
      <c r="AA19" s="42">
        <v>0</v>
      </c>
      <c r="AB19" s="42">
        <v>0</v>
      </c>
      <c r="AC19" s="42">
        <v>0</v>
      </c>
      <c r="AD19" s="42">
        <v>0</v>
      </c>
      <c r="AE19" s="120">
        <f t="shared" si="4"/>
        <v>2000</v>
      </c>
      <c r="AF19" s="42">
        <f t="shared" si="1"/>
        <v>-1500</v>
      </c>
      <c r="AG19" s="121" t="s">
        <v>249</v>
      </c>
      <c r="AH19" s="121"/>
      <c r="AI19" s="121"/>
      <c r="AJ19" s="121"/>
      <c r="AK19" s="121"/>
      <c r="AL19" s="121"/>
      <c r="AM19" s="121"/>
      <c r="AN19" s="121"/>
      <c r="AO19" s="121"/>
      <c r="AP19" s="121"/>
      <c r="AQ19" s="121"/>
      <c r="AR19" s="121"/>
    </row>
    <row r="20" spans="1:44" ht="16.5" thickTop="1" thickBot="1" x14ac:dyDescent="0.3">
      <c r="A20" s="38" t="s">
        <v>128</v>
      </c>
      <c r="B20" s="38" t="s">
        <v>94</v>
      </c>
      <c r="C20" s="42"/>
      <c r="D20" s="42">
        <v>0</v>
      </c>
      <c r="E20" s="42">
        <v>0</v>
      </c>
      <c r="F20" s="42">
        <v>0</v>
      </c>
      <c r="G20" s="42">
        <v>0</v>
      </c>
      <c r="H20" s="42">
        <v>0</v>
      </c>
      <c r="I20" s="42">
        <v>0</v>
      </c>
      <c r="J20" s="42">
        <v>0</v>
      </c>
      <c r="K20" s="42">
        <v>0</v>
      </c>
      <c r="L20" s="42">
        <v>0</v>
      </c>
      <c r="M20" s="42">
        <v>0</v>
      </c>
      <c r="N20" s="42">
        <v>0</v>
      </c>
      <c r="O20" s="42">
        <v>0</v>
      </c>
      <c r="P20" s="42">
        <f t="shared" si="0"/>
        <v>0</v>
      </c>
      <c r="Q20" s="124" t="str">
        <f t="shared" si="2"/>
        <v>Emp_0017</v>
      </c>
      <c r="R20" s="124" t="str">
        <f t="shared" si="3"/>
        <v>PRATIK PATIL</v>
      </c>
      <c r="S20" s="42">
        <v>0</v>
      </c>
      <c r="T20" s="42">
        <v>0</v>
      </c>
      <c r="U20" s="42">
        <v>0</v>
      </c>
      <c r="V20" s="42">
        <v>0</v>
      </c>
      <c r="W20" s="42">
        <v>0</v>
      </c>
      <c r="X20" s="42">
        <v>0</v>
      </c>
      <c r="Y20" s="42">
        <v>0</v>
      </c>
      <c r="Z20" s="42">
        <v>0</v>
      </c>
      <c r="AA20" s="42">
        <v>0</v>
      </c>
      <c r="AB20" s="42">
        <v>0</v>
      </c>
      <c r="AC20" s="42">
        <v>0</v>
      </c>
      <c r="AD20" s="42">
        <v>0</v>
      </c>
      <c r="AE20" s="120">
        <f t="shared" si="4"/>
        <v>0</v>
      </c>
      <c r="AF20" s="42">
        <f t="shared" si="1"/>
        <v>0</v>
      </c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1"/>
      <c r="AR20" s="121"/>
    </row>
    <row r="21" spans="1:44" ht="16.5" thickTop="1" thickBot="1" x14ac:dyDescent="0.3">
      <c r="A21" s="38" t="s">
        <v>129</v>
      </c>
      <c r="B21" s="38" t="s">
        <v>93</v>
      </c>
      <c r="C21" s="42">
        <v>2000</v>
      </c>
      <c r="D21" s="42">
        <v>0</v>
      </c>
      <c r="E21" s="42">
        <v>0</v>
      </c>
      <c r="F21" s="42">
        <v>0</v>
      </c>
      <c r="G21" s="42">
        <v>0</v>
      </c>
      <c r="H21" s="42">
        <v>0</v>
      </c>
      <c r="I21" s="42">
        <v>0</v>
      </c>
      <c r="J21" s="42">
        <v>30000</v>
      </c>
      <c r="K21" s="42">
        <v>0</v>
      </c>
      <c r="L21" s="42">
        <v>0</v>
      </c>
      <c r="M21" s="42">
        <v>0</v>
      </c>
      <c r="N21" s="42">
        <v>0</v>
      </c>
      <c r="O21" s="42">
        <v>0</v>
      </c>
      <c r="P21" s="42">
        <f t="shared" ref="P21:P22" si="5">SUM(D21:O21)</f>
        <v>30000</v>
      </c>
      <c r="Q21" s="124" t="str">
        <f t="shared" si="2"/>
        <v>Emp_0018</v>
      </c>
      <c r="R21" s="124" t="str">
        <f t="shared" si="3"/>
        <v>PRATIK NEVREKAR</v>
      </c>
      <c r="S21" s="42">
        <v>0</v>
      </c>
      <c r="T21" s="42">
        <v>0</v>
      </c>
      <c r="U21" s="42">
        <v>0</v>
      </c>
      <c r="V21" s="42">
        <v>0</v>
      </c>
      <c r="W21" s="42">
        <v>0</v>
      </c>
      <c r="X21" s="42">
        <v>2000</v>
      </c>
      <c r="Y21" s="42">
        <v>0</v>
      </c>
      <c r="Z21" s="42">
        <v>6000</v>
      </c>
      <c r="AA21" s="42">
        <v>0</v>
      </c>
      <c r="AB21" s="42">
        <v>0</v>
      </c>
      <c r="AC21" s="42">
        <v>0</v>
      </c>
      <c r="AD21" s="42">
        <v>0</v>
      </c>
      <c r="AE21" s="120">
        <f t="shared" si="4"/>
        <v>8000</v>
      </c>
      <c r="AF21" s="42">
        <f t="shared" si="1"/>
        <v>24000</v>
      </c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</row>
    <row r="22" spans="1:44" ht="16.5" thickTop="1" thickBot="1" x14ac:dyDescent="0.3">
      <c r="A22" s="38" t="s">
        <v>130</v>
      </c>
      <c r="B22" s="38" t="s">
        <v>90</v>
      </c>
      <c r="C22" s="42"/>
      <c r="D22" s="42">
        <v>0</v>
      </c>
      <c r="E22" s="42">
        <v>0</v>
      </c>
      <c r="F22" s="42">
        <v>0</v>
      </c>
      <c r="G22" s="42">
        <v>0</v>
      </c>
      <c r="H22" s="42">
        <v>0</v>
      </c>
      <c r="I22" s="42">
        <v>0</v>
      </c>
      <c r="J22" s="42">
        <v>0</v>
      </c>
      <c r="K22" s="42">
        <v>0</v>
      </c>
      <c r="L22" s="42">
        <v>0</v>
      </c>
      <c r="M22" s="42">
        <v>0</v>
      </c>
      <c r="N22" s="42">
        <v>0</v>
      </c>
      <c r="O22" s="42">
        <v>0</v>
      </c>
      <c r="P22" s="42">
        <f t="shared" si="5"/>
        <v>0</v>
      </c>
      <c r="Q22" s="124" t="str">
        <f t="shared" si="2"/>
        <v>Emp_0019</v>
      </c>
      <c r="R22" s="124" t="str">
        <f t="shared" si="3"/>
        <v>AMOL PATIL</v>
      </c>
      <c r="S22" s="42">
        <v>0</v>
      </c>
      <c r="T22" s="42">
        <v>0</v>
      </c>
      <c r="U22" s="42">
        <v>0</v>
      </c>
      <c r="V22" s="42">
        <v>0</v>
      </c>
      <c r="W22" s="42">
        <v>0</v>
      </c>
      <c r="X22" s="42">
        <v>0</v>
      </c>
      <c r="Y22" s="42">
        <v>0</v>
      </c>
      <c r="Z22" s="42">
        <v>0</v>
      </c>
      <c r="AA22" s="42">
        <v>0</v>
      </c>
      <c r="AB22" s="42">
        <v>0</v>
      </c>
      <c r="AC22" s="42">
        <v>0</v>
      </c>
      <c r="AD22" s="42">
        <v>0</v>
      </c>
      <c r="AE22" s="120">
        <f t="shared" si="4"/>
        <v>0</v>
      </c>
      <c r="AF22" s="42">
        <f t="shared" si="1"/>
        <v>0</v>
      </c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</row>
    <row r="23" spans="1:44" ht="16.5" thickTop="1" thickBot="1" x14ac:dyDescent="0.3">
      <c r="A23" s="38" t="s">
        <v>131</v>
      </c>
      <c r="B23" s="38" t="s">
        <v>98</v>
      </c>
      <c r="C23" s="42">
        <v>500</v>
      </c>
      <c r="D23" s="42">
        <v>0</v>
      </c>
      <c r="E23" s="42">
        <v>0</v>
      </c>
      <c r="F23" s="42">
        <v>0</v>
      </c>
      <c r="G23" s="42">
        <v>0</v>
      </c>
      <c r="H23" s="42">
        <v>0</v>
      </c>
      <c r="I23" s="42">
        <v>0</v>
      </c>
      <c r="J23" s="42">
        <v>0</v>
      </c>
      <c r="K23" s="42">
        <v>0</v>
      </c>
      <c r="L23" s="42">
        <v>0</v>
      </c>
      <c r="M23" s="42">
        <v>0</v>
      </c>
      <c r="N23" s="42">
        <v>0</v>
      </c>
      <c r="O23" s="42">
        <v>0</v>
      </c>
      <c r="P23" s="42">
        <f t="shared" ref="P23:P42" si="6">SUM(D23:O23)</f>
        <v>0</v>
      </c>
      <c r="Q23" s="124" t="str">
        <f t="shared" si="2"/>
        <v>Emp_0020</v>
      </c>
      <c r="R23" s="124" t="str">
        <f t="shared" si="3"/>
        <v>AKSHAY PAWAR</v>
      </c>
      <c r="S23" s="42">
        <v>0</v>
      </c>
      <c r="T23" s="42">
        <v>0</v>
      </c>
      <c r="U23" s="42">
        <v>0</v>
      </c>
      <c r="V23" s="42">
        <v>0</v>
      </c>
      <c r="W23" s="42">
        <v>0</v>
      </c>
      <c r="X23" s="42">
        <v>500</v>
      </c>
      <c r="Y23" s="42">
        <v>0</v>
      </c>
      <c r="Z23" s="42">
        <v>0</v>
      </c>
      <c r="AA23" s="42">
        <v>0</v>
      </c>
      <c r="AB23" s="42">
        <v>0</v>
      </c>
      <c r="AC23" s="42">
        <v>0</v>
      </c>
      <c r="AD23" s="42">
        <v>0</v>
      </c>
      <c r="AE23" s="120">
        <f t="shared" ref="AE23:AE42" si="7">SUM(S23:AD23)</f>
        <v>500</v>
      </c>
      <c r="AF23" s="42">
        <f t="shared" si="1"/>
        <v>0</v>
      </c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</row>
    <row r="24" spans="1:44" ht="16.5" thickTop="1" thickBot="1" x14ac:dyDescent="0.3">
      <c r="A24" s="38" t="s">
        <v>132</v>
      </c>
      <c r="B24" s="38" t="s">
        <v>99</v>
      </c>
      <c r="C24" s="42">
        <v>6000</v>
      </c>
      <c r="D24" s="42">
        <v>0</v>
      </c>
      <c r="E24" s="42">
        <v>0</v>
      </c>
      <c r="F24" s="42">
        <v>0</v>
      </c>
      <c r="G24" s="42">
        <v>0</v>
      </c>
      <c r="H24" s="42">
        <v>0</v>
      </c>
      <c r="I24" s="42">
        <v>0</v>
      </c>
      <c r="J24" s="42">
        <v>0</v>
      </c>
      <c r="K24" s="42">
        <v>0</v>
      </c>
      <c r="L24" s="42">
        <v>0</v>
      </c>
      <c r="M24" s="42">
        <v>0</v>
      </c>
      <c r="N24" s="42">
        <v>0</v>
      </c>
      <c r="O24" s="42">
        <v>0</v>
      </c>
      <c r="P24" s="42">
        <f t="shared" si="6"/>
        <v>0</v>
      </c>
      <c r="Q24" s="124" t="str">
        <f t="shared" si="2"/>
        <v>Emp_0021</v>
      </c>
      <c r="R24" s="124" t="str">
        <f t="shared" si="3"/>
        <v>AMIT JADHAV</v>
      </c>
      <c r="S24" s="42">
        <v>0</v>
      </c>
      <c r="T24" s="42">
        <v>0</v>
      </c>
      <c r="U24" s="42">
        <v>0</v>
      </c>
      <c r="V24" s="42">
        <v>0</v>
      </c>
      <c r="W24" s="42">
        <v>0</v>
      </c>
      <c r="X24" s="42">
        <v>1000</v>
      </c>
      <c r="Y24" s="42">
        <v>1000</v>
      </c>
      <c r="Z24" s="42">
        <v>1000</v>
      </c>
      <c r="AA24" s="42">
        <v>0</v>
      </c>
      <c r="AB24" s="42">
        <v>0</v>
      </c>
      <c r="AC24" s="42">
        <v>0</v>
      </c>
      <c r="AD24" s="42">
        <v>0</v>
      </c>
      <c r="AE24" s="120">
        <f t="shared" si="7"/>
        <v>3000</v>
      </c>
      <c r="AF24" s="42">
        <f t="shared" si="1"/>
        <v>3000</v>
      </c>
    </row>
    <row r="25" spans="1:44" ht="16.5" thickTop="1" thickBot="1" x14ac:dyDescent="0.3">
      <c r="A25" s="38" t="s">
        <v>133</v>
      </c>
      <c r="B25" s="38" t="s">
        <v>100</v>
      </c>
      <c r="C25" s="42"/>
      <c r="D25" s="42">
        <v>0</v>
      </c>
      <c r="E25" s="42">
        <v>0</v>
      </c>
      <c r="F25" s="42">
        <v>0</v>
      </c>
      <c r="G25" s="42">
        <v>0</v>
      </c>
      <c r="H25" s="42">
        <v>0</v>
      </c>
      <c r="I25" s="42">
        <v>0</v>
      </c>
      <c r="J25" s="42">
        <v>0</v>
      </c>
      <c r="K25" s="42">
        <v>0</v>
      </c>
      <c r="L25" s="42">
        <v>0</v>
      </c>
      <c r="M25" s="42">
        <v>0</v>
      </c>
      <c r="N25" s="42">
        <v>0</v>
      </c>
      <c r="O25" s="42">
        <v>0</v>
      </c>
      <c r="P25" s="42">
        <f t="shared" si="6"/>
        <v>0</v>
      </c>
      <c r="Q25" s="124" t="str">
        <f t="shared" si="2"/>
        <v>Emp_0022</v>
      </c>
      <c r="R25" s="124" t="str">
        <f t="shared" si="3"/>
        <v>ANKUSH LAHANGE</v>
      </c>
      <c r="S25" s="42">
        <v>0</v>
      </c>
      <c r="T25" s="42">
        <v>0</v>
      </c>
      <c r="U25" s="42">
        <v>0</v>
      </c>
      <c r="V25" s="42">
        <v>0</v>
      </c>
      <c r="W25" s="42">
        <v>0</v>
      </c>
      <c r="X25" s="42">
        <v>0</v>
      </c>
      <c r="Y25" s="42">
        <v>0</v>
      </c>
      <c r="Z25" s="42">
        <v>0</v>
      </c>
      <c r="AA25" s="42">
        <v>0</v>
      </c>
      <c r="AB25" s="42">
        <v>0</v>
      </c>
      <c r="AC25" s="42">
        <v>0</v>
      </c>
      <c r="AD25" s="42">
        <v>0</v>
      </c>
      <c r="AE25" s="120">
        <f t="shared" si="7"/>
        <v>0</v>
      </c>
      <c r="AF25" s="42">
        <f t="shared" si="1"/>
        <v>0</v>
      </c>
    </row>
    <row r="26" spans="1:44" ht="16.5" thickTop="1" thickBot="1" x14ac:dyDescent="0.3">
      <c r="A26" s="38" t="s">
        <v>134</v>
      </c>
      <c r="B26" s="38" t="s">
        <v>101</v>
      </c>
      <c r="C26" s="42">
        <v>5000</v>
      </c>
      <c r="D26" s="42">
        <v>0</v>
      </c>
      <c r="E26" s="42">
        <v>0</v>
      </c>
      <c r="F26" s="42">
        <v>0</v>
      </c>
      <c r="G26" s="42">
        <v>0</v>
      </c>
      <c r="H26" s="42">
        <v>0</v>
      </c>
      <c r="I26" s="42">
        <v>0</v>
      </c>
      <c r="J26" s="42">
        <v>0</v>
      </c>
      <c r="K26" s="42">
        <v>0</v>
      </c>
      <c r="L26" s="42">
        <v>0</v>
      </c>
      <c r="M26" s="42">
        <v>0</v>
      </c>
      <c r="N26" s="42">
        <v>0</v>
      </c>
      <c r="O26" s="42">
        <v>0</v>
      </c>
      <c r="P26" s="42">
        <f t="shared" si="6"/>
        <v>0</v>
      </c>
      <c r="Q26" s="124" t="str">
        <f t="shared" si="2"/>
        <v>Emp_0023</v>
      </c>
      <c r="R26" s="124" t="str">
        <f t="shared" si="3"/>
        <v>JYOTI THAKARE</v>
      </c>
      <c r="S26" s="42">
        <v>0</v>
      </c>
      <c r="T26" s="42">
        <v>0</v>
      </c>
      <c r="U26" s="42">
        <v>0</v>
      </c>
      <c r="V26" s="42">
        <v>0</v>
      </c>
      <c r="W26" s="42">
        <v>0</v>
      </c>
      <c r="X26" s="42">
        <v>2000</v>
      </c>
      <c r="Y26" s="42">
        <v>0</v>
      </c>
      <c r="Z26" s="42">
        <v>2000</v>
      </c>
      <c r="AA26" s="42">
        <v>0</v>
      </c>
      <c r="AB26" s="42">
        <v>0</v>
      </c>
      <c r="AC26" s="42">
        <v>0</v>
      </c>
      <c r="AD26" s="42">
        <v>0</v>
      </c>
      <c r="AE26" s="120">
        <f t="shared" si="7"/>
        <v>4000</v>
      </c>
      <c r="AF26" s="42">
        <f t="shared" si="1"/>
        <v>1000</v>
      </c>
    </row>
    <row r="27" spans="1:44" ht="16.5" thickTop="1" thickBot="1" x14ac:dyDescent="0.3">
      <c r="A27" s="38" t="s">
        <v>135</v>
      </c>
      <c r="B27" s="38" t="s">
        <v>102</v>
      </c>
      <c r="C27" s="42"/>
      <c r="D27" s="42">
        <v>0</v>
      </c>
      <c r="E27" s="42">
        <v>0</v>
      </c>
      <c r="F27" s="42">
        <v>0</v>
      </c>
      <c r="G27" s="42">
        <v>0</v>
      </c>
      <c r="H27" s="42">
        <v>0</v>
      </c>
      <c r="I27" s="42">
        <v>0</v>
      </c>
      <c r="J27" s="42">
        <v>0</v>
      </c>
      <c r="K27" s="42">
        <v>0</v>
      </c>
      <c r="L27" s="42">
        <v>0</v>
      </c>
      <c r="M27" s="42">
        <v>0</v>
      </c>
      <c r="N27" s="42">
        <v>0</v>
      </c>
      <c r="O27" s="42">
        <v>0</v>
      </c>
      <c r="P27" s="42">
        <f t="shared" si="6"/>
        <v>0</v>
      </c>
      <c r="Q27" s="124" t="str">
        <f t="shared" si="2"/>
        <v>Emp_0024</v>
      </c>
      <c r="R27" s="124" t="str">
        <f t="shared" si="3"/>
        <v>LAXMAN BHOIR</v>
      </c>
      <c r="S27" s="42">
        <v>0</v>
      </c>
      <c r="T27" s="42">
        <v>0</v>
      </c>
      <c r="U27" s="42">
        <v>0</v>
      </c>
      <c r="V27" s="42">
        <v>0</v>
      </c>
      <c r="W27" s="42">
        <v>0</v>
      </c>
      <c r="X27" s="42">
        <v>0</v>
      </c>
      <c r="Y27" s="42">
        <v>0</v>
      </c>
      <c r="Z27" s="42">
        <v>0</v>
      </c>
      <c r="AA27" s="42">
        <v>0</v>
      </c>
      <c r="AB27" s="42">
        <v>0</v>
      </c>
      <c r="AC27" s="42">
        <v>0</v>
      </c>
      <c r="AD27" s="42">
        <v>0</v>
      </c>
      <c r="AE27" s="120">
        <f t="shared" si="7"/>
        <v>0</v>
      </c>
      <c r="AF27" s="42">
        <f t="shared" si="1"/>
        <v>0</v>
      </c>
    </row>
    <row r="28" spans="1:44" ht="16.5" thickTop="1" thickBot="1" x14ac:dyDescent="0.3">
      <c r="A28" s="38" t="s">
        <v>136</v>
      </c>
      <c r="B28" s="38" t="s">
        <v>103</v>
      </c>
      <c r="C28" s="42"/>
      <c r="D28" s="42">
        <v>0</v>
      </c>
      <c r="E28" s="42">
        <v>0</v>
      </c>
      <c r="F28" s="42">
        <v>0</v>
      </c>
      <c r="G28" s="42">
        <v>0</v>
      </c>
      <c r="H28" s="42">
        <v>0</v>
      </c>
      <c r="I28" s="42">
        <v>0</v>
      </c>
      <c r="J28" s="42">
        <v>0</v>
      </c>
      <c r="K28" s="42">
        <v>0</v>
      </c>
      <c r="L28" s="42">
        <v>0</v>
      </c>
      <c r="M28" s="42">
        <v>0</v>
      </c>
      <c r="N28" s="42">
        <v>0</v>
      </c>
      <c r="O28" s="42">
        <v>0</v>
      </c>
      <c r="P28" s="42">
        <f t="shared" si="6"/>
        <v>0</v>
      </c>
      <c r="Q28" s="124" t="str">
        <f t="shared" si="2"/>
        <v>Emp_0025</v>
      </c>
      <c r="R28" s="124" t="str">
        <f t="shared" si="3"/>
        <v>MANGESH SUTAR</v>
      </c>
      <c r="S28" s="42">
        <v>0</v>
      </c>
      <c r="T28" s="42">
        <v>0</v>
      </c>
      <c r="U28" s="42">
        <v>0</v>
      </c>
      <c r="V28" s="42">
        <v>0</v>
      </c>
      <c r="W28" s="42">
        <v>0</v>
      </c>
      <c r="X28" s="42">
        <v>0</v>
      </c>
      <c r="Y28" s="42">
        <v>0</v>
      </c>
      <c r="Z28" s="42">
        <v>0</v>
      </c>
      <c r="AA28" s="42">
        <v>0</v>
      </c>
      <c r="AB28" s="42">
        <v>0</v>
      </c>
      <c r="AC28" s="42">
        <v>0</v>
      </c>
      <c r="AD28" s="42">
        <v>0</v>
      </c>
      <c r="AE28" s="120">
        <f t="shared" si="7"/>
        <v>0</v>
      </c>
      <c r="AF28" s="42">
        <f t="shared" si="1"/>
        <v>0</v>
      </c>
    </row>
    <row r="29" spans="1:44" ht="16.5" thickTop="1" thickBot="1" x14ac:dyDescent="0.3">
      <c r="A29" s="38" t="s">
        <v>137</v>
      </c>
      <c r="B29" s="38" t="s">
        <v>104</v>
      </c>
      <c r="C29" s="42">
        <v>11000</v>
      </c>
      <c r="D29" s="42">
        <v>0</v>
      </c>
      <c r="E29" s="42">
        <v>0</v>
      </c>
      <c r="F29" s="42">
        <v>0</v>
      </c>
      <c r="G29" s="42">
        <v>0</v>
      </c>
      <c r="H29" s="42">
        <v>0</v>
      </c>
      <c r="I29" s="42">
        <v>0</v>
      </c>
      <c r="J29" s="42">
        <v>0</v>
      </c>
      <c r="K29" s="42">
        <v>0</v>
      </c>
      <c r="L29" s="42">
        <v>0</v>
      </c>
      <c r="M29" s="42">
        <v>0</v>
      </c>
      <c r="N29" s="42">
        <v>0</v>
      </c>
      <c r="O29" s="42">
        <v>0</v>
      </c>
      <c r="P29" s="42">
        <f t="shared" si="6"/>
        <v>0</v>
      </c>
      <c r="Q29" s="124" t="str">
        <f t="shared" si="2"/>
        <v>Emp_0026</v>
      </c>
      <c r="R29" s="124" t="str">
        <f t="shared" si="3"/>
        <v>NARESH LAHANGE</v>
      </c>
      <c r="S29" s="42">
        <v>0</v>
      </c>
      <c r="T29" s="42">
        <v>0</v>
      </c>
      <c r="U29" s="42">
        <v>0</v>
      </c>
      <c r="V29" s="42">
        <v>0</v>
      </c>
      <c r="W29" s="42">
        <v>0</v>
      </c>
      <c r="X29" s="42">
        <v>1000</v>
      </c>
      <c r="Y29" s="42">
        <v>1000</v>
      </c>
      <c r="Z29" s="42">
        <v>1000</v>
      </c>
      <c r="AA29" s="42">
        <v>0</v>
      </c>
      <c r="AB29" s="42">
        <v>0</v>
      </c>
      <c r="AC29" s="42">
        <v>0</v>
      </c>
      <c r="AD29" s="42">
        <v>0</v>
      </c>
      <c r="AE29" s="120">
        <f t="shared" si="7"/>
        <v>3000</v>
      </c>
      <c r="AF29" s="42">
        <f t="shared" si="1"/>
        <v>8000</v>
      </c>
    </row>
    <row r="30" spans="1:44" ht="16.5" thickTop="1" thickBot="1" x14ac:dyDescent="0.3">
      <c r="A30" s="38" t="s">
        <v>138</v>
      </c>
      <c r="B30" s="38" t="s">
        <v>105</v>
      </c>
      <c r="C30" s="42">
        <v>500</v>
      </c>
      <c r="D30" s="42">
        <v>0</v>
      </c>
      <c r="E30" s="42">
        <v>0</v>
      </c>
      <c r="F30" s="42">
        <v>0</v>
      </c>
      <c r="G30" s="42">
        <v>0</v>
      </c>
      <c r="H30" s="42">
        <v>0</v>
      </c>
      <c r="I30" s="42">
        <v>0</v>
      </c>
      <c r="J30" s="42">
        <v>0</v>
      </c>
      <c r="K30" s="42">
        <v>0</v>
      </c>
      <c r="L30" s="42">
        <v>0</v>
      </c>
      <c r="M30" s="42">
        <v>0</v>
      </c>
      <c r="N30" s="42">
        <v>0</v>
      </c>
      <c r="O30" s="42">
        <v>0</v>
      </c>
      <c r="P30" s="42">
        <f t="shared" si="6"/>
        <v>0</v>
      </c>
      <c r="Q30" s="124" t="str">
        <f t="shared" si="2"/>
        <v>Emp_0027</v>
      </c>
      <c r="R30" s="124" t="str">
        <f t="shared" si="3"/>
        <v>PRADIP LAHANGE</v>
      </c>
      <c r="S30" s="42">
        <v>0</v>
      </c>
      <c r="T30" s="42">
        <v>0</v>
      </c>
      <c r="U30" s="42">
        <v>0</v>
      </c>
      <c r="V30" s="42">
        <v>0</v>
      </c>
      <c r="W30" s="42">
        <v>0</v>
      </c>
      <c r="X30" s="42">
        <v>500</v>
      </c>
      <c r="Y30" s="42">
        <v>500</v>
      </c>
      <c r="Z30" s="42">
        <v>0</v>
      </c>
      <c r="AA30" s="42">
        <v>0</v>
      </c>
      <c r="AB30" s="42">
        <v>0</v>
      </c>
      <c r="AC30" s="42">
        <v>0</v>
      </c>
      <c r="AD30" s="42">
        <v>0</v>
      </c>
      <c r="AE30" s="120">
        <f t="shared" si="7"/>
        <v>1000</v>
      </c>
      <c r="AF30" s="42">
        <f t="shared" si="1"/>
        <v>-500</v>
      </c>
    </row>
    <row r="31" spans="1:44" ht="16.5" thickTop="1" thickBot="1" x14ac:dyDescent="0.3">
      <c r="A31" s="38" t="s">
        <v>139</v>
      </c>
      <c r="B31" s="38" t="s">
        <v>106</v>
      </c>
      <c r="C31" s="42">
        <v>8000</v>
      </c>
      <c r="D31" s="42">
        <v>0</v>
      </c>
      <c r="E31" s="42">
        <v>0</v>
      </c>
      <c r="F31" s="42">
        <v>0</v>
      </c>
      <c r="G31" s="42">
        <v>0</v>
      </c>
      <c r="H31" s="42">
        <v>0</v>
      </c>
      <c r="I31" s="42">
        <v>0</v>
      </c>
      <c r="J31" s="42">
        <v>0</v>
      </c>
      <c r="K31" s="42">
        <v>0</v>
      </c>
      <c r="L31" s="42">
        <v>0</v>
      </c>
      <c r="M31" s="42">
        <v>0</v>
      </c>
      <c r="N31" s="42">
        <v>0</v>
      </c>
      <c r="O31" s="42">
        <v>0</v>
      </c>
      <c r="P31" s="42">
        <f t="shared" si="6"/>
        <v>0</v>
      </c>
      <c r="Q31" s="124" t="str">
        <f t="shared" si="2"/>
        <v>Emp_0028</v>
      </c>
      <c r="R31" s="124" t="str">
        <f t="shared" si="3"/>
        <v>RAMESH LAHANGE</v>
      </c>
      <c r="S31" s="42">
        <v>0</v>
      </c>
      <c r="T31" s="42">
        <v>0</v>
      </c>
      <c r="U31" s="42">
        <v>0</v>
      </c>
      <c r="V31" s="42">
        <v>0</v>
      </c>
      <c r="W31" s="42">
        <v>0</v>
      </c>
      <c r="X31" s="42">
        <v>1000</v>
      </c>
      <c r="Y31" s="42">
        <v>1000</v>
      </c>
      <c r="Z31" s="42">
        <v>1000</v>
      </c>
      <c r="AA31" s="42">
        <v>0</v>
      </c>
      <c r="AB31" s="42">
        <v>0</v>
      </c>
      <c r="AC31" s="42">
        <v>0</v>
      </c>
      <c r="AD31" s="42">
        <v>0</v>
      </c>
      <c r="AE31" s="120">
        <f t="shared" si="7"/>
        <v>3000</v>
      </c>
      <c r="AF31" s="42">
        <f t="shared" si="1"/>
        <v>5000</v>
      </c>
    </row>
    <row r="32" spans="1:44" ht="16.5" thickTop="1" thickBot="1" x14ac:dyDescent="0.3">
      <c r="A32" s="38" t="s">
        <v>140</v>
      </c>
      <c r="B32" s="38" t="s">
        <v>107</v>
      </c>
      <c r="C32" s="42">
        <v>12500</v>
      </c>
      <c r="D32" s="42">
        <v>0</v>
      </c>
      <c r="E32" s="42">
        <v>0</v>
      </c>
      <c r="F32" s="42">
        <v>0</v>
      </c>
      <c r="G32" s="42">
        <v>0</v>
      </c>
      <c r="H32" s="42">
        <v>0</v>
      </c>
      <c r="I32" s="42">
        <v>0</v>
      </c>
      <c r="J32" s="42">
        <v>0</v>
      </c>
      <c r="K32" s="42">
        <v>0</v>
      </c>
      <c r="L32" s="42">
        <v>0</v>
      </c>
      <c r="M32" s="42">
        <v>0</v>
      </c>
      <c r="N32" s="42">
        <v>0</v>
      </c>
      <c r="O32" s="42">
        <v>0</v>
      </c>
      <c r="P32" s="42">
        <f t="shared" si="6"/>
        <v>0</v>
      </c>
      <c r="Q32" s="124" t="str">
        <f t="shared" si="2"/>
        <v>Emp_0029</v>
      </c>
      <c r="R32" s="124" t="str">
        <f t="shared" si="3"/>
        <v>RUPESH LAHANGE</v>
      </c>
      <c r="S32" s="42">
        <v>0</v>
      </c>
      <c r="T32" s="42">
        <v>0</v>
      </c>
      <c r="U32" s="42">
        <v>0</v>
      </c>
      <c r="V32" s="42">
        <v>0</v>
      </c>
      <c r="W32" s="42">
        <v>0</v>
      </c>
      <c r="X32" s="42">
        <v>1500</v>
      </c>
      <c r="Y32" s="42">
        <v>1500</v>
      </c>
      <c r="Z32" s="42">
        <v>1500</v>
      </c>
      <c r="AA32" s="42">
        <v>0</v>
      </c>
      <c r="AB32" s="42">
        <v>0</v>
      </c>
      <c r="AC32" s="42">
        <v>0</v>
      </c>
      <c r="AD32" s="42">
        <v>0</v>
      </c>
      <c r="AE32" s="120">
        <f t="shared" si="7"/>
        <v>4500</v>
      </c>
      <c r="AF32" s="42">
        <f t="shared" si="1"/>
        <v>8000</v>
      </c>
    </row>
    <row r="33" spans="1:32" ht="16.5" thickTop="1" thickBot="1" x14ac:dyDescent="0.3">
      <c r="A33" s="38" t="s">
        <v>141</v>
      </c>
      <c r="B33" s="38" t="s">
        <v>238</v>
      </c>
      <c r="C33" s="42">
        <v>2000</v>
      </c>
      <c r="D33" s="42">
        <v>0</v>
      </c>
      <c r="E33" s="42">
        <v>0</v>
      </c>
      <c r="F33" s="42">
        <v>0</v>
      </c>
      <c r="G33" s="42">
        <v>0</v>
      </c>
      <c r="H33" s="42">
        <v>0</v>
      </c>
      <c r="I33" s="42">
        <v>0</v>
      </c>
      <c r="J33" s="42">
        <v>0</v>
      </c>
      <c r="K33" s="42">
        <v>0</v>
      </c>
      <c r="L33" s="42">
        <v>0</v>
      </c>
      <c r="M33" s="42">
        <v>0</v>
      </c>
      <c r="N33" s="42">
        <v>0</v>
      </c>
      <c r="O33" s="42">
        <v>0</v>
      </c>
      <c r="P33" s="42">
        <f t="shared" si="6"/>
        <v>0</v>
      </c>
      <c r="Q33" s="124" t="str">
        <f t="shared" si="2"/>
        <v>Emp_0030</v>
      </c>
      <c r="R33" s="124" t="str">
        <f t="shared" si="3"/>
        <v>SANJAY THAKARE</v>
      </c>
      <c r="S33" s="42">
        <v>0</v>
      </c>
      <c r="T33" s="42">
        <v>0</v>
      </c>
      <c r="U33" s="42">
        <v>0</v>
      </c>
      <c r="V33" s="42">
        <v>0</v>
      </c>
      <c r="W33" s="42">
        <v>0</v>
      </c>
      <c r="X33" s="42">
        <v>2000</v>
      </c>
      <c r="Y33" s="42">
        <v>2000</v>
      </c>
      <c r="Z33" s="42">
        <v>0</v>
      </c>
      <c r="AA33" s="42">
        <v>0</v>
      </c>
      <c r="AB33" s="42">
        <v>0</v>
      </c>
      <c r="AC33" s="42">
        <v>0</v>
      </c>
      <c r="AD33" s="42">
        <v>0</v>
      </c>
      <c r="AE33" s="120">
        <f t="shared" si="7"/>
        <v>4000</v>
      </c>
      <c r="AF33" s="42">
        <f t="shared" si="1"/>
        <v>-2000</v>
      </c>
    </row>
    <row r="34" spans="1:32" ht="16.5" thickTop="1" thickBot="1" x14ac:dyDescent="0.3">
      <c r="A34" s="38" t="s">
        <v>142</v>
      </c>
      <c r="B34" s="38" t="s">
        <v>108</v>
      </c>
      <c r="C34" s="42"/>
      <c r="D34" s="42">
        <v>0</v>
      </c>
      <c r="E34" s="42">
        <v>0</v>
      </c>
      <c r="F34" s="42">
        <v>0</v>
      </c>
      <c r="G34" s="42">
        <v>0</v>
      </c>
      <c r="H34" s="42">
        <v>0</v>
      </c>
      <c r="I34" s="42">
        <v>0</v>
      </c>
      <c r="J34" s="42">
        <v>0</v>
      </c>
      <c r="K34" s="42">
        <v>0</v>
      </c>
      <c r="L34" s="42">
        <v>0</v>
      </c>
      <c r="M34" s="42">
        <v>0</v>
      </c>
      <c r="N34" s="42">
        <v>0</v>
      </c>
      <c r="O34" s="42">
        <v>0</v>
      </c>
      <c r="P34" s="42">
        <f t="shared" si="6"/>
        <v>0</v>
      </c>
      <c r="Q34" s="124" t="str">
        <f t="shared" si="2"/>
        <v>Emp_0031</v>
      </c>
      <c r="R34" s="124" t="str">
        <f t="shared" si="3"/>
        <v>AJIT THAKARE</v>
      </c>
      <c r="S34" s="42">
        <v>0</v>
      </c>
      <c r="T34" s="42">
        <v>0</v>
      </c>
      <c r="U34" s="42">
        <v>0</v>
      </c>
      <c r="V34" s="42">
        <v>0</v>
      </c>
      <c r="W34" s="42">
        <v>0</v>
      </c>
      <c r="X34" s="42">
        <v>0</v>
      </c>
      <c r="Y34" s="42">
        <v>0</v>
      </c>
      <c r="Z34" s="42">
        <v>0</v>
      </c>
      <c r="AA34" s="42">
        <v>0</v>
      </c>
      <c r="AB34" s="42">
        <v>0</v>
      </c>
      <c r="AC34" s="42">
        <v>0</v>
      </c>
      <c r="AD34" s="42">
        <v>0</v>
      </c>
      <c r="AE34" s="120">
        <f t="shared" si="7"/>
        <v>0</v>
      </c>
      <c r="AF34" s="42">
        <f t="shared" si="1"/>
        <v>0</v>
      </c>
    </row>
    <row r="35" spans="1:32" ht="16.5" thickTop="1" thickBot="1" x14ac:dyDescent="0.3">
      <c r="A35" s="38" t="s">
        <v>143</v>
      </c>
      <c r="B35" s="38" t="s">
        <v>109</v>
      </c>
      <c r="C35" s="42"/>
      <c r="D35" s="42">
        <v>0</v>
      </c>
      <c r="E35" s="42">
        <v>0</v>
      </c>
      <c r="F35" s="42">
        <v>0</v>
      </c>
      <c r="G35" s="42">
        <v>0</v>
      </c>
      <c r="H35" s="42">
        <v>0</v>
      </c>
      <c r="I35" s="42">
        <v>0</v>
      </c>
      <c r="J35" s="42">
        <v>0</v>
      </c>
      <c r="K35" s="42">
        <v>0</v>
      </c>
      <c r="L35" s="42">
        <v>0</v>
      </c>
      <c r="M35" s="42">
        <v>0</v>
      </c>
      <c r="N35" s="42">
        <v>0</v>
      </c>
      <c r="O35" s="42">
        <v>0</v>
      </c>
      <c r="P35" s="42">
        <f t="shared" si="6"/>
        <v>0</v>
      </c>
      <c r="Q35" s="124" t="str">
        <f t="shared" si="2"/>
        <v>Emp_0032</v>
      </c>
      <c r="R35" s="124" t="str">
        <f t="shared" si="3"/>
        <v>DARPAN PARHAD</v>
      </c>
      <c r="S35" s="42">
        <v>0</v>
      </c>
      <c r="T35" s="42">
        <v>0</v>
      </c>
      <c r="U35" s="42">
        <v>0</v>
      </c>
      <c r="V35" s="42">
        <v>0</v>
      </c>
      <c r="W35" s="42">
        <v>0</v>
      </c>
      <c r="X35" s="42">
        <v>0</v>
      </c>
      <c r="Y35" s="42">
        <v>0</v>
      </c>
      <c r="Z35" s="42">
        <v>0</v>
      </c>
      <c r="AA35" s="42">
        <v>0</v>
      </c>
      <c r="AB35" s="42">
        <v>0</v>
      </c>
      <c r="AC35" s="42">
        <v>0</v>
      </c>
      <c r="AD35" s="42">
        <v>0</v>
      </c>
      <c r="AE35" s="120">
        <f t="shared" si="7"/>
        <v>0</v>
      </c>
      <c r="AF35" s="42">
        <f t="shared" si="1"/>
        <v>0</v>
      </c>
    </row>
    <row r="36" spans="1:32" ht="16.5" thickTop="1" thickBot="1" x14ac:dyDescent="0.3">
      <c r="A36" s="38" t="s">
        <v>144</v>
      </c>
      <c r="B36" s="38" t="s">
        <v>110</v>
      </c>
      <c r="C36" s="42"/>
      <c r="D36" s="42">
        <v>0</v>
      </c>
      <c r="E36" s="42">
        <v>0</v>
      </c>
      <c r="F36" s="42">
        <v>0</v>
      </c>
      <c r="G36" s="42">
        <v>0</v>
      </c>
      <c r="H36" s="42">
        <v>0</v>
      </c>
      <c r="I36" s="42">
        <v>0</v>
      </c>
      <c r="J36" s="42">
        <v>0</v>
      </c>
      <c r="K36" s="42">
        <v>0</v>
      </c>
      <c r="L36" s="42">
        <v>0</v>
      </c>
      <c r="M36" s="42">
        <v>0</v>
      </c>
      <c r="N36" s="42">
        <v>0</v>
      </c>
      <c r="O36" s="42">
        <v>0</v>
      </c>
      <c r="P36" s="42">
        <f t="shared" si="6"/>
        <v>0</v>
      </c>
      <c r="Q36" s="124" t="str">
        <f t="shared" si="2"/>
        <v>Emp_0033</v>
      </c>
      <c r="R36" s="124" t="str">
        <f t="shared" si="3"/>
        <v>MAHESH LAHANGE</v>
      </c>
      <c r="S36" s="42">
        <v>0</v>
      </c>
      <c r="T36" s="42">
        <v>0</v>
      </c>
      <c r="U36" s="42">
        <v>0</v>
      </c>
      <c r="V36" s="42">
        <v>0</v>
      </c>
      <c r="W36" s="42">
        <v>0</v>
      </c>
      <c r="X36" s="42">
        <v>0</v>
      </c>
      <c r="Y36" s="42">
        <v>0</v>
      </c>
      <c r="Z36" s="42">
        <v>0</v>
      </c>
      <c r="AA36" s="42">
        <v>0</v>
      </c>
      <c r="AB36" s="42">
        <v>0</v>
      </c>
      <c r="AC36" s="42">
        <v>0</v>
      </c>
      <c r="AD36" s="42">
        <v>0</v>
      </c>
      <c r="AE36" s="120">
        <f t="shared" si="7"/>
        <v>0</v>
      </c>
      <c r="AF36" s="42">
        <f t="shared" si="1"/>
        <v>0</v>
      </c>
    </row>
    <row r="37" spans="1:32" ht="16.5" thickTop="1" thickBot="1" x14ac:dyDescent="0.3">
      <c r="A37" s="38" t="s">
        <v>145</v>
      </c>
      <c r="B37" s="38" t="s">
        <v>111</v>
      </c>
      <c r="C37" s="42"/>
      <c r="D37" s="42">
        <v>0</v>
      </c>
      <c r="E37" s="42">
        <v>0</v>
      </c>
      <c r="F37" s="42">
        <v>0</v>
      </c>
      <c r="G37" s="42">
        <v>0</v>
      </c>
      <c r="H37" s="42">
        <v>0</v>
      </c>
      <c r="I37" s="42">
        <v>0</v>
      </c>
      <c r="J37" s="42">
        <v>0</v>
      </c>
      <c r="K37" s="42">
        <v>0</v>
      </c>
      <c r="L37" s="42">
        <v>0</v>
      </c>
      <c r="M37" s="42">
        <v>0</v>
      </c>
      <c r="N37" s="42">
        <v>0</v>
      </c>
      <c r="O37" s="42">
        <v>0</v>
      </c>
      <c r="P37" s="42">
        <f t="shared" si="6"/>
        <v>0</v>
      </c>
      <c r="Q37" s="124" t="str">
        <f t="shared" si="2"/>
        <v>Emp_0034</v>
      </c>
      <c r="R37" s="124" t="str">
        <f t="shared" si="3"/>
        <v>RUPESH GIRANE</v>
      </c>
      <c r="S37" s="42">
        <v>0</v>
      </c>
      <c r="T37" s="42">
        <v>0</v>
      </c>
      <c r="U37" s="42">
        <v>0</v>
      </c>
      <c r="V37" s="42">
        <v>0</v>
      </c>
      <c r="W37" s="42">
        <v>0</v>
      </c>
      <c r="X37" s="42">
        <v>0</v>
      </c>
      <c r="Y37" s="42">
        <v>0</v>
      </c>
      <c r="Z37" s="42">
        <v>0</v>
      </c>
      <c r="AA37" s="42">
        <v>0</v>
      </c>
      <c r="AB37" s="42">
        <v>0</v>
      </c>
      <c r="AC37" s="42">
        <v>0</v>
      </c>
      <c r="AD37" s="42">
        <v>0</v>
      </c>
      <c r="AE37" s="120">
        <f t="shared" si="7"/>
        <v>0</v>
      </c>
      <c r="AF37" s="42">
        <f t="shared" si="1"/>
        <v>0</v>
      </c>
    </row>
    <row r="38" spans="1:32" ht="16.5" thickTop="1" thickBot="1" x14ac:dyDescent="0.3">
      <c r="A38" s="38" t="s">
        <v>146</v>
      </c>
      <c r="B38" s="38" t="s">
        <v>112</v>
      </c>
      <c r="C38" s="42"/>
      <c r="D38" s="42">
        <v>0</v>
      </c>
      <c r="E38" s="42">
        <v>0</v>
      </c>
      <c r="F38" s="42">
        <v>0</v>
      </c>
      <c r="G38" s="42">
        <v>0</v>
      </c>
      <c r="H38" s="42">
        <v>0</v>
      </c>
      <c r="I38" s="42">
        <v>0</v>
      </c>
      <c r="J38" s="42">
        <v>0</v>
      </c>
      <c r="K38" s="42">
        <v>0</v>
      </c>
      <c r="L38" s="42">
        <v>0</v>
      </c>
      <c r="M38" s="42">
        <v>0</v>
      </c>
      <c r="N38" s="42">
        <v>0</v>
      </c>
      <c r="O38" s="42">
        <v>0</v>
      </c>
      <c r="P38" s="42">
        <f t="shared" si="6"/>
        <v>0</v>
      </c>
      <c r="Q38" s="124" t="str">
        <f t="shared" si="2"/>
        <v>Emp_0035</v>
      </c>
      <c r="R38" s="124" t="str">
        <f t="shared" si="3"/>
        <v>VICKY THAKARE</v>
      </c>
      <c r="S38" s="42">
        <v>0</v>
      </c>
      <c r="T38" s="42">
        <v>0</v>
      </c>
      <c r="U38" s="42">
        <v>0</v>
      </c>
      <c r="V38" s="42">
        <v>0</v>
      </c>
      <c r="W38" s="42">
        <v>0</v>
      </c>
      <c r="X38" s="42">
        <v>0</v>
      </c>
      <c r="Y38" s="42">
        <v>0</v>
      </c>
      <c r="Z38" s="42">
        <v>0</v>
      </c>
      <c r="AA38" s="42">
        <v>0</v>
      </c>
      <c r="AB38" s="42">
        <v>0</v>
      </c>
      <c r="AC38" s="42">
        <v>0</v>
      </c>
      <c r="AD38" s="42">
        <v>0</v>
      </c>
      <c r="AE38" s="120">
        <f t="shared" si="7"/>
        <v>0</v>
      </c>
      <c r="AF38" s="42">
        <f t="shared" si="1"/>
        <v>0</v>
      </c>
    </row>
    <row r="39" spans="1:32" ht="16.5" thickTop="1" thickBot="1" x14ac:dyDescent="0.3">
      <c r="A39" s="38" t="s">
        <v>147</v>
      </c>
      <c r="B39" s="38" t="s">
        <v>113</v>
      </c>
      <c r="C39" s="42">
        <v>2000</v>
      </c>
      <c r="D39" s="42">
        <v>0</v>
      </c>
      <c r="E39" s="42">
        <v>0</v>
      </c>
      <c r="F39" s="42">
        <v>0</v>
      </c>
      <c r="G39" s="42">
        <v>0</v>
      </c>
      <c r="H39" s="42">
        <v>0</v>
      </c>
      <c r="I39" s="42">
        <v>0</v>
      </c>
      <c r="J39" s="42">
        <v>0</v>
      </c>
      <c r="K39" s="42">
        <v>0</v>
      </c>
      <c r="L39" s="42">
        <v>0</v>
      </c>
      <c r="M39" s="42">
        <v>0</v>
      </c>
      <c r="N39" s="42">
        <v>0</v>
      </c>
      <c r="O39" s="42">
        <v>0</v>
      </c>
      <c r="P39" s="42">
        <f t="shared" si="6"/>
        <v>0</v>
      </c>
      <c r="Q39" s="124" t="str">
        <f t="shared" si="2"/>
        <v>Emp_0036</v>
      </c>
      <c r="R39" s="124" t="str">
        <f t="shared" si="3"/>
        <v>VILAS THAKARE</v>
      </c>
      <c r="S39" s="42">
        <v>0</v>
      </c>
      <c r="T39" s="42">
        <v>0</v>
      </c>
      <c r="U39" s="42">
        <v>0</v>
      </c>
      <c r="V39" s="42">
        <v>0</v>
      </c>
      <c r="W39" s="42">
        <v>0</v>
      </c>
      <c r="X39" s="42">
        <v>2000</v>
      </c>
      <c r="Y39" s="42">
        <v>2000</v>
      </c>
      <c r="Z39" s="42">
        <v>0</v>
      </c>
      <c r="AA39" s="42">
        <v>0</v>
      </c>
      <c r="AB39" s="42">
        <v>0</v>
      </c>
      <c r="AC39" s="42">
        <v>0</v>
      </c>
      <c r="AD39" s="42">
        <v>0</v>
      </c>
      <c r="AE39" s="120">
        <f t="shared" si="7"/>
        <v>4000</v>
      </c>
      <c r="AF39" s="42">
        <f t="shared" si="1"/>
        <v>-2000</v>
      </c>
    </row>
    <row r="40" spans="1:32" ht="16.5" thickTop="1" thickBot="1" x14ac:dyDescent="0.3">
      <c r="A40" s="38" t="s">
        <v>148</v>
      </c>
      <c r="B40" s="38" t="s">
        <v>114</v>
      </c>
      <c r="C40" s="42"/>
      <c r="D40" s="42">
        <v>0</v>
      </c>
      <c r="E40" s="42">
        <v>0</v>
      </c>
      <c r="F40" s="42">
        <v>0</v>
      </c>
      <c r="G40" s="42">
        <v>0</v>
      </c>
      <c r="H40" s="42">
        <v>0</v>
      </c>
      <c r="I40" s="42">
        <v>0</v>
      </c>
      <c r="J40" s="42">
        <v>0</v>
      </c>
      <c r="K40" s="42">
        <v>0</v>
      </c>
      <c r="L40" s="42">
        <v>0</v>
      </c>
      <c r="M40" s="42">
        <v>0</v>
      </c>
      <c r="N40" s="42">
        <v>0</v>
      </c>
      <c r="O40" s="42">
        <v>0</v>
      </c>
      <c r="P40" s="42">
        <f t="shared" si="6"/>
        <v>0</v>
      </c>
      <c r="Q40" s="124" t="str">
        <f t="shared" si="2"/>
        <v>Emp_0037</v>
      </c>
      <c r="R40" s="124" t="str">
        <f t="shared" si="3"/>
        <v>SUREKHA GHARAT</v>
      </c>
      <c r="S40" s="42">
        <v>0</v>
      </c>
      <c r="T40" s="42">
        <v>0</v>
      </c>
      <c r="U40" s="42">
        <v>0</v>
      </c>
      <c r="V40" s="42">
        <v>0</v>
      </c>
      <c r="W40" s="42">
        <v>0</v>
      </c>
      <c r="X40" s="42">
        <v>0</v>
      </c>
      <c r="Y40" s="42">
        <v>0</v>
      </c>
      <c r="Z40" s="42">
        <v>0</v>
      </c>
      <c r="AA40" s="42">
        <v>0</v>
      </c>
      <c r="AB40" s="42">
        <v>0</v>
      </c>
      <c r="AC40" s="42">
        <v>0</v>
      </c>
      <c r="AD40" s="42">
        <v>0</v>
      </c>
      <c r="AE40" s="120">
        <f t="shared" si="7"/>
        <v>0</v>
      </c>
      <c r="AF40" s="42">
        <f t="shared" si="1"/>
        <v>0</v>
      </c>
    </row>
    <row r="41" spans="1:32" ht="16.5" thickTop="1" thickBot="1" x14ac:dyDescent="0.3">
      <c r="A41" s="38" t="s">
        <v>149</v>
      </c>
      <c r="B41" s="38" t="s">
        <v>115</v>
      </c>
      <c r="C41" s="42">
        <v>500</v>
      </c>
      <c r="D41" s="42">
        <v>0</v>
      </c>
      <c r="E41" s="42">
        <v>0</v>
      </c>
      <c r="F41" s="42">
        <v>0</v>
      </c>
      <c r="G41" s="42">
        <v>0</v>
      </c>
      <c r="H41" s="42">
        <v>0</v>
      </c>
      <c r="I41" s="42">
        <v>0</v>
      </c>
      <c r="J41" s="42">
        <v>0</v>
      </c>
      <c r="K41" s="42">
        <v>0</v>
      </c>
      <c r="L41" s="42">
        <v>0</v>
      </c>
      <c r="M41" s="42">
        <v>0</v>
      </c>
      <c r="N41" s="42">
        <v>0</v>
      </c>
      <c r="O41" s="42">
        <v>0</v>
      </c>
      <c r="P41" s="42">
        <f t="shared" si="6"/>
        <v>0</v>
      </c>
      <c r="Q41" s="124" t="str">
        <f t="shared" si="2"/>
        <v>Emp_0038</v>
      </c>
      <c r="R41" s="124" t="str">
        <f t="shared" si="3"/>
        <v>MR.RAMU PAWAR</v>
      </c>
      <c r="S41" s="42">
        <v>0</v>
      </c>
      <c r="T41" s="42">
        <v>0</v>
      </c>
      <c r="U41" s="42">
        <v>0</v>
      </c>
      <c r="V41" s="42">
        <v>0</v>
      </c>
      <c r="W41" s="42">
        <v>0</v>
      </c>
      <c r="X41" s="42">
        <v>0</v>
      </c>
      <c r="Y41" s="42">
        <v>0</v>
      </c>
      <c r="Z41" s="42">
        <v>0</v>
      </c>
      <c r="AA41" s="42">
        <v>0</v>
      </c>
      <c r="AB41" s="42">
        <v>0</v>
      </c>
      <c r="AC41" s="42">
        <v>0</v>
      </c>
      <c r="AD41" s="42">
        <v>0</v>
      </c>
      <c r="AE41" s="120">
        <f t="shared" si="7"/>
        <v>0</v>
      </c>
      <c r="AF41" s="42">
        <f t="shared" si="1"/>
        <v>500</v>
      </c>
    </row>
    <row r="42" spans="1:32" ht="16.5" thickTop="1" thickBot="1" x14ac:dyDescent="0.3">
      <c r="A42" s="38" t="s">
        <v>181</v>
      </c>
      <c r="B42" s="38" t="s">
        <v>116</v>
      </c>
      <c r="C42" s="42"/>
      <c r="D42" s="42">
        <v>0</v>
      </c>
      <c r="E42" s="42">
        <v>0</v>
      </c>
      <c r="F42" s="42">
        <v>0</v>
      </c>
      <c r="G42" s="42">
        <v>0</v>
      </c>
      <c r="H42" s="42">
        <v>0</v>
      </c>
      <c r="I42" s="42">
        <v>0</v>
      </c>
      <c r="J42" s="42">
        <v>0</v>
      </c>
      <c r="K42" s="42">
        <v>0</v>
      </c>
      <c r="L42" s="42">
        <v>0</v>
      </c>
      <c r="M42" s="42">
        <v>0</v>
      </c>
      <c r="N42" s="42">
        <v>0</v>
      </c>
      <c r="O42" s="42">
        <v>0</v>
      </c>
      <c r="P42" s="42">
        <f t="shared" si="6"/>
        <v>0</v>
      </c>
      <c r="Q42" s="124" t="str">
        <f t="shared" si="2"/>
        <v>Emp_0039</v>
      </c>
      <c r="R42" s="124" t="str">
        <f t="shared" si="3"/>
        <v>MR.RATANA THAKARE</v>
      </c>
      <c r="S42" s="42">
        <v>0</v>
      </c>
      <c r="T42" s="42">
        <v>0</v>
      </c>
      <c r="U42" s="42">
        <v>0</v>
      </c>
      <c r="V42" s="42">
        <v>0</v>
      </c>
      <c r="W42" s="42">
        <v>0</v>
      </c>
      <c r="X42" s="42">
        <v>0</v>
      </c>
      <c r="Y42" s="42">
        <v>0</v>
      </c>
      <c r="Z42" s="42">
        <v>0</v>
      </c>
      <c r="AA42" s="42">
        <v>0</v>
      </c>
      <c r="AB42" s="42">
        <v>0</v>
      </c>
      <c r="AC42" s="42">
        <v>0</v>
      </c>
      <c r="AD42" s="42">
        <v>0</v>
      </c>
      <c r="AE42" s="120">
        <f t="shared" si="7"/>
        <v>0</v>
      </c>
      <c r="AF42" s="42">
        <f t="shared" si="1"/>
        <v>0</v>
      </c>
    </row>
    <row r="43" spans="1:32" ht="16.5" thickTop="1" thickBot="1" x14ac:dyDescent="0.3">
      <c r="A43" s="38"/>
      <c r="B43" s="38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124" t="str">
        <f t="shared" si="2"/>
        <v/>
      </c>
      <c r="R43" s="124" t="str">
        <f t="shared" si="3"/>
        <v/>
      </c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120"/>
      <c r="AF43" s="42"/>
    </row>
    <row r="44" spans="1:32" ht="16.5" thickTop="1" thickBot="1" x14ac:dyDescent="0.3">
      <c r="A44" s="38"/>
      <c r="B44" s="38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124" t="str">
        <f t="shared" si="2"/>
        <v/>
      </c>
      <c r="R44" s="124" t="str">
        <f t="shared" si="3"/>
        <v/>
      </c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120"/>
      <c r="AF44" s="42"/>
    </row>
    <row r="45" spans="1:32" ht="16.5" thickTop="1" thickBot="1" x14ac:dyDescent="0.3">
      <c r="A45" s="38"/>
      <c r="B45" s="38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124" t="str">
        <f t="shared" si="2"/>
        <v/>
      </c>
      <c r="R45" s="124" t="str">
        <f t="shared" si="3"/>
        <v/>
      </c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120"/>
      <c r="AF45" s="42"/>
    </row>
    <row r="46" spans="1:32" ht="16.5" thickTop="1" thickBot="1" x14ac:dyDescent="0.3">
      <c r="A46" s="38"/>
      <c r="B46" s="38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124" t="str">
        <f t="shared" si="2"/>
        <v/>
      </c>
      <c r="R46" s="124" t="str">
        <f t="shared" si="3"/>
        <v/>
      </c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120"/>
      <c r="AF46" s="42"/>
    </row>
    <row r="47" spans="1:32" ht="16.5" thickTop="1" thickBot="1" x14ac:dyDescent="0.3">
      <c r="A47" s="38"/>
      <c r="B47" s="38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124" t="str">
        <f t="shared" si="2"/>
        <v/>
      </c>
      <c r="R47" s="124" t="str">
        <f t="shared" si="3"/>
        <v/>
      </c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120"/>
      <c r="AF47" s="42"/>
    </row>
    <row r="48" spans="1:32" ht="16.5" thickTop="1" thickBot="1" x14ac:dyDescent="0.3">
      <c r="A48" s="38"/>
      <c r="B48" s="38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124" t="str">
        <f t="shared" si="2"/>
        <v/>
      </c>
      <c r="R48" s="124" t="str">
        <f t="shared" si="3"/>
        <v/>
      </c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120"/>
      <c r="AF48" s="42"/>
    </row>
    <row r="49" spans="1:32" ht="16.5" thickTop="1" thickBot="1" x14ac:dyDescent="0.3">
      <c r="A49" s="38"/>
      <c r="B49" s="38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124" t="str">
        <f t="shared" si="2"/>
        <v/>
      </c>
      <c r="R49" s="124" t="str">
        <f t="shared" si="3"/>
        <v/>
      </c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120"/>
      <c r="AF49" s="42"/>
    </row>
    <row r="50" spans="1:32" ht="16.5" thickTop="1" thickBot="1" x14ac:dyDescent="0.3">
      <c r="A50" s="38"/>
      <c r="B50" s="38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124" t="str">
        <f t="shared" si="2"/>
        <v/>
      </c>
      <c r="R50" s="124" t="str">
        <f t="shared" si="3"/>
        <v/>
      </c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120"/>
      <c r="AF50" s="42"/>
    </row>
    <row r="51" spans="1:32" ht="16.5" thickTop="1" thickBot="1" x14ac:dyDescent="0.3">
      <c r="A51" s="38"/>
      <c r="B51" s="38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124" t="str">
        <f t="shared" si="2"/>
        <v/>
      </c>
      <c r="R51" s="124" t="str">
        <f t="shared" si="3"/>
        <v/>
      </c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120"/>
      <c r="AF51" s="42"/>
    </row>
    <row r="52" spans="1:32" ht="16.5" thickTop="1" thickBot="1" x14ac:dyDescent="0.3">
      <c r="A52" s="38"/>
      <c r="B52" s="38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124" t="str">
        <f t="shared" si="2"/>
        <v/>
      </c>
      <c r="R52" s="124" t="str">
        <f t="shared" si="3"/>
        <v/>
      </c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120"/>
      <c r="AF52" s="42"/>
    </row>
    <row r="53" spans="1:32" ht="16.5" thickTop="1" thickBot="1" x14ac:dyDescent="0.3">
      <c r="A53" s="38"/>
      <c r="B53" s="38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124" t="str">
        <f t="shared" si="2"/>
        <v/>
      </c>
      <c r="R53" s="124" t="str">
        <f t="shared" si="3"/>
        <v/>
      </c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120"/>
      <c r="AF53" s="42"/>
    </row>
    <row r="54" spans="1:32" ht="16.5" thickTop="1" thickBot="1" x14ac:dyDescent="0.3">
      <c r="A54" s="38"/>
      <c r="B54" s="38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124" t="str">
        <f t="shared" si="2"/>
        <v/>
      </c>
      <c r="R54" s="124" t="str">
        <f t="shared" si="3"/>
        <v/>
      </c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120"/>
      <c r="AF54" s="42"/>
    </row>
    <row r="55" spans="1:32" ht="16.5" thickTop="1" thickBot="1" x14ac:dyDescent="0.3">
      <c r="A55" s="38"/>
      <c r="B55" s="38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124" t="str">
        <f t="shared" si="2"/>
        <v/>
      </c>
      <c r="R55" s="124" t="str">
        <f t="shared" si="3"/>
        <v/>
      </c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120"/>
      <c r="AF55" s="42"/>
    </row>
    <row r="56" spans="1:32" ht="16.5" thickTop="1" thickBot="1" x14ac:dyDescent="0.3">
      <c r="A56" s="38"/>
      <c r="B56" s="38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124" t="str">
        <f t="shared" si="2"/>
        <v/>
      </c>
      <c r="R56" s="124" t="str">
        <f t="shared" si="3"/>
        <v/>
      </c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120"/>
      <c r="AF56" s="42"/>
    </row>
    <row r="57" spans="1:32" ht="16.5" thickTop="1" thickBot="1" x14ac:dyDescent="0.3">
      <c r="A57" s="38"/>
      <c r="B57" s="38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124" t="str">
        <f t="shared" si="2"/>
        <v/>
      </c>
      <c r="R57" s="124" t="str">
        <f t="shared" si="3"/>
        <v/>
      </c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120"/>
      <c r="AF57" s="42"/>
    </row>
    <row r="58" spans="1:32" ht="16.5" thickTop="1" thickBot="1" x14ac:dyDescent="0.3">
      <c r="A58" s="38"/>
      <c r="B58" s="38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124" t="str">
        <f t="shared" si="2"/>
        <v/>
      </c>
      <c r="R58" s="124" t="str">
        <f t="shared" si="3"/>
        <v/>
      </c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120"/>
      <c r="AF58" s="42"/>
    </row>
    <row r="59" spans="1:32" ht="16.5" thickTop="1" thickBot="1" x14ac:dyDescent="0.3">
      <c r="A59" s="38"/>
      <c r="B59" s="38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124" t="str">
        <f t="shared" si="2"/>
        <v/>
      </c>
      <c r="R59" s="124" t="str">
        <f t="shared" si="3"/>
        <v/>
      </c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120"/>
      <c r="AF59" s="42"/>
    </row>
    <row r="60" spans="1:32" ht="16.5" thickTop="1" thickBot="1" x14ac:dyDescent="0.3">
      <c r="A60" s="38"/>
      <c r="B60" s="38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124" t="str">
        <f t="shared" si="2"/>
        <v/>
      </c>
      <c r="R60" s="124" t="str">
        <f t="shared" si="3"/>
        <v/>
      </c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120"/>
      <c r="AF60" s="42"/>
    </row>
    <row r="61" spans="1:32" ht="16.5" thickTop="1" thickBot="1" x14ac:dyDescent="0.3">
      <c r="A61" s="38"/>
      <c r="B61" s="38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124" t="str">
        <f t="shared" si="2"/>
        <v/>
      </c>
      <c r="R61" s="124" t="str">
        <f t="shared" si="3"/>
        <v/>
      </c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120"/>
      <c r="AF61" s="42"/>
    </row>
    <row r="62" spans="1:32" ht="16.5" thickTop="1" thickBot="1" x14ac:dyDescent="0.3">
      <c r="A62" s="38"/>
      <c r="B62" s="38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124" t="str">
        <f t="shared" si="2"/>
        <v/>
      </c>
      <c r="R62" s="124" t="str">
        <f t="shared" si="3"/>
        <v/>
      </c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120"/>
      <c r="AF62" s="42"/>
    </row>
    <row r="63" spans="1:32" ht="16.5" thickTop="1" thickBot="1" x14ac:dyDescent="0.3">
      <c r="A63" s="38"/>
      <c r="B63" s="38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124" t="str">
        <f t="shared" si="2"/>
        <v/>
      </c>
      <c r="R63" s="124" t="str">
        <f t="shared" si="3"/>
        <v/>
      </c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120"/>
      <c r="AF63" s="42"/>
    </row>
    <row r="64" spans="1:32" ht="16.5" thickTop="1" thickBot="1" x14ac:dyDescent="0.3">
      <c r="A64" s="38"/>
      <c r="B64" s="38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124" t="str">
        <f t="shared" si="2"/>
        <v/>
      </c>
      <c r="R64" s="124" t="str">
        <f t="shared" si="3"/>
        <v/>
      </c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120"/>
      <c r="AF64" s="42"/>
    </row>
    <row r="65" spans="1:32" ht="16.5" thickTop="1" thickBot="1" x14ac:dyDescent="0.3">
      <c r="A65" s="38"/>
      <c r="B65" s="38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124" t="str">
        <f t="shared" si="2"/>
        <v/>
      </c>
      <c r="R65" s="124" t="str">
        <f t="shared" si="3"/>
        <v/>
      </c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120"/>
      <c r="AF65" s="42"/>
    </row>
    <row r="66" spans="1:32" ht="16.5" thickTop="1" thickBot="1" x14ac:dyDescent="0.3">
      <c r="A66" s="38"/>
      <c r="B66" s="38"/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124" t="str">
        <f t="shared" si="2"/>
        <v/>
      </c>
      <c r="R66" s="124" t="str">
        <f t="shared" si="3"/>
        <v/>
      </c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120"/>
      <c r="AF66" s="42"/>
    </row>
    <row r="67" spans="1:32" ht="16.5" thickTop="1" thickBot="1" x14ac:dyDescent="0.3">
      <c r="A67" s="38"/>
      <c r="B67" s="38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124" t="str">
        <f t="shared" si="2"/>
        <v/>
      </c>
      <c r="R67" s="124" t="str">
        <f t="shared" si="3"/>
        <v/>
      </c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120"/>
      <c r="AF67" s="42"/>
    </row>
    <row r="68" spans="1:32" ht="16.5" thickTop="1" thickBot="1" x14ac:dyDescent="0.3">
      <c r="A68" s="38"/>
      <c r="B68" s="38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124" t="str">
        <f t="shared" si="2"/>
        <v/>
      </c>
      <c r="R68" s="124" t="str">
        <f t="shared" si="3"/>
        <v/>
      </c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120"/>
      <c r="AF68" s="42"/>
    </row>
    <row r="69" spans="1:32" ht="16.5" thickTop="1" thickBot="1" x14ac:dyDescent="0.3">
      <c r="A69" s="38"/>
      <c r="B69" s="38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124" t="str">
        <f t="shared" ref="Q69:Q100" si="8">IF(A69&lt;&gt;"",$A69,"")</f>
        <v/>
      </c>
      <c r="R69" s="124" t="str">
        <f t="shared" ref="R69:R100" si="9">IF(B69&lt;&gt;"",B69,"")</f>
        <v/>
      </c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120"/>
      <c r="AF69" s="42"/>
    </row>
    <row r="70" spans="1:32" ht="16.5" thickTop="1" thickBot="1" x14ac:dyDescent="0.3">
      <c r="A70" s="38"/>
      <c r="B70" s="38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124" t="str">
        <f t="shared" si="8"/>
        <v/>
      </c>
      <c r="R70" s="124" t="str">
        <f t="shared" si="9"/>
        <v/>
      </c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120"/>
      <c r="AF70" s="42"/>
    </row>
    <row r="71" spans="1:32" ht="16.5" thickTop="1" thickBot="1" x14ac:dyDescent="0.3">
      <c r="A71" s="38"/>
      <c r="B71" s="38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124" t="str">
        <f t="shared" si="8"/>
        <v/>
      </c>
      <c r="R71" s="124" t="str">
        <f t="shared" si="9"/>
        <v/>
      </c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120"/>
      <c r="AF71" s="42"/>
    </row>
    <row r="72" spans="1:32" ht="16.5" thickTop="1" thickBot="1" x14ac:dyDescent="0.3">
      <c r="A72" s="38"/>
      <c r="B72" s="38"/>
      <c r="C72" s="42"/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124" t="str">
        <f t="shared" si="8"/>
        <v/>
      </c>
      <c r="R72" s="124" t="str">
        <f t="shared" si="9"/>
        <v/>
      </c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120"/>
      <c r="AF72" s="42"/>
    </row>
    <row r="73" spans="1:32" ht="16.5" thickTop="1" thickBot="1" x14ac:dyDescent="0.3">
      <c r="A73" s="38"/>
      <c r="B73" s="38"/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124" t="str">
        <f t="shared" si="8"/>
        <v/>
      </c>
      <c r="R73" s="124" t="str">
        <f t="shared" si="9"/>
        <v/>
      </c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120"/>
      <c r="AF73" s="42"/>
    </row>
    <row r="74" spans="1:32" ht="16.5" thickTop="1" thickBot="1" x14ac:dyDescent="0.3">
      <c r="A74" s="38"/>
      <c r="B74" s="38"/>
      <c r="C74" s="42"/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124" t="str">
        <f t="shared" si="8"/>
        <v/>
      </c>
      <c r="R74" s="124" t="str">
        <f t="shared" si="9"/>
        <v/>
      </c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120"/>
      <c r="AF74" s="42"/>
    </row>
    <row r="75" spans="1:32" ht="16.5" thickTop="1" thickBot="1" x14ac:dyDescent="0.3">
      <c r="A75" s="38"/>
      <c r="B75" s="38"/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124" t="str">
        <f t="shared" si="8"/>
        <v/>
      </c>
      <c r="R75" s="124" t="str">
        <f t="shared" si="9"/>
        <v/>
      </c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120"/>
      <c r="AF75" s="42"/>
    </row>
    <row r="76" spans="1:32" ht="16.5" thickTop="1" thickBot="1" x14ac:dyDescent="0.3">
      <c r="A76" s="38"/>
      <c r="B76" s="38"/>
      <c r="C76" s="42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124" t="str">
        <f t="shared" si="8"/>
        <v/>
      </c>
      <c r="R76" s="124" t="str">
        <f t="shared" si="9"/>
        <v/>
      </c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120"/>
      <c r="AF76" s="42"/>
    </row>
    <row r="77" spans="1:32" ht="16.5" thickTop="1" thickBot="1" x14ac:dyDescent="0.3">
      <c r="A77" s="38"/>
      <c r="B77" s="38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124" t="str">
        <f t="shared" si="8"/>
        <v/>
      </c>
      <c r="R77" s="124" t="str">
        <f t="shared" si="9"/>
        <v/>
      </c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120"/>
      <c r="AF77" s="42"/>
    </row>
    <row r="78" spans="1:32" ht="16.5" thickTop="1" thickBot="1" x14ac:dyDescent="0.3">
      <c r="A78" s="38"/>
      <c r="B78" s="38"/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124" t="str">
        <f t="shared" si="8"/>
        <v/>
      </c>
      <c r="R78" s="124" t="str">
        <f t="shared" si="9"/>
        <v/>
      </c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120"/>
      <c r="AF78" s="42"/>
    </row>
    <row r="79" spans="1:32" ht="16.5" thickTop="1" thickBot="1" x14ac:dyDescent="0.3">
      <c r="A79" s="38"/>
      <c r="B79" s="38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124" t="str">
        <f t="shared" si="8"/>
        <v/>
      </c>
      <c r="R79" s="124" t="str">
        <f t="shared" si="9"/>
        <v/>
      </c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120"/>
      <c r="AF79" s="42"/>
    </row>
    <row r="80" spans="1:32" ht="16.5" thickTop="1" thickBot="1" x14ac:dyDescent="0.3">
      <c r="A80" s="38"/>
      <c r="B80" s="38"/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124" t="str">
        <f t="shared" si="8"/>
        <v/>
      </c>
      <c r="R80" s="124" t="str">
        <f t="shared" si="9"/>
        <v/>
      </c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120"/>
      <c r="AF80" s="42"/>
    </row>
    <row r="81" spans="1:32" ht="16.5" thickTop="1" thickBot="1" x14ac:dyDescent="0.3">
      <c r="A81" s="38"/>
      <c r="B81" s="38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124" t="str">
        <f t="shared" si="8"/>
        <v/>
      </c>
      <c r="R81" s="124" t="str">
        <f t="shared" si="9"/>
        <v/>
      </c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120"/>
      <c r="AF81" s="42"/>
    </row>
    <row r="82" spans="1:32" ht="16.5" thickTop="1" thickBot="1" x14ac:dyDescent="0.3">
      <c r="A82" s="38"/>
      <c r="B82" s="38"/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124" t="str">
        <f t="shared" si="8"/>
        <v/>
      </c>
      <c r="R82" s="124" t="str">
        <f t="shared" si="9"/>
        <v/>
      </c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120"/>
      <c r="AF82" s="42"/>
    </row>
    <row r="83" spans="1:32" ht="16.5" thickTop="1" thickBot="1" x14ac:dyDescent="0.3">
      <c r="A83" s="38"/>
      <c r="B83" s="38"/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124" t="str">
        <f t="shared" si="8"/>
        <v/>
      </c>
      <c r="R83" s="124" t="str">
        <f t="shared" si="9"/>
        <v/>
      </c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120"/>
      <c r="AF83" s="42"/>
    </row>
    <row r="84" spans="1:32" ht="16.5" thickTop="1" thickBot="1" x14ac:dyDescent="0.3">
      <c r="A84" s="38"/>
      <c r="B84" s="38"/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124" t="str">
        <f t="shared" si="8"/>
        <v/>
      </c>
      <c r="R84" s="124" t="str">
        <f t="shared" si="9"/>
        <v/>
      </c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120"/>
      <c r="AF84" s="42"/>
    </row>
    <row r="85" spans="1:32" ht="16.5" thickTop="1" thickBot="1" x14ac:dyDescent="0.3">
      <c r="A85" s="38"/>
      <c r="B85" s="38"/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124" t="str">
        <f t="shared" si="8"/>
        <v/>
      </c>
      <c r="R85" s="124" t="str">
        <f t="shared" si="9"/>
        <v/>
      </c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120"/>
      <c r="AF85" s="42"/>
    </row>
    <row r="86" spans="1:32" ht="16.5" thickTop="1" thickBot="1" x14ac:dyDescent="0.3">
      <c r="A86" s="38"/>
      <c r="B86" s="38"/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124" t="str">
        <f t="shared" si="8"/>
        <v/>
      </c>
      <c r="R86" s="124" t="str">
        <f t="shared" si="9"/>
        <v/>
      </c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120"/>
      <c r="AF86" s="42"/>
    </row>
    <row r="87" spans="1:32" ht="16.5" thickTop="1" thickBot="1" x14ac:dyDescent="0.3">
      <c r="A87" s="38"/>
      <c r="B87" s="38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124" t="str">
        <f t="shared" si="8"/>
        <v/>
      </c>
      <c r="R87" s="124" t="str">
        <f t="shared" si="9"/>
        <v/>
      </c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120"/>
      <c r="AF87" s="42"/>
    </row>
    <row r="88" spans="1:32" ht="16.5" thickTop="1" thickBot="1" x14ac:dyDescent="0.3">
      <c r="A88" s="38"/>
      <c r="B88" s="38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124" t="str">
        <f t="shared" si="8"/>
        <v/>
      </c>
      <c r="R88" s="124" t="str">
        <f t="shared" si="9"/>
        <v/>
      </c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120"/>
      <c r="AF88" s="42"/>
    </row>
    <row r="89" spans="1:32" ht="16.5" thickTop="1" thickBot="1" x14ac:dyDescent="0.3">
      <c r="A89" s="38"/>
      <c r="B89" s="38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124" t="str">
        <f t="shared" si="8"/>
        <v/>
      </c>
      <c r="R89" s="124" t="str">
        <f t="shared" si="9"/>
        <v/>
      </c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120"/>
      <c r="AF89" s="42"/>
    </row>
    <row r="90" spans="1:32" ht="16.5" thickTop="1" thickBot="1" x14ac:dyDescent="0.3">
      <c r="A90" s="38"/>
      <c r="B90" s="38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124" t="str">
        <f t="shared" si="8"/>
        <v/>
      </c>
      <c r="R90" s="124" t="str">
        <f t="shared" si="9"/>
        <v/>
      </c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120"/>
      <c r="AF90" s="42"/>
    </row>
    <row r="91" spans="1:32" ht="16.5" thickTop="1" thickBot="1" x14ac:dyDescent="0.3">
      <c r="A91" s="38"/>
      <c r="B91" s="38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124" t="str">
        <f t="shared" si="8"/>
        <v/>
      </c>
      <c r="R91" s="124" t="str">
        <f t="shared" si="9"/>
        <v/>
      </c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120"/>
      <c r="AF91" s="42"/>
    </row>
    <row r="92" spans="1:32" ht="16.5" thickTop="1" thickBot="1" x14ac:dyDescent="0.3">
      <c r="A92" s="38"/>
      <c r="B92" s="38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124" t="str">
        <f t="shared" si="8"/>
        <v/>
      </c>
      <c r="R92" s="124" t="str">
        <f t="shared" si="9"/>
        <v/>
      </c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120"/>
      <c r="AF92" s="42"/>
    </row>
    <row r="93" spans="1:32" ht="16.5" thickTop="1" thickBot="1" x14ac:dyDescent="0.3">
      <c r="A93" s="38"/>
      <c r="B93" s="38"/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124" t="str">
        <f t="shared" si="8"/>
        <v/>
      </c>
      <c r="R93" s="124" t="str">
        <f t="shared" si="9"/>
        <v/>
      </c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120"/>
      <c r="AF93" s="42"/>
    </row>
    <row r="94" spans="1:32" ht="16.5" thickTop="1" thickBot="1" x14ac:dyDescent="0.3">
      <c r="A94" s="38"/>
      <c r="B94" s="38"/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124" t="str">
        <f t="shared" si="8"/>
        <v/>
      </c>
      <c r="R94" s="124" t="str">
        <f t="shared" si="9"/>
        <v/>
      </c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120"/>
      <c r="AF94" s="42"/>
    </row>
    <row r="95" spans="1:32" ht="16.5" thickTop="1" thickBot="1" x14ac:dyDescent="0.3">
      <c r="A95" s="38"/>
      <c r="B95" s="38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124" t="str">
        <f t="shared" si="8"/>
        <v/>
      </c>
      <c r="R95" s="124" t="str">
        <f t="shared" si="9"/>
        <v/>
      </c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120"/>
      <c r="AF95" s="42"/>
    </row>
    <row r="96" spans="1:32" ht="16.5" thickTop="1" thickBot="1" x14ac:dyDescent="0.3">
      <c r="A96" s="38"/>
      <c r="B96" s="38"/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124" t="str">
        <f t="shared" si="8"/>
        <v/>
      </c>
      <c r="R96" s="124" t="str">
        <f t="shared" si="9"/>
        <v/>
      </c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120"/>
      <c r="AF96" s="42"/>
    </row>
    <row r="97" spans="1:32" ht="16.5" thickTop="1" thickBot="1" x14ac:dyDescent="0.3">
      <c r="A97" s="38"/>
      <c r="B97" s="38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124" t="str">
        <f t="shared" si="8"/>
        <v/>
      </c>
      <c r="R97" s="124" t="str">
        <f t="shared" si="9"/>
        <v/>
      </c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120"/>
      <c r="AF97" s="42"/>
    </row>
    <row r="98" spans="1:32" ht="16.5" thickTop="1" thickBot="1" x14ac:dyDescent="0.3">
      <c r="A98" s="38"/>
      <c r="B98" s="38"/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124" t="str">
        <f t="shared" si="8"/>
        <v/>
      </c>
      <c r="R98" s="124" t="str">
        <f t="shared" si="9"/>
        <v/>
      </c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120"/>
      <c r="AF98" s="42"/>
    </row>
    <row r="99" spans="1:32" ht="16.5" thickTop="1" thickBot="1" x14ac:dyDescent="0.3">
      <c r="A99" s="38"/>
      <c r="B99" s="38"/>
      <c r="C99" s="4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124" t="str">
        <f t="shared" si="8"/>
        <v/>
      </c>
      <c r="R99" s="124" t="str">
        <f t="shared" si="9"/>
        <v/>
      </c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120"/>
      <c r="AF99" s="42"/>
    </row>
    <row r="100" spans="1:32" ht="16.5" thickTop="1" thickBot="1" x14ac:dyDescent="0.3">
      <c r="A100" s="38"/>
      <c r="B100" s="38"/>
      <c r="C100" s="4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124" t="str">
        <f t="shared" si="8"/>
        <v/>
      </c>
      <c r="R100" s="124" t="str">
        <f t="shared" si="9"/>
        <v/>
      </c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120"/>
      <c r="AF100" s="42"/>
    </row>
    <row r="101" spans="1:32" ht="15.75" thickTop="1" x14ac:dyDescent="0.25"/>
  </sheetData>
  <mergeCells count="6">
    <mergeCell ref="AF2:AF3"/>
    <mergeCell ref="A2:A3"/>
    <mergeCell ref="B2:B3"/>
    <mergeCell ref="C2:C3"/>
    <mergeCell ref="D2:P2"/>
    <mergeCell ref="S2:AE2"/>
  </mergeCells>
  <conditionalFormatting sqref="D4:O4">
    <cfRule type="expression" dxfId="11" priority="40">
      <formula>AND($A4&lt;&gt;"",#REF!="INACTIVE")</formula>
    </cfRule>
  </conditionalFormatting>
  <conditionalFormatting sqref="A4:B32 A34:B42 A33">
    <cfRule type="expression" dxfId="10" priority="10">
      <formula>AND($A4&lt;&gt;"",$F4="INACTIVE")</formula>
    </cfRule>
  </conditionalFormatting>
  <conditionalFormatting sqref="Q4:R4">
    <cfRule type="expression" dxfId="9" priority="45">
      <formula>AND(#REF!&lt;&gt;"",#REF!="INACTIVE")</formula>
    </cfRule>
  </conditionalFormatting>
  <conditionalFormatting sqref="Q5:Q100">
    <cfRule type="expression" dxfId="8" priority="12">
      <formula>AND(#REF!&lt;&gt;"",#REF!="INACTIVE")</formula>
    </cfRule>
  </conditionalFormatting>
  <conditionalFormatting sqref="R5:R100">
    <cfRule type="expression" dxfId="7" priority="11">
      <formula>AND(#REF!&lt;&gt;"",#REF!="INACTIVE")</formula>
    </cfRule>
  </conditionalFormatting>
  <conditionalFormatting sqref="A14 A25 A36">
    <cfRule type="expression" dxfId="6" priority="9">
      <formula>AND($A14&lt;&gt;"",$F14="INACTIVE")</formula>
    </cfRule>
  </conditionalFormatting>
  <conditionalFormatting sqref="D5:O5">
    <cfRule type="expression" dxfId="5" priority="8">
      <formula>AND($A5&lt;&gt;"",#REF!="INACTIVE")</formula>
    </cfRule>
  </conditionalFormatting>
  <conditionalFormatting sqref="AF4:AF100">
    <cfRule type="cellIs" dxfId="4" priority="4" operator="equal">
      <formula>0</formula>
    </cfRule>
    <cfRule type="cellIs" dxfId="3" priority="5" operator="greaterThan">
      <formula>0</formula>
    </cfRule>
    <cfRule type="cellIs" dxfId="2" priority="6" operator="lessThan">
      <formula>0</formula>
    </cfRule>
  </conditionalFormatting>
  <conditionalFormatting sqref="C4:C42">
    <cfRule type="expression" dxfId="1" priority="3">
      <formula>AND($A4&lt;&gt;"",#REF!="INACTIVE")</formula>
    </cfRule>
  </conditionalFormatting>
  <conditionalFormatting sqref="B33">
    <cfRule type="expression" dxfId="0" priority="1">
      <formula>AND($A33&lt;&gt;"",$F33="INACTIVE")</formula>
    </cfRule>
  </conditionalFormatting>
  <pageMargins left="0.7" right="0.7" top="0.75" bottom="0.75" header="0.3" footer="0.3"/>
  <pageSetup paperSize="9" orientation="portrait" r:id="rId1"/>
  <ignoredErrors>
    <ignoredError sqref="P21" formulaRange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A50021"/>
  </sheetPr>
  <dimension ref="A1:P41"/>
  <sheetViews>
    <sheetView topLeftCell="A11" workbookViewId="0">
      <selection activeCell="B8" sqref="B8"/>
    </sheetView>
  </sheetViews>
  <sheetFormatPr defaultRowHeight="15" x14ac:dyDescent="0.25"/>
  <cols>
    <col min="1" max="1" width="6.42578125" bestFit="1" customWidth="1"/>
    <col min="2" max="2" width="36.28515625" bestFit="1" customWidth="1"/>
    <col min="3" max="3" width="15" bestFit="1" customWidth="1"/>
    <col min="4" max="4" width="20.5703125" bestFit="1" customWidth="1"/>
    <col min="5" max="5" width="11.5703125" bestFit="1" customWidth="1"/>
    <col min="6" max="6" width="12.7109375" bestFit="1" customWidth="1"/>
    <col min="7" max="7" width="11.5703125" bestFit="1" customWidth="1"/>
    <col min="8" max="9" width="16.28515625" customWidth="1"/>
    <col min="10" max="14" width="16.28515625" bestFit="1" customWidth="1"/>
    <col min="15" max="15" width="16.28515625" customWidth="1"/>
    <col min="16" max="45" width="16.28515625" bestFit="1" customWidth="1"/>
    <col min="46" max="46" width="11.28515625" bestFit="1" customWidth="1"/>
  </cols>
  <sheetData>
    <row r="1" spans="1:16" ht="15.75" thickBot="1" x14ac:dyDescent="0.3"/>
    <row r="2" spans="1:16" ht="31.5" thickTop="1" thickBot="1" x14ac:dyDescent="0.3">
      <c r="A2" s="199" t="s">
        <v>209</v>
      </c>
      <c r="B2" s="199" t="s">
        <v>210</v>
      </c>
      <c r="C2" s="200" t="s">
        <v>211</v>
      </c>
      <c r="D2" s="200" t="s">
        <v>212</v>
      </c>
      <c r="E2" s="200" t="s">
        <v>213</v>
      </c>
      <c r="F2" s="200" t="s">
        <v>214</v>
      </c>
      <c r="G2" s="200" t="s">
        <v>51</v>
      </c>
      <c r="H2" s="201" t="s">
        <v>227</v>
      </c>
      <c r="I2" s="201" t="s">
        <v>228</v>
      </c>
      <c r="J2" s="257" t="s">
        <v>251</v>
      </c>
      <c r="K2" s="259" t="s">
        <v>252</v>
      </c>
      <c r="L2" s="259" t="s">
        <v>253</v>
      </c>
    </row>
    <row r="3" spans="1:16" ht="16.5" thickTop="1" thickBot="1" x14ac:dyDescent="0.3">
      <c r="A3" s="202">
        <v>1</v>
      </c>
      <c r="B3" s="203" t="s">
        <v>220</v>
      </c>
      <c r="C3" s="204">
        <f>SUM(AttendanceSheet!AW25:AX40)</f>
        <v>137834.42174577879</v>
      </c>
      <c r="D3" s="204">
        <v>0</v>
      </c>
      <c r="E3" s="204">
        <v>0</v>
      </c>
      <c r="F3" s="204">
        <f>((SUM(AttendanceSheet!AN26:AN35)*20+SUM(AttendanceSheet!AN36:AN41)*15))</f>
        <v>6705</v>
      </c>
      <c r="G3" s="204">
        <f>(C3+D3+E3+F3)*1%</f>
        <v>1445.3942174577878</v>
      </c>
      <c r="H3" s="204">
        <f>SUMIF(AttendanceSheet!BK7:BK100,"DINESH THAKARE",AttendanceSheet!$BE$7:$BE$100)</f>
        <v>5000</v>
      </c>
      <c r="I3" s="204">
        <v>0</v>
      </c>
      <c r="J3" s="258">
        <f>+C3+F3-G3-H3+I3</f>
        <v>138094.02752832099</v>
      </c>
      <c r="K3" s="260">
        <v>134763</v>
      </c>
      <c r="L3" s="260">
        <f>J3-K3</f>
        <v>3331.0275283209921</v>
      </c>
      <c r="M3" s="41"/>
    </row>
    <row r="4" spans="1:16" ht="16.5" thickTop="1" thickBot="1" x14ac:dyDescent="0.3">
      <c r="A4" s="202">
        <f>+A3+1</f>
        <v>2</v>
      </c>
      <c r="B4" s="205" t="s">
        <v>247</v>
      </c>
      <c r="C4" s="204">
        <v>105000</v>
      </c>
      <c r="D4" s="204">
        <v>0</v>
      </c>
      <c r="E4" s="204">
        <v>0</v>
      </c>
      <c r="F4" s="204"/>
      <c r="G4" s="204">
        <f t="shared" ref="G4:G7" si="0">(C4+D4+E4+F4)*1%</f>
        <v>1050</v>
      </c>
      <c r="H4" s="204"/>
      <c r="I4" s="204">
        <f>(C4+D4+E4+F4)*18%</f>
        <v>18900</v>
      </c>
      <c r="J4" s="258">
        <f>+C4+F4-G4-H4+I4</f>
        <v>122850</v>
      </c>
      <c r="K4" s="2"/>
      <c r="L4" s="2"/>
    </row>
    <row r="5" spans="1:16" ht="16.5" thickTop="1" thickBot="1" x14ac:dyDescent="0.3">
      <c r="A5" s="202">
        <f t="shared" ref="A5:A11" si="1">+A4+1</f>
        <v>3</v>
      </c>
      <c r="B5" s="205" t="s">
        <v>221</v>
      </c>
      <c r="C5" s="204">
        <v>598861</v>
      </c>
      <c r="D5" s="204">
        <v>0</v>
      </c>
      <c r="E5" s="204">
        <v>0</v>
      </c>
      <c r="F5" s="204">
        <v>0</v>
      </c>
      <c r="G5" s="204">
        <f t="shared" si="0"/>
        <v>5988.61</v>
      </c>
      <c r="H5" s="204">
        <v>0</v>
      </c>
      <c r="I5" s="204">
        <v>0</v>
      </c>
      <c r="J5" s="204">
        <f>+C5+F5-G5-H5+I5+D5+E5</f>
        <v>592872.39</v>
      </c>
      <c r="K5" s="41"/>
    </row>
    <row r="6" spans="1:16" ht="16.5" thickTop="1" thickBot="1" x14ac:dyDescent="0.3">
      <c r="A6" s="202">
        <f t="shared" si="1"/>
        <v>4</v>
      </c>
      <c r="B6" s="205" t="s">
        <v>250</v>
      </c>
      <c r="C6" s="204">
        <f>SUMIF(AttendanceSheet!$BK$7:$BK$100,"BHARTI KAMBADI",AttendanceSheet!$BF$7:$BF$100)</f>
        <v>9597.4999040250004</v>
      </c>
      <c r="D6" s="204">
        <v>0</v>
      </c>
      <c r="E6" s="204">
        <v>0</v>
      </c>
      <c r="F6" s="204">
        <v>0</v>
      </c>
      <c r="G6" s="204"/>
      <c r="H6" s="204">
        <v>0</v>
      </c>
      <c r="I6" s="204">
        <v>0</v>
      </c>
      <c r="J6" s="204">
        <f t="shared" ref="J6:J9" si="2">+C6+F6-G6-H6+I6</f>
        <v>9597.4999040250004</v>
      </c>
      <c r="K6" s="41"/>
    </row>
    <row r="7" spans="1:16" ht="16.5" thickTop="1" thickBot="1" x14ac:dyDescent="0.3">
      <c r="A7" s="202">
        <f t="shared" si="1"/>
        <v>5</v>
      </c>
      <c r="B7" s="205" t="s">
        <v>222</v>
      </c>
      <c r="C7" s="204">
        <v>275672.5</v>
      </c>
      <c r="D7" s="204">
        <v>0</v>
      </c>
      <c r="E7" s="204">
        <v>0</v>
      </c>
      <c r="F7" s="204">
        <v>0</v>
      </c>
      <c r="G7" s="204">
        <f t="shared" si="0"/>
        <v>2756.7249999999999</v>
      </c>
      <c r="H7" s="204">
        <v>0</v>
      </c>
      <c r="I7" s="204">
        <v>49621.05</v>
      </c>
      <c r="J7" s="204">
        <f>+C7+F7-G7-H7+I7</f>
        <v>322536.82500000001</v>
      </c>
    </row>
    <row r="8" spans="1:16" ht="16.5" thickTop="1" thickBot="1" x14ac:dyDescent="0.3">
      <c r="A8" s="202">
        <f t="shared" si="1"/>
        <v>6</v>
      </c>
      <c r="B8" s="206" t="s">
        <v>223</v>
      </c>
      <c r="C8" s="204">
        <f>SUMIF(AttendanceSheet!$BK$7:$BK$100,"HO STAFF",AttendanceSheet!$BF$7:$BF$100)</f>
        <v>202923.31043924997</v>
      </c>
      <c r="D8" s="204">
        <v>0</v>
      </c>
      <c r="E8" s="204">
        <v>0</v>
      </c>
      <c r="F8" s="204">
        <v>0</v>
      </c>
      <c r="G8" s="204">
        <v>0</v>
      </c>
      <c r="H8" s="204">
        <v>0</v>
      </c>
      <c r="I8" s="204">
        <v>0</v>
      </c>
      <c r="J8" s="204">
        <f t="shared" si="2"/>
        <v>202923.31043924997</v>
      </c>
      <c r="L8" s="138"/>
      <c r="M8" s="138"/>
    </row>
    <row r="9" spans="1:16" ht="16.5" thickTop="1" thickBot="1" x14ac:dyDescent="0.3">
      <c r="A9" s="202">
        <f t="shared" si="1"/>
        <v>7</v>
      </c>
      <c r="B9" s="207" t="s">
        <v>224</v>
      </c>
      <c r="C9" s="204">
        <f>SUMIF(AttendanceSheet!$BK$7:$BK$100,"FACTORY STAFF",AttendanceSheet!$BF$7:$BF$100)</f>
        <v>328356.60337942198</v>
      </c>
      <c r="D9" s="204">
        <v>0</v>
      </c>
      <c r="E9" s="204">
        <v>0</v>
      </c>
      <c r="F9" s="204">
        <v>0</v>
      </c>
      <c r="G9" s="204">
        <v>0</v>
      </c>
      <c r="H9" s="204">
        <v>0</v>
      </c>
      <c r="I9" s="204">
        <v>0</v>
      </c>
      <c r="J9" s="204">
        <f t="shared" si="2"/>
        <v>328356.60337942198</v>
      </c>
      <c r="L9" s="41"/>
      <c r="O9" s="41"/>
      <c r="P9" s="41"/>
    </row>
    <row r="10" spans="1:16" ht="16.5" thickTop="1" thickBot="1" x14ac:dyDescent="0.3">
      <c r="A10" s="202">
        <f t="shared" si="1"/>
        <v>8</v>
      </c>
      <c r="B10" s="205" t="s">
        <v>225</v>
      </c>
      <c r="C10" s="204">
        <v>50850</v>
      </c>
      <c r="D10" s="204">
        <v>0</v>
      </c>
      <c r="E10" s="204">
        <v>0</v>
      </c>
      <c r="F10" s="204">
        <v>0</v>
      </c>
      <c r="G10" s="204">
        <v>508</v>
      </c>
      <c r="H10" s="204">
        <v>0</v>
      </c>
      <c r="I10" s="204">
        <v>0</v>
      </c>
      <c r="J10" s="204">
        <f>+C10+F10-G10-H10+I10</f>
        <v>50342</v>
      </c>
      <c r="O10" s="41"/>
    </row>
    <row r="11" spans="1:16" ht="16.5" thickTop="1" thickBot="1" x14ac:dyDescent="0.3">
      <c r="A11" s="202">
        <f t="shared" si="1"/>
        <v>9</v>
      </c>
      <c r="B11" s="205" t="s">
        <v>226</v>
      </c>
      <c r="C11" s="204">
        <v>157652</v>
      </c>
      <c r="D11" s="204">
        <v>0</v>
      </c>
      <c r="E11" s="204">
        <v>0</v>
      </c>
      <c r="F11" s="204">
        <v>0</v>
      </c>
      <c r="G11" s="204">
        <f>(SUM(C11+D11)*1%)</f>
        <v>1576.52</v>
      </c>
      <c r="H11" s="204">
        <v>0</v>
      </c>
      <c r="I11" s="204">
        <v>0</v>
      </c>
      <c r="J11" s="204">
        <f>+C11+D11+E11+F11-G11-H11+I11</f>
        <v>156075.48000000001</v>
      </c>
    </row>
    <row r="12" spans="1:16" ht="16.5" thickTop="1" thickBot="1" x14ac:dyDescent="0.3">
      <c r="A12" s="326" t="s">
        <v>215</v>
      </c>
      <c r="B12" s="326"/>
      <c r="C12" s="326"/>
      <c r="D12" s="326"/>
      <c r="E12" s="326"/>
      <c r="F12" s="326"/>
      <c r="G12" s="326"/>
      <c r="H12" s="326"/>
      <c r="I12" s="326"/>
      <c r="J12" s="204">
        <f>SUM(J3:J11)</f>
        <v>1923648.1362510179</v>
      </c>
    </row>
    <row r="13" spans="1:16" ht="15.75" thickTop="1" x14ac:dyDescent="0.25"/>
    <row r="14" spans="1:16" x14ac:dyDescent="0.25">
      <c r="C14">
        <f>1156097-2305</f>
        <v>1153792</v>
      </c>
      <c r="E14">
        <f>130935+1025162</f>
        <v>1156097</v>
      </c>
      <c r="F14">
        <f>1025162-2305</f>
        <v>1022857</v>
      </c>
      <c r="G14">
        <f>+F14*1%</f>
        <v>10228.57</v>
      </c>
    </row>
    <row r="15" spans="1:16" x14ac:dyDescent="0.25">
      <c r="G15">
        <f>+F14-G14</f>
        <v>1012628.43</v>
      </c>
    </row>
    <row r="16" spans="1:16" x14ac:dyDescent="0.25">
      <c r="J16" s="41"/>
    </row>
    <row r="17" spans="3:12" x14ac:dyDescent="0.25">
      <c r="J17" s="41"/>
    </row>
    <row r="19" spans="3:12" x14ac:dyDescent="0.25">
      <c r="H19" s="330"/>
      <c r="I19" s="330"/>
      <c r="J19" s="330"/>
      <c r="K19" s="330"/>
      <c r="L19" s="330"/>
    </row>
    <row r="20" spans="3:12" x14ac:dyDescent="0.25">
      <c r="C20" s="327" t="s">
        <v>245</v>
      </c>
      <c r="D20" s="328"/>
      <c r="E20" s="329"/>
      <c r="F20" s="215"/>
      <c r="G20" s="215"/>
      <c r="H20" s="226"/>
      <c r="I20" s="227"/>
      <c r="J20" s="228"/>
    </row>
    <row r="21" spans="3:12" x14ac:dyDescent="0.25">
      <c r="C21" s="216" t="s">
        <v>10</v>
      </c>
      <c r="D21" s="217" t="s">
        <v>11</v>
      </c>
      <c r="E21" s="218" t="s">
        <v>246</v>
      </c>
      <c r="H21" s="229"/>
      <c r="I21" s="230"/>
      <c r="J21" s="231"/>
    </row>
    <row r="22" spans="3:12" x14ac:dyDescent="0.25">
      <c r="C22" s="219"/>
      <c r="D22" s="220"/>
      <c r="E22" s="218"/>
      <c r="H22" s="229"/>
      <c r="I22" s="230"/>
      <c r="J22" s="231"/>
    </row>
    <row r="23" spans="3:12" x14ac:dyDescent="0.25">
      <c r="C23" s="216" t="s">
        <v>23</v>
      </c>
      <c r="D23" s="217" t="s">
        <v>97</v>
      </c>
      <c r="E23" s="221">
        <v>1.3000000000000007</v>
      </c>
      <c r="H23" s="229"/>
      <c r="I23" s="230"/>
      <c r="J23" s="231"/>
    </row>
    <row r="24" spans="3:12" x14ac:dyDescent="0.25">
      <c r="C24" s="216" t="s">
        <v>24</v>
      </c>
      <c r="D24" s="217" t="s">
        <v>95</v>
      </c>
      <c r="E24" s="221">
        <v>1.5</v>
      </c>
      <c r="H24" s="229"/>
      <c r="I24" s="230"/>
      <c r="J24" s="231"/>
    </row>
    <row r="25" spans="3:12" x14ac:dyDescent="0.25">
      <c r="C25" s="216" t="s">
        <v>26</v>
      </c>
      <c r="D25" s="217" t="s">
        <v>117</v>
      </c>
      <c r="E25" s="221">
        <v>33.5</v>
      </c>
      <c r="H25" s="229"/>
      <c r="I25" s="230"/>
      <c r="J25" s="231"/>
    </row>
    <row r="26" spans="3:12" x14ac:dyDescent="0.25">
      <c r="C26" s="216" t="s">
        <v>30</v>
      </c>
      <c r="D26" s="217" t="s">
        <v>121</v>
      </c>
      <c r="E26" s="221">
        <v>10.5</v>
      </c>
      <c r="H26" s="229"/>
      <c r="I26" s="230"/>
      <c r="J26" s="231"/>
    </row>
    <row r="27" spans="3:12" x14ac:dyDescent="0.25">
      <c r="C27" s="216" t="s">
        <v>76</v>
      </c>
      <c r="D27" s="217" t="s">
        <v>96</v>
      </c>
      <c r="E27" s="221">
        <v>35.5</v>
      </c>
      <c r="H27" s="229"/>
      <c r="I27" s="230"/>
      <c r="J27" s="231"/>
    </row>
    <row r="28" spans="3:12" x14ac:dyDescent="0.25">
      <c r="C28" s="216" t="s">
        <v>77</v>
      </c>
      <c r="D28" s="217" t="s">
        <v>119</v>
      </c>
      <c r="E28" s="221">
        <v>0.5</v>
      </c>
      <c r="H28" s="229"/>
      <c r="I28" s="230"/>
      <c r="J28" s="231"/>
    </row>
    <row r="29" spans="3:12" x14ac:dyDescent="0.25">
      <c r="C29" s="216" t="s">
        <v>78</v>
      </c>
      <c r="D29" s="217" t="s">
        <v>122</v>
      </c>
      <c r="E29" s="221">
        <v>0.5</v>
      </c>
      <c r="H29" s="229"/>
      <c r="I29" s="230"/>
      <c r="J29" s="231"/>
    </row>
    <row r="30" spans="3:12" x14ac:dyDescent="0.25">
      <c r="C30" s="216" t="s">
        <v>79</v>
      </c>
      <c r="D30" s="217" t="s">
        <v>118</v>
      </c>
      <c r="E30" s="221">
        <v>9.5</v>
      </c>
      <c r="H30" s="229"/>
      <c r="I30" s="230"/>
      <c r="J30" s="231"/>
    </row>
    <row r="31" spans="3:12" x14ac:dyDescent="0.25">
      <c r="C31" s="216" t="s">
        <v>80</v>
      </c>
      <c r="D31" s="217" t="s">
        <v>180</v>
      </c>
      <c r="E31" s="221">
        <v>3.5</v>
      </c>
      <c r="H31" s="229"/>
      <c r="I31" s="230"/>
      <c r="J31" s="231"/>
    </row>
    <row r="32" spans="3:12" x14ac:dyDescent="0.25">
      <c r="C32" s="216" t="s">
        <v>81</v>
      </c>
      <c r="D32" s="217" t="s">
        <v>120</v>
      </c>
      <c r="E32" s="221">
        <v>0</v>
      </c>
      <c r="H32" s="229"/>
      <c r="I32" s="230"/>
      <c r="J32" s="231"/>
    </row>
    <row r="33" spans="3:10" x14ac:dyDescent="0.25">
      <c r="C33" s="216" t="s">
        <v>84</v>
      </c>
      <c r="D33" s="217" t="s">
        <v>31</v>
      </c>
      <c r="E33" s="221">
        <v>0</v>
      </c>
      <c r="H33" s="229"/>
      <c r="I33" s="230"/>
      <c r="J33" s="231"/>
    </row>
    <row r="34" spans="3:10" x14ac:dyDescent="0.25">
      <c r="C34" s="216" t="s">
        <v>123</v>
      </c>
      <c r="D34" s="217" t="s">
        <v>163</v>
      </c>
      <c r="E34" s="221">
        <v>-3</v>
      </c>
      <c r="H34" s="229"/>
      <c r="I34" s="230"/>
      <c r="J34" s="231"/>
    </row>
    <row r="35" spans="3:10" x14ac:dyDescent="0.25">
      <c r="C35" s="216" t="s">
        <v>124</v>
      </c>
      <c r="D35" s="217" t="s">
        <v>91</v>
      </c>
      <c r="E35" s="221">
        <v>5.5</v>
      </c>
      <c r="H35" s="229"/>
      <c r="I35" s="230"/>
      <c r="J35" s="231"/>
    </row>
    <row r="36" spans="3:10" x14ac:dyDescent="0.25">
      <c r="C36" s="216" t="s">
        <v>125</v>
      </c>
      <c r="D36" s="217" t="s">
        <v>25</v>
      </c>
      <c r="E36" s="221">
        <v>4.5</v>
      </c>
      <c r="H36" s="229"/>
      <c r="I36" s="230"/>
      <c r="J36" s="231"/>
    </row>
    <row r="37" spans="3:10" x14ac:dyDescent="0.25">
      <c r="C37" s="216" t="s">
        <v>126</v>
      </c>
      <c r="D37" s="217" t="s">
        <v>27</v>
      </c>
      <c r="E37" s="221">
        <v>3.5</v>
      </c>
      <c r="H37" s="232"/>
      <c r="I37" s="233"/>
      <c r="J37" s="234"/>
    </row>
    <row r="38" spans="3:10" x14ac:dyDescent="0.25">
      <c r="C38" s="216" t="s">
        <v>127</v>
      </c>
      <c r="D38" s="217" t="s">
        <v>92</v>
      </c>
      <c r="E38" s="221">
        <v>1.5</v>
      </c>
    </row>
    <row r="39" spans="3:10" x14ac:dyDescent="0.25">
      <c r="C39" s="216" t="s">
        <v>128</v>
      </c>
      <c r="D39" s="217" t="s">
        <v>94</v>
      </c>
      <c r="E39" s="221">
        <v>5.5</v>
      </c>
    </row>
    <row r="40" spans="3:10" x14ac:dyDescent="0.25">
      <c r="C40" s="216" t="s">
        <v>129</v>
      </c>
      <c r="D40" s="217" t="s">
        <v>93</v>
      </c>
      <c r="E40" s="221">
        <v>0</v>
      </c>
    </row>
    <row r="41" spans="3:10" x14ac:dyDescent="0.25">
      <c r="C41" s="222" t="s">
        <v>130</v>
      </c>
      <c r="D41" s="223" t="s">
        <v>90</v>
      </c>
      <c r="E41" s="224">
        <v>15.75</v>
      </c>
    </row>
  </sheetData>
  <mergeCells count="3">
    <mergeCell ref="A12:I12"/>
    <mergeCell ref="C20:E20"/>
    <mergeCell ref="H19:L19"/>
  </mergeCells>
  <printOptions horizontalCentered="1" verticalCentered="1"/>
  <pageMargins left="0" right="0" top="0" bottom="0" header="0" footer="0"/>
  <pageSetup paperSize="9" orientation="landscape" r:id="rId2"/>
  <headerFooter>
    <oddHeader>&amp;CBLUEBERRY AGRO PRODUCTS PVT LTD.
OCT-21</oddHeader>
  </headerFooter>
  <ignoredErrors>
    <ignoredError sqref="J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Setting </vt:lpstr>
      <vt:lpstr>Mark Leave</vt:lpstr>
      <vt:lpstr>AttendanceSheet</vt:lpstr>
      <vt:lpstr>SalarySlip</vt:lpstr>
      <vt:lpstr>Leave Credit Sheet</vt:lpstr>
      <vt:lpstr>Employee Details</vt:lpstr>
      <vt:lpstr>CTC Sheet</vt:lpstr>
      <vt:lpstr>OtherArrear payment</vt:lpstr>
      <vt:lpstr>Advance Sheet</vt:lpstr>
      <vt:lpstr>Summary</vt:lpstr>
      <vt:lpstr>dates</vt:lpstr>
      <vt:lpstr>EmployeeName</vt:lpstr>
      <vt:lpstr>PLEASE_CHANGE_THE_REQUIRED_FIELDS_BEFORE_MAKING_ANY_CHANGES_IN_SHEET</vt:lpstr>
      <vt:lpstr>SalarySlip!Print_Area</vt:lpstr>
      <vt:lpstr>'Setting '!Print_Area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2022-10-16T05:28:38Z</dcterms:modified>
</cp:coreProperties>
</file>